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Data Sciance\Tehran Data\Projects\L1,2\"/>
    </mc:Choice>
  </mc:AlternateContent>
  <xr:revisionPtr revIDLastSave="0" documentId="13_ncr:1_{587F749F-53EB-4925-908E-B60064D37473}" xr6:coauthVersionLast="47" xr6:coauthVersionMax="47" xr10:uidLastSave="{00000000-0000-0000-0000-000000000000}"/>
  <bookViews>
    <workbookView xWindow="-108" yWindow="-108" windowWidth="23256" windowHeight="12456" xr2:uid="{C27CB4A7-3A16-460F-AD4B-1E522FB526CB}"/>
  </bookViews>
  <sheets>
    <sheet name="karmand" sheetId="1" r:id="rId1"/>
    <sheet name="Sheet4_HID1" sheetId="102" state="hidden" r:id="rId2"/>
    <sheet name="Sheet4_HID" sheetId="82" state="hidden" r:id="rId3"/>
  </sheets>
  <externalReferences>
    <externalReference r:id="rId4"/>
  </externalReferences>
  <definedNames>
    <definedName name="xdata1" localSheetId="2" hidden="1">Sheet4_HID!$C$1:$C$1000</definedName>
    <definedName name="xdata1" localSheetId="1" hidden="1">Sheet4_HID1!$C$1:$C$500</definedName>
    <definedName name="xdata1" hidden="1">#REF!</definedName>
    <definedName name="xdata2" localSheetId="2" hidden="1">Sheet4_HID!$G$1:$G$500</definedName>
    <definedName name="xdata2" localSheetId="1" hidden="1">Sheet4_HID1!$G$1:$G$500</definedName>
    <definedName name="xdata2" hidden="1">#REF!</definedName>
    <definedName name="xdata3" localSheetId="2" hidden="1">Sheet4_HID!$K$1:$K$1000</definedName>
    <definedName name="xdata3" localSheetId="1" hidden="1">Sheet4_HID1!$K$1:$K$500</definedName>
    <definedName name="xdata3" hidden="1">#REF!</definedName>
    <definedName name="xdata4" localSheetId="2" hidden="1">Sheet4_HID!$O$1:$O$500</definedName>
    <definedName name="xdata4" localSheetId="1" hidden="1">Sheet4_HID1!$O$1:$O$500</definedName>
    <definedName name="xdata5" localSheetId="1" hidden="1">Sheet4_HID1!$S$1:$S$500</definedName>
    <definedName name="xdata6" localSheetId="1" hidden="1">Sheet4_HID1!$W$1:$W$500</definedName>
    <definedName name="xdata7" localSheetId="1" hidden="1">Sheet4_HID1!$AA$1:$AA$500</definedName>
    <definedName name="ydata1" localSheetId="2" hidden="1">Sheet4_HID!$D$1:$D$1000</definedName>
    <definedName name="ydata1" localSheetId="1" hidden="1">Sheet4_HID1!$D$1:$D$500</definedName>
    <definedName name="ydata1" hidden="1">#REF!</definedName>
    <definedName name="ydata2" localSheetId="2" hidden="1">Sheet4_HID!$H$1:$H$500</definedName>
    <definedName name="ydata2" localSheetId="1" hidden="1">Sheet4_HID1!$H$1:$H$500</definedName>
    <definedName name="ydata2" hidden="1">#REF!</definedName>
    <definedName name="ydata3" localSheetId="2" hidden="1">Sheet4_HID!$L$1:$L$1000</definedName>
    <definedName name="ydata3" localSheetId="1" hidden="1">Sheet4_HID1!$L$1:$L$500</definedName>
    <definedName name="ydata3" hidden="1">#REF!</definedName>
    <definedName name="ydata4" localSheetId="2" hidden="1">Sheet4_HID!$P$1:$P$500</definedName>
    <definedName name="ydata4" localSheetId="1" hidden="1">Sheet4_HID1!$P$1:$P$500</definedName>
    <definedName name="ydata5" localSheetId="1" hidden="1">Sheet4_HID1!$T$1:$T$500</definedName>
    <definedName name="ydata6" localSheetId="1" hidden="1">Sheet4_HID1!$X$1:$X$500</definedName>
    <definedName name="ydata7" localSheetId="1" hidden="1">Sheet4_HID1!$AB$1:$AB$500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" i="102" l="1"/>
  <c r="AA2" i="102"/>
  <c r="AA3" i="102"/>
  <c r="AA4" i="102"/>
  <c r="AA5" i="102"/>
  <c r="AA6" i="102"/>
  <c r="AA7" i="102"/>
  <c r="AA8" i="102"/>
  <c r="AA9" i="102"/>
  <c r="AA10" i="102"/>
  <c r="AA11" i="102"/>
  <c r="AA12" i="102"/>
  <c r="AA13" i="102"/>
  <c r="AA14" i="102"/>
  <c r="AA15" i="102"/>
  <c r="AA16" i="102"/>
  <c r="AA17" i="102"/>
  <c r="AA18" i="102"/>
  <c r="AA19" i="102"/>
  <c r="AA20" i="102"/>
  <c r="AA21" i="102"/>
  <c r="AA22" i="102"/>
  <c r="AA23" i="102"/>
  <c r="AA24" i="102"/>
  <c r="AA25" i="102"/>
  <c r="AA26" i="102"/>
  <c r="AA27" i="102"/>
  <c r="AA28" i="102"/>
  <c r="AA29" i="102"/>
  <c r="AA30" i="102"/>
  <c r="AA31" i="102"/>
  <c r="AA32" i="102"/>
  <c r="AA33" i="102"/>
  <c r="AA34" i="102"/>
  <c r="AA35" i="102"/>
  <c r="AA36" i="102"/>
  <c r="AA37" i="102"/>
  <c r="AA38" i="102"/>
  <c r="AA39" i="102"/>
  <c r="AA40" i="102"/>
  <c r="AA41" i="102"/>
  <c r="AA42" i="102"/>
  <c r="AA43" i="102"/>
  <c r="AA44" i="102"/>
  <c r="AA45" i="102"/>
  <c r="AA46" i="102"/>
  <c r="AA47" i="102"/>
  <c r="AA48" i="102"/>
  <c r="AA49" i="102"/>
  <c r="AA50" i="102"/>
  <c r="AA51" i="102"/>
  <c r="AA52" i="102"/>
  <c r="AA53" i="102"/>
  <c r="AA54" i="102"/>
  <c r="AA55" i="102"/>
  <c r="AA56" i="102"/>
  <c r="AA57" i="102"/>
  <c r="AA58" i="102"/>
  <c r="AA59" i="102"/>
  <c r="AA60" i="102"/>
  <c r="AA61" i="102"/>
  <c r="AA62" i="102"/>
  <c r="AA63" i="102"/>
  <c r="AA64" i="102"/>
  <c r="AA65" i="102"/>
  <c r="AA66" i="102"/>
  <c r="AA67" i="102"/>
  <c r="AA68" i="102"/>
  <c r="AA69" i="102"/>
  <c r="AA70" i="102"/>
  <c r="AA71" i="102"/>
  <c r="AA72" i="102"/>
  <c r="AA73" i="102"/>
  <c r="AA74" i="102"/>
  <c r="AA75" i="102"/>
  <c r="AA76" i="102"/>
  <c r="AA77" i="102"/>
  <c r="AA78" i="102"/>
  <c r="AA79" i="102"/>
  <c r="AA80" i="102"/>
  <c r="AA81" i="102"/>
  <c r="AA82" i="102"/>
  <c r="AA83" i="102"/>
  <c r="AA84" i="102"/>
  <c r="AA85" i="102"/>
  <c r="AA86" i="102"/>
  <c r="AA87" i="102"/>
  <c r="AA88" i="102"/>
  <c r="AA89" i="102"/>
  <c r="AA90" i="102"/>
  <c r="AA91" i="102"/>
  <c r="AA92" i="102"/>
  <c r="AA93" i="102"/>
  <c r="AA94" i="102"/>
  <c r="AA95" i="102"/>
  <c r="AA96" i="102"/>
  <c r="AA97" i="102"/>
  <c r="AA98" i="102"/>
  <c r="AA99" i="102"/>
  <c r="AA100" i="102"/>
  <c r="AA101" i="102"/>
  <c r="AA102" i="102"/>
  <c r="AA103" i="102"/>
  <c r="AA104" i="102"/>
  <c r="AA105" i="102"/>
  <c r="AA106" i="102"/>
  <c r="AA107" i="102"/>
  <c r="AA108" i="102"/>
  <c r="AA109" i="102"/>
  <c r="AA110" i="102"/>
  <c r="AA111" i="102"/>
  <c r="AA112" i="102"/>
  <c r="AA113" i="102"/>
  <c r="AA114" i="102"/>
  <c r="AA115" i="102"/>
  <c r="AA116" i="102"/>
  <c r="AA117" i="102"/>
  <c r="AA118" i="102"/>
  <c r="AA119" i="102"/>
  <c r="AA120" i="102"/>
  <c r="AA121" i="102"/>
  <c r="AA122" i="102"/>
  <c r="AA123" i="102"/>
  <c r="AA124" i="102"/>
  <c r="AA125" i="102"/>
  <c r="AA126" i="102"/>
  <c r="AA127" i="102"/>
  <c r="AA128" i="102"/>
  <c r="AA129" i="102"/>
  <c r="AA130" i="102"/>
  <c r="AA131" i="102"/>
  <c r="AA132" i="102"/>
  <c r="AA133" i="102"/>
  <c r="AA134" i="102"/>
  <c r="AA135" i="102"/>
  <c r="AA136" i="102"/>
  <c r="AA137" i="102"/>
  <c r="AA138" i="102"/>
  <c r="AA139" i="102"/>
  <c r="AA140" i="102"/>
  <c r="AA141" i="102"/>
  <c r="AA142" i="102"/>
  <c r="AA143" i="102"/>
  <c r="AA144" i="102"/>
  <c r="AA145" i="102"/>
  <c r="AA146" i="102"/>
  <c r="AA147" i="102"/>
  <c r="AA148" i="102"/>
  <c r="AA149" i="102"/>
  <c r="AA150" i="102"/>
  <c r="AA151" i="102"/>
  <c r="AA152" i="102"/>
  <c r="AA153" i="102"/>
  <c r="AA154" i="102"/>
  <c r="AA155" i="102"/>
  <c r="AA156" i="102"/>
  <c r="AA157" i="102"/>
  <c r="AA158" i="102"/>
  <c r="AA159" i="102"/>
  <c r="AA160" i="102"/>
  <c r="AA161" i="102"/>
  <c r="AA162" i="102"/>
  <c r="AA163" i="102"/>
  <c r="AA164" i="102"/>
  <c r="AA165" i="102"/>
  <c r="AA166" i="102"/>
  <c r="AA167" i="102"/>
  <c r="AA168" i="102"/>
  <c r="AA169" i="102"/>
  <c r="AA170" i="102"/>
  <c r="AA171" i="102"/>
  <c r="AA172" i="102"/>
  <c r="AA173" i="102"/>
  <c r="AA174" i="102"/>
  <c r="AA175" i="102"/>
  <c r="AA176" i="102"/>
  <c r="AA177" i="102"/>
  <c r="AA178" i="102"/>
  <c r="AA179" i="102"/>
  <c r="AA180" i="102"/>
  <c r="AA181" i="102"/>
  <c r="AA182" i="102"/>
  <c r="AA183" i="102"/>
  <c r="AA184" i="102"/>
  <c r="AA185" i="102"/>
  <c r="AA186" i="102"/>
  <c r="AA187" i="102"/>
  <c r="AA188" i="102"/>
  <c r="AA189" i="102"/>
  <c r="AA190" i="102"/>
  <c r="AA191" i="102"/>
  <c r="AA192" i="102"/>
  <c r="AA193" i="102"/>
  <c r="AA194" i="102"/>
  <c r="AA195" i="102"/>
  <c r="AA196" i="102"/>
  <c r="AA197" i="102"/>
  <c r="AA198" i="102"/>
  <c r="AA199" i="102"/>
  <c r="AA200" i="102"/>
  <c r="AA201" i="102"/>
  <c r="AA202" i="102"/>
  <c r="AA203" i="102"/>
  <c r="AA204" i="102"/>
  <c r="AA205" i="102"/>
  <c r="AA206" i="102"/>
  <c r="AA207" i="102"/>
  <c r="AA208" i="102"/>
  <c r="AA209" i="102"/>
  <c r="AA210" i="102"/>
  <c r="AA211" i="102"/>
  <c r="AA212" i="102"/>
  <c r="AA213" i="102"/>
  <c r="AA214" i="102"/>
  <c r="AA215" i="102"/>
  <c r="AA216" i="102"/>
  <c r="AA217" i="102"/>
  <c r="AA218" i="102"/>
  <c r="AA219" i="102"/>
  <c r="AA220" i="102"/>
  <c r="AA221" i="102"/>
  <c r="AA222" i="102"/>
  <c r="AA223" i="102"/>
  <c r="AA224" i="102"/>
  <c r="AA225" i="102"/>
  <c r="AA226" i="102"/>
  <c r="AA227" i="102"/>
  <c r="AA228" i="102"/>
  <c r="AA229" i="102"/>
  <c r="AA230" i="102"/>
  <c r="AA231" i="102"/>
  <c r="AA232" i="102"/>
  <c r="AA233" i="102"/>
  <c r="AA234" i="102"/>
  <c r="AA235" i="102"/>
  <c r="AA236" i="102"/>
  <c r="AA237" i="102"/>
  <c r="AA238" i="102"/>
  <c r="AA239" i="102"/>
  <c r="AA240" i="102"/>
  <c r="AA241" i="102"/>
  <c r="AA242" i="102"/>
  <c r="AA243" i="102"/>
  <c r="AA244" i="102"/>
  <c r="AA245" i="102"/>
  <c r="AA246" i="102"/>
  <c r="AA247" i="102"/>
  <c r="AA248" i="102"/>
  <c r="AA249" i="102"/>
  <c r="AA250" i="102"/>
  <c r="AA251" i="102"/>
  <c r="AA252" i="102"/>
  <c r="AA253" i="102"/>
  <c r="AA254" i="102"/>
  <c r="AA255" i="102"/>
  <c r="AA256" i="102"/>
  <c r="AA257" i="102"/>
  <c r="AA258" i="102"/>
  <c r="AA259" i="102"/>
  <c r="AA260" i="102"/>
  <c r="AA261" i="102"/>
  <c r="AA262" i="102"/>
  <c r="AA263" i="102"/>
  <c r="AA264" i="102"/>
  <c r="AA265" i="102"/>
  <c r="AA266" i="102"/>
  <c r="AA267" i="102"/>
  <c r="AA268" i="102"/>
  <c r="AA269" i="102"/>
  <c r="AA270" i="102"/>
  <c r="AA271" i="102"/>
  <c r="AA272" i="102"/>
  <c r="AA273" i="102"/>
  <c r="AA274" i="102"/>
  <c r="AA275" i="102"/>
  <c r="AA276" i="102"/>
  <c r="AA277" i="102"/>
  <c r="AA278" i="102"/>
  <c r="AA279" i="102"/>
  <c r="AA280" i="102"/>
  <c r="AA281" i="102"/>
  <c r="AA282" i="102"/>
  <c r="AA283" i="102"/>
  <c r="AA284" i="102"/>
  <c r="AA285" i="102"/>
  <c r="AA286" i="102"/>
  <c r="AA287" i="102"/>
  <c r="AA288" i="102"/>
  <c r="AA289" i="102"/>
  <c r="AA290" i="102"/>
  <c r="AA291" i="102"/>
  <c r="AA292" i="102"/>
  <c r="AA293" i="102"/>
  <c r="AA294" i="102"/>
  <c r="AA295" i="102"/>
  <c r="AA296" i="102"/>
  <c r="AA297" i="102"/>
  <c r="AA298" i="102"/>
  <c r="AA299" i="102"/>
  <c r="AA300" i="102"/>
  <c r="AA301" i="102"/>
  <c r="AA302" i="102"/>
  <c r="AA303" i="102"/>
  <c r="AA304" i="102"/>
  <c r="AA305" i="102"/>
  <c r="AA306" i="102"/>
  <c r="AA307" i="102"/>
  <c r="AA308" i="102"/>
  <c r="AA309" i="102"/>
  <c r="AA310" i="102"/>
  <c r="AA311" i="102"/>
  <c r="AA312" i="102"/>
  <c r="AA313" i="102"/>
  <c r="AA314" i="102"/>
  <c r="AA315" i="102"/>
  <c r="AA316" i="102"/>
  <c r="AA317" i="102"/>
  <c r="AA318" i="102"/>
  <c r="AA319" i="102"/>
  <c r="AA320" i="102"/>
  <c r="AA321" i="102"/>
  <c r="AA322" i="102"/>
  <c r="AA323" i="102"/>
  <c r="AA324" i="102"/>
  <c r="AA325" i="102"/>
  <c r="AA326" i="102"/>
  <c r="AA327" i="102"/>
  <c r="AA328" i="102"/>
  <c r="AA329" i="102"/>
  <c r="AA330" i="102"/>
  <c r="AA331" i="102"/>
  <c r="AA332" i="102"/>
  <c r="AA333" i="102"/>
  <c r="AA334" i="102"/>
  <c r="AA335" i="102"/>
  <c r="AA336" i="102"/>
  <c r="AA337" i="102"/>
  <c r="AA338" i="102"/>
  <c r="AA339" i="102"/>
  <c r="AA340" i="102"/>
  <c r="AA341" i="102"/>
  <c r="AA342" i="102"/>
  <c r="AA343" i="102"/>
  <c r="AA344" i="102"/>
  <c r="AA345" i="102"/>
  <c r="AA346" i="102"/>
  <c r="AA347" i="102"/>
  <c r="AA348" i="102"/>
  <c r="AA349" i="102"/>
  <c r="AA350" i="102"/>
  <c r="AA351" i="102"/>
  <c r="AA352" i="102"/>
  <c r="AA353" i="102"/>
  <c r="AA354" i="102"/>
  <c r="AA355" i="102"/>
  <c r="AA356" i="102"/>
  <c r="AA357" i="102"/>
  <c r="AA358" i="102"/>
  <c r="AA359" i="102"/>
  <c r="AA360" i="102"/>
  <c r="AA361" i="102"/>
  <c r="AA362" i="102"/>
  <c r="AA363" i="102"/>
  <c r="AA364" i="102"/>
  <c r="AA365" i="102"/>
  <c r="AA366" i="102"/>
  <c r="AA367" i="102"/>
  <c r="AA368" i="102"/>
  <c r="AA369" i="102"/>
  <c r="AA370" i="102"/>
  <c r="AA371" i="102"/>
  <c r="AA372" i="102"/>
  <c r="AA373" i="102"/>
  <c r="AA374" i="102"/>
  <c r="AA375" i="102"/>
  <c r="AA376" i="102"/>
  <c r="AA377" i="102"/>
  <c r="AA378" i="102"/>
  <c r="AA379" i="102"/>
  <c r="AA380" i="102"/>
  <c r="AA381" i="102"/>
  <c r="AA382" i="102"/>
  <c r="AA383" i="102"/>
  <c r="AA384" i="102"/>
  <c r="AA385" i="102"/>
  <c r="AA386" i="102"/>
  <c r="AA387" i="102"/>
  <c r="AA388" i="102"/>
  <c r="AA389" i="102"/>
  <c r="AA390" i="102"/>
  <c r="AA391" i="102"/>
  <c r="AA392" i="102"/>
  <c r="AA393" i="102"/>
  <c r="AA394" i="102"/>
  <c r="AA395" i="102"/>
  <c r="AA396" i="102"/>
  <c r="AA397" i="102"/>
  <c r="AA398" i="102"/>
  <c r="AA399" i="102"/>
  <c r="AA400" i="102"/>
  <c r="AA401" i="102"/>
  <c r="AA402" i="102"/>
  <c r="AA403" i="102"/>
  <c r="AA404" i="102"/>
  <c r="AA405" i="102"/>
  <c r="AA406" i="102"/>
  <c r="AA407" i="102"/>
  <c r="AA408" i="102"/>
  <c r="AA409" i="102"/>
  <c r="AA410" i="102"/>
  <c r="AA411" i="102"/>
  <c r="AA412" i="102"/>
  <c r="AA413" i="102"/>
  <c r="AA414" i="102"/>
  <c r="AA415" i="102"/>
  <c r="AA416" i="102"/>
  <c r="AA417" i="102"/>
  <c r="AA418" i="102"/>
  <c r="AA419" i="102"/>
  <c r="AA420" i="102"/>
  <c r="AA421" i="102"/>
  <c r="AA422" i="102"/>
  <c r="AA423" i="102"/>
  <c r="AA424" i="102"/>
  <c r="AA425" i="102"/>
  <c r="AA426" i="102"/>
  <c r="AA427" i="102"/>
  <c r="AA428" i="102"/>
  <c r="AA429" i="102"/>
  <c r="AA430" i="102"/>
  <c r="AA431" i="102"/>
  <c r="AA432" i="102"/>
  <c r="AA433" i="102"/>
  <c r="AA434" i="102"/>
  <c r="AA435" i="102"/>
  <c r="AA436" i="102"/>
  <c r="AA437" i="102"/>
  <c r="AA438" i="102"/>
  <c r="AA439" i="102"/>
  <c r="AA440" i="102"/>
  <c r="AA441" i="102"/>
  <c r="AA442" i="102"/>
  <c r="AA443" i="102"/>
  <c r="AA444" i="102"/>
  <c r="AA445" i="102"/>
  <c r="AA446" i="102"/>
  <c r="AA447" i="102"/>
  <c r="AA448" i="102"/>
  <c r="AA449" i="102"/>
  <c r="AA450" i="102"/>
  <c r="AA451" i="102"/>
  <c r="AA452" i="102"/>
  <c r="AA453" i="102"/>
  <c r="AA454" i="102"/>
  <c r="AA455" i="102"/>
  <c r="AA456" i="102"/>
  <c r="AA457" i="102"/>
  <c r="AA458" i="102"/>
  <c r="AA459" i="102"/>
  <c r="AA460" i="102"/>
  <c r="AA461" i="102"/>
  <c r="AA462" i="102"/>
  <c r="AA463" i="102"/>
  <c r="AA464" i="102"/>
  <c r="AA465" i="102"/>
  <c r="AA466" i="102"/>
  <c r="AA467" i="102"/>
  <c r="AA468" i="102"/>
  <c r="AA469" i="102"/>
  <c r="AA470" i="102"/>
  <c r="AA471" i="102"/>
  <c r="AA472" i="102"/>
  <c r="AA473" i="102"/>
  <c r="AA474" i="102"/>
  <c r="AA475" i="102"/>
  <c r="AA476" i="102"/>
  <c r="AA477" i="102"/>
  <c r="AA478" i="102"/>
  <c r="AA479" i="102"/>
  <c r="AA480" i="102"/>
  <c r="AA481" i="102"/>
  <c r="AA482" i="102"/>
  <c r="AA483" i="102"/>
  <c r="AA484" i="102"/>
  <c r="AA485" i="102"/>
  <c r="AA486" i="102"/>
  <c r="AA487" i="102"/>
  <c r="AA488" i="102"/>
  <c r="AA489" i="102"/>
  <c r="AA490" i="102"/>
  <c r="AA491" i="102"/>
  <c r="AA492" i="102"/>
  <c r="AA493" i="102"/>
  <c r="AA494" i="102"/>
  <c r="AA495" i="102"/>
  <c r="AA496" i="102"/>
  <c r="AA497" i="102"/>
  <c r="AA498" i="102"/>
  <c r="AA499" i="102"/>
  <c r="AA500" i="102"/>
  <c r="W1" i="102"/>
  <c r="W2" i="102"/>
  <c r="W3" i="102"/>
  <c r="W4" i="102"/>
  <c r="W5" i="102"/>
  <c r="W6" i="102"/>
  <c r="W7" i="102"/>
  <c r="W8" i="102"/>
  <c r="W9" i="102"/>
  <c r="W10" i="102"/>
  <c r="W11" i="102"/>
  <c r="W12" i="102"/>
  <c r="W13" i="102"/>
  <c r="W14" i="102"/>
  <c r="W15" i="102"/>
  <c r="W16" i="102"/>
  <c r="W17" i="102"/>
  <c r="W18" i="102"/>
  <c r="W19" i="102"/>
  <c r="W20" i="102"/>
  <c r="W21" i="102"/>
  <c r="W22" i="102"/>
  <c r="W23" i="102"/>
  <c r="W24" i="102"/>
  <c r="W25" i="102"/>
  <c r="W26" i="102"/>
  <c r="W27" i="102"/>
  <c r="W28" i="102"/>
  <c r="W29" i="102"/>
  <c r="W30" i="102"/>
  <c r="W31" i="102"/>
  <c r="W32" i="102"/>
  <c r="W33" i="102"/>
  <c r="W34" i="102"/>
  <c r="W35" i="102"/>
  <c r="W36" i="102"/>
  <c r="W37" i="102"/>
  <c r="W38" i="102"/>
  <c r="W39" i="102"/>
  <c r="W40" i="102"/>
  <c r="W41" i="102"/>
  <c r="W42" i="102"/>
  <c r="W43" i="102"/>
  <c r="W44" i="102"/>
  <c r="W45" i="102"/>
  <c r="W46" i="102"/>
  <c r="W47" i="102"/>
  <c r="W48" i="102"/>
  <c r="W49" i="102"/>
  <c r="W50" i="102"/>
  <c r="W51" i="102"/>
  <c r="W52" i="102"/>
  <c r="W53" i="102"/>
  <c r="W54" i="102"/>
  <c r="W55" i="102"/>
  <c r="W56" i="102"/>
  <c r="W57" i="102"/>
  <c r="W58" i="102"/>
  <c r="W59" i="102"/>
  <c r="W60" i="102"/>
  <c r="W61" i="102"/>
  <c r="W62" i="102"/>
  <c r="W63" i="102"/>
  <c r="W64" i="102"/>
  <c r="W65" i="102"/>
  <c r="W66" i="102"/>
  <c r="W67" i="102"/>
  <c r="W68" i="102"/>
  <c r="W69" i="102"/>
  <c r="W70" i="102"/>
  <c r="W71" i="102"/>
  <c r="W72" i="102"/>
  <c r="W73" i="102"/>
  <c r="W74" i="102"/>
  <c r="W75" i="102"/>
  <c r="W76" i="102"/>
  <c r="W77" i="102"/>
  <c r="W78" i="102"/>
  <c r="W79" i="102"/>
  <c r="W80" i="102"/>
  <c r="W81" i="102"/>
  <c r="W82" i="102"/>
  <c r="W83" i="102"/>
  <c r="W84" i="102"/>
  <c r="W85" i="102"/>
  <c r="W86" i="102"/>
  <c r="W87" i="102"/>
  <c r="W88" i="102"/>
  <c r="W89" i="102"/>
  <c r="W90" i="102"/>
  <c r="W91" i="102"/>
  <c r="W92" i="102"/>
  <c r="W93" i="102"/>
  <c r="W94" i="102"/>
  <c r="W95" i="102"/>
  <c r="W96" i="102"/>
  <c r="W97" i="102"/>
  <c r="W98" i="102"/>
  <c r="W99" i="102"/>
  <c r="W100" i="102"/>
  <c r="W101" i="102"/>
  <c r="W102" i="102"/>
  <c r="W103" i="102"/>
  <c r="W104" i="102"/>
  <c r="W105" i="102"/>
  <c r="W106" i="102"/>
  <c r="W107" i="102"/>
  <c r="W108" i="102"/>
  <c r="W109" i="102"/>
  <c r="W110" i="102"/>
  <c r="W111" i="102"/>
  <c r="W112" i="102"/>
  <c r="W113" i="102"/>
  <c r="W114" i="102"/>
  <c r="W115" i="102"/>
  <c r="W116" i="102"/>
  <c r="W117" i="102"/>
  <c r="W118" i="102"/>
  <c r="W119" i="102"/>
  <c r="W120" i="102"/>
  <c r="W121" i="102"/>
  <c r="W122" i="102"/>
  <c r="W123" i="102"/>
  <c r="W124" i="102"/>
  <c r="W125" i="102"/>
  <c r="W126" i="102"/>
  <c r="W127" i="102"/>
  <c r="W128" i="102"/>
  <c r="W129" i="102"/>
  <c r="W130" i="102"/>
  <c r="W131" i="102"/>
  <c r="W132" i="102"/>
  <c r="W133" i="102"/>
  <c r="W134" i="102"/>
  <c r="W135" i="102"/>
  <c r="W136" i="102"/>
  <c r="W137" i="102"/>
  <c r="W138" i="102"/>
  <c r="W139" i="102"/>
  <c r="W140" i="102"/>
  <c r="W141" i="102"/>
  <c r="W142" i="102"/>
  <c r="W143" i="102"/>
  <c r="W144" i="102"/>
  <c r="W145" i="102"/>
  <c r="W146" i="102"/>
  <c r="W147" i="102"/>
  <c r="W148" i="102"/>
  <c r="W149" i="102"/>
  <c r="W150" i="102"/>
  <c r="W151" i="102"/>
  <c r="W152" i="102"/>
  <c r="W153" i="102"/>
  <c r="W154" i="102"/>
  <c r="W155" i="102"/>
  <c r="W156" i="102"/>
  <c r="W157" i="102"/>
  <c r="W158" i="102"/>
  <c r="W159" i="102"/>
  <c r="W160" i="102"/>
  <c r="W161" i="102"/>
  <c r="W162" i="102"/>
  <c r="W163" i="102"/>
  <c r="W164" i="102"/>
  <c r="W165" i="102"/>
  <c r="W166" i="102"/>
  <c r="W167" i="102"/>
  <c r="W168" i="102"/>
  <c r="W169" i="102"/>
  <c r="W170" i="102"/>
  <c r="W171" i="102"/>
  <c r="W172" i="102"/>
  <c r="W173" i="102"/>
  <c r="W174" i="102"/>
  <c r="W175" i="102"/>
  <c r="W176" i="102"/>
  <c r="W177" i="102"/>
  <c r="W178" i="102"/>
  <c r="W179" i="102"/>
  <c r="W180" i="102"/>
  <c r="W181" i="102"/>
  <c r="W182" i="102"/>
  <c r="W183" i="102"/>
  <c r="W184" i="102"/>
  <c r="W185" i="102"/>
  <c r="W186" i="102"/>
  <c r="W187" i="102"/>
  <c r="W188" i="102"/>
  <c r="W189" i="102"/>
  <c r="W190" i="102"/>
  <c r="W191" i="102"/>
  <c r="W192" i="102"/>
  <c r="W193" i="102"/>
  <c r="W194" i="102"/>
  <c r="W195" i="102"/>
  <c r="W196" i="102"/>
  <c r="W197" i="102"/>
  <c r="W198" i="102"/>
  <c r="W199" i="102"/>
  <c r="W200" i="102"/>
  <c r="W201" i="102"/>
  <c r="W202" i="102"/>
  <c r="W203" i="102"/>
  <c r="W204" i="102"/>
  <c r="W205" i="102"/>
  <c r="W206" i="102"/>
  <c r="W207" i="102"/>
  <c r="W208" i="102"/>
  <c r="W209" i="102"/>
  <c r="W210" i="102"/>
  <c r="W211" i="102"/>
  <c r="W212" i="102"/>
  <c r="W213" i="102"/>
  <c r="W214" i="102"/>
  <c r="W215" i="102"/>
  <c r="W216" i="102"/>
  <c r="W217" i="102"/>
  <c r="W218" i="102"/>
  <c r="W219" i="102"/>
  <c r="W220" i="102"/>
  <c r="W221" i="102"/>
  <c r="W222" i="102"/>
  <c r="W223" i="102"/>
  <c r="W224" i="102"/>
  <c r="W225" i="102"/>
  <c r="W226" i="102"/>
  <c r="W227" i="102"/>
  <c r="W228" i="102"/>
  <c r="W229" i="102"/>
  <c r="W230" i="102"/>
  <c r="W231" i="102"/>
  <c r="W232" i="102"/>
  <c r="W233" i="102"/>
  <c r="W234" i="102"/>
  <c r="W235" i="102"/>
  <c r="W236" i="102"/>
  <c r="W237" i="102"/>
  <c r="W238" i="102"/>
  <c r="W239" i="102"/>
  <c r="W240" i="102"/>
  <c r="W241" i="102"/>
  <c r="W242" i="102"/>
  <c r="W243" i="102"/>
  <c r="W244" i="102"/>
  <c r="W245" i="102"/>
  <c r="W246" i="102"/>
  <c r="W247" i="102"/>
  <c r="W248" i="102"/>
  <c r="W249" i="102"/>
  <c r="W250" i="102"/>
  <c r="W251" i="102"/>
  <c r="W252" i="102"/>
  <c r="W253" i="102"/>
  <c r="W254" i="102"/>
  <c r="W255" i="102"/>
  <c r="W256" i="102"/>
  <c r="W257" i="102"/>
  <c r="W258" i="102"/>
  <c r="W259" i="102"/>
  <c r="W260" i="102"/>
  <c r="W261" i="102"/>
  <c r="W262" i="102"/>
  <c r="W263" i="102"/>
  <c r="W264" i="102"/>
  <c r="W265" i="102"/>
  <c r="W266" i="102"/>
  <c r="W267" i="102"/>
  <c r="W268" i="102"/>
  <c r="W269" i="102"/>
  <c r="W270" i="102"/>
  <c r="W271" i="102"/>
  <c r="W272" i="102"/>
  <c r="W273" i="102"/>
  <c r="W274" i="102"/>
  <c r="W275" i="102"/>
  <c r="W276" i="102"/>
  <c r="W277" i="102"/>
  <c r="W278" i="102"/>
  <c r="W279" i="102"/>
  <c r="W280" i="102"/>
  <c r="W281" i="102"/>
  <c r="W282" i="102"/>
  <c r="W283" i="102"/>
  <c r="W284" i="102"/>
  <c r="W285" i="102"/>
  <c r="W286" i="102"/>
  <c r="W287" i="102"/>
  <c r="W288" i="102"/>
  <c r="W289" i="102"/>
  <c r="W290" i="102"/>
  <c r="W291" i="102"/>
  <c r="W292" i="102"/>
  <c r="W293" i="102"/>
  <c r="W294" i="102"/>
  <c r="W295" i="102"/>
  <c r="W296" i="102"/>
  <c r="W297" i="102"/>
  <c r="W298" i="102"/>
  <c r="W299" i="102"/>
  <c r="W300" i="102"/>
  <c r="W301" i="102"/>
  <c r="W302" i="102"/>
  <c r="W303" i="102"/>
  <c r="W304" i="102"/>
  <c r="W305" i="102"/>
  <c r="W306" i="102"/>
  <c r="W307" i="102"/>
  <c r="W308" i="102"/>
  <c r="W309" i="102"/>
  <c r="W310" i="102"/>
  <c r="W311" i="102"/>
  <c r="W312" i="102"/>
  <c r="W313" i="102"/>
  <c r="W314" i="102"/>
  <c r="W315" i="102"/>
  <c r="W316" i="102"/>
  <c r="W317" i="102"/>
  <c r="W318" i="102"/>
  <c r="W319" i="102"/>
  <c r="W320" i="102"/>
  <c r="W321" i="102"/>
  <c r="W322" i="102"/>
  <c r="W323" i="102"/>
  <c r="W324" i="102"/>
  <c r="W325" i="102"/>
  <c r="W326" i="102"/>
  <c r="W327" i="102"/>
  <c r="W328" i="102"/>
  <c r="W329" i="102"/>
  <c r="W330" i="102"/>
  <c r="W331" i="102"/>
  <c r="W332" i="102"/>
  <c r="W333" i="102"/>
  <c r="W334" i="102"/>
  <c r="W335" i="102"/>
  <c r="W336" i="102"/>
  <c r="W337" i="102"/>
  <c r="W338" i="102"/>
  <c r="W339" i="102"/>
  <c r="W340" i="102"/>
  <c r="W341" i="102"/>
  <c r="W342" i="102"/>
  <c r="W343" i="102"/>
  <c r="W344" i="102"/>
  <c r="W345" i="102"/>
  <c r="W346" i="102"/>
  <c r="W347" i="102"/>
  <c r="W348" i="102"/>
  <c r="W349" i="102"/>
  <c r="W350" i="102"/>
  <c r="W351" i="102"/>
  <c r="W352" i="102"/>
  <c r="W353" i="102"/>
  <c r="W354" i="102"/>
  <c r="W355" i="102"/>
  <c r="W356" i="102"/>
  <c r="W357" i="102"/>
  <c r="W358" i="102"/>
  <c r="W359" i="102"/>
  <c r="W360" i="102"/>
  <c r="W361" i="102"/>
  <c r="W362" i="102"/>
  <c r="W363" i="102"/>
  <c r="W364" i="102"/>
  <c r="W365" i="102"/>
  <c r="W366" i="102"/>
  <c r="W367" i="102"/>
  <c r="W368" i="102"/>
  <c r="W369" i="102"/>
  <c r="W370" i="102"/>
  <c r="W371" i="102"/>
  <c r="W372" i="102"/>
  <c r="W373" i="102"/>
  <c r="W374" i="102"/>
  <c r="W375" i="102"/>
  <c r="W376" i="102"/>
  <c r="W377" i="102"/>
  <c r="W378" i="102"/>
  <c r="W379" i="102"/>
  <c r="W380" i="102"/>
  <c r="W381" i="102"/>
  <c r="W382" i="102"/>
  <c r="W383" i="102"/>
  <c r="W384" i="102"/>
  <c r="W385" i="102"/>
  <c r="W386" i="102"/>
  <c r="W387" i="102"/>
  <c r="W388" i="102"/>
  <c r="W389" i="102"/>
  <c r="W390" i="102"/>
  <c r="W391" i="102"/>
  <c r="W392" i="102"/>
  <c r="W393" i="102"/>
  <c r="W394" i="102"/>
  <c r="W395" i="102"/>
  <c r="W396" i="102"/>
  <c r="W397" i="102"/>
  <c r="W398" i="102"/>
  <c r="W399" i="102"/>
  <c r="W400" i="102"/>
  <c r="W401" i="102"/>
  <c r="W402" i="102"/>
  <c r="W403" i="102"/>
  <c r="W404" i="102"/>
  <c r="W405" i="102"/>
  <c r="W406" i="102"/>
  <c r="W407" i="102"/>
  <c r="W408" i="102"/>
  <c r="W409" i="102"/>
  <c r="W410" i="102"/>
  <c r="W411" i="102"/>
  <c r="W412" i="102"/>
  <c r="W413" i="102"/>
  <c r="W414" i="102"/>
  <c r="W415" i="102"/>
  <c r="W416" i="102"/>
  <c r="W417" i="102"/>
  <c r="W418" i="102"/>
  <c r="W419" i="102"/>
  <c r="W420" i="102"/>
  <c r="W421" i="102"/>
  <c r="W422" i="102"/>
  <c r="W423" i="102"/>
  <c r="W424" i="102"/>
  <c r="W425" i="102"/>
  <c r="W426" i="102"/>
  <c r="W427" i="102"/>
  <c r="W428" i="102"/>
  <c r="W429" i="102"/>
  <c r="W430" i="102"/>
  <c r="W431" i="102"/>
  <c r="W432" i="102"/>
  <c r="W433" i="102"/>
  <c r="W434" i="102"/>
  <c r="W435" i="102"/>
  <c r="W436" i="102"/>
  <c r="W437" i="102"/>
  <c r="W438" i="102"/>
  <c r="W439" i="102"/>
  <c r="W440" i="102"/>
  <c r="W441" i="102"/>
  <c r="W442" i="102"/>
  <c r="W443" i="102"/>
  <c r="W444" i="102"/>
  <c r="W445" i="102"/>
  <c r="W446" i="102"/>
  <c r="W447" i="102"/>
  <c r="W448" i="102"/>
  <c r="W449" i="102"/>
  <c r="W450" i="102"/>
  <c r="W451" i="102"/>
  <c r="W452" i="102"/>
  <c r="W453" i="102"/>
  <c r="W454" i="102"/>
  <c r="W455" i="102"/>
  <c r="W456" i="102"/>
  <c r="W457" i="102"/>
  <c r="W458" i="102"/>
  <c r="W459" i="102"/>
  <c r="W460" i="102"/>
  <c r="W461" i="102"/>
  <c r="W462" i="102"/>
  <c r="W463" i="102"/>
  <c r="W464" i="102"/>
  <c r="W465" i="102"/>
  <c r="W466" i="102"/>
  <c r="W467" i="102"/>
  <c r="W468" i="102"/>
  <c r="W469" i="102"/>
  <c r="W470" i="102"/>
  <c r="W471" i="102"/>
  <c r="W472" i="102"/>
  <c r="W473" i="102"/>
  <c r="W474" i="102"/>
  <c r="W475" i="102"/>
  <c r="W476" i="102"/>
  <c r="W477" i="102"/>
  <c r="W478" i="102"/>
  <c r="W479" i="102"/>
  <c r="W480" i="102"/>
  <c r="W481" i="102"/>
  <c r="W482" i="102"/>
  <c r="W483" i="102"/>
  <c r="W484" i="102"/>
  <c r="W485" i="102"/>
  <c r="W486" i="102"/>
  <c r="W487" i="102"/>
  <c r="W488" i="102"/>
  <c r="W489" i="102"/>
  <c r="W490" i="102"/>
  <c r="W491" i="102"/>
  <c r="W492" i="102"/>
  <c r="W493" i="102"/>
  <c r="W494" i="102"/>
  <c r="W495" i="102"/>
  <c r="W496" i="102"/>
  <c r="W497" i="102"/>
  <c r="W498" i="102"/>
  <c r="W499" i="102"/>
  <c r="W500" i="102"/>
  <c r="S1" i="102"/>
  <c r="S2" i="102"/>
  <c r="S3" i="102"/>
  <c r="S4" i="102"/>
  <c r="S5" i="102"/>
  <c r="S6" i="102"/>
  <c r="S7" i="102"/>
  <c r="S8" i="102"/>
  <c r="S9" i="102"/>
  <c r="S10" i="102"/>
  <c r="S11" i="102"/>
  <c r="S12" i="102"/>
  <c r="S13" i="102"/>
  <c r="S14" i="102"/>
  <c r="S15" i="102"/>
  <c r="S16" i="102"/>
  <c r="S17" i="102"/>
  <c r="S18" i="102"/>
  <c r="S19" i="102"/>
  <c r="S20" i="102"/>
  <c r="S21" i="102"/>
  <c r="S22" i="102"/>
  <c r="S23" i="102"/>
  <c r="S24" i="102"/>
  <c r="S25" i="102"/>
  <c r="S26" i="102"/>
  <c r="S27" i="102"/>
  <c r="S28" i="102"/>
  <c r="S29" i="102"/>
  <c r="S30" i="102"/>
  <c r="S31" i="102"/>
  <c r="S32" i="102"/>
  <c r="S33" i="102"/>
  <c r="S34" i="102"/>
  <c r="S35" i="102"/>
  <c r="S36" i="102"/>
  <c r="S37" i="102"/>
  <c r="S38" i="102"/>
  <c r="S39" i="102"/>
  <c r="S40" i="102"/>
  <c r="S41" i="102"/>
  <c r="S42" i="102"/>
  <c r="S43" i="102"/>
  <c r="S44" i="102"/>
  <c r="S45" i="102"/>
  <c r="S46" i="102"/>
  <c r="S47" i="102"/>
  <c r="S48" i="102"/>
  <c r="S49" i="102"/>
  <c r="S50" i="102"/>
  <c r="S51" i="102"/>
  <c r="S52" i="102"/>
  <c r="S53" i="102"/>
  <c r="S54" i="102"/>
  <c r="S55" i="102"/>
  <c r="S56" i="102"/>
  <c r="S57" i="102"/>
  <c r="S58" i="102"/>
  <c r="S59" i="102"/>
  <c r="S60" i="102"/>
  <c r="S61" i="102"/>
  <c r="S62" i="102"/>
  <c r="S63" i="102"/>
  <c r="S64" i="102"/>
  <c r="S65" i="102"/>
  <c r="S66" i="102"/>
  <c r="S67" i="102"/>
  <c r="S68" i="102"/>
  <c r="S69" i="102"/>
  <c r="S70" i="102"/>
  <c r="S71" i="102"/>
  <c r="S72" i="102"/>
  <c r="S73" i="102"/>
  <c r="S74" i="102"/>
  <c r="S75" i="102"/>
  <c r="S76" i="102"/>
  <c r="S77" i="102"/>
  <c r="S78" i="102"/>
  <c r="S79" i="102"/>
  <c r="S80" i="102"/>
  <c r="S81" i="102"/>
  <c r="S82" i="102"/>
  <c r="S83" i="102"/>
  <c r="S84" i="102"/>
  <c r="S85" i="102"/>
  <c r="S86" i="102"/>
  <c r="S87" i="102"/>
  <c r="S88" i="102"/>
  <c r="S89" i="102"/>
  <c r="S90" i="102"/>
  <c r="S91" i="102"/>
  <c r="S92" i="102"/>
  <c r="S93" i="102"/>
  <c r="S94" i="102"/>
  <c r="S95" i="102"/>
  <c r="S96" i="102"/>
  <c r="S97" i="102"/>
  <c r="S98" i="102"/>
  <c r="S99" i="102"/>
  <c r="S100" i="102"/>
  <c r="S101" i="102"/>
  <c r="S102" i="102"/>
  <c r="S103" i="102"/>
  <c r="S104" i="102"/>
  <c r="S105" i="102"/>
  <c r="S106" i="102"/>
  <c r="S107" i="102"/>
  <c r="S108" i="102"/>
  <c r="S109" i="102"/>
  <c r="S110" i="102"/>
  <c r="S111" i="102"/>
  <c r="S112" i="102"/>
  <c r="S113" i="102"/>
  <c r="S114" i="102"/>
  <c r="S115" i="102"/>
  <c r="S116" i="102"/>
  <c r="S117" i="102"/>
  <c r="S118" i="102"/>
  <c r="S119" i="102"/>
  <c r="S120" i="102"/>
  <c r="S121" i="102"/>
  <c r="S122" i="102"/>
  <c r="S123" i="102"/>
  <c r="S124" i="102"/>
  <c r="S125" i="102"/>
  <c r="S126" i="102"/>
  <c r="S127" i="102"/>
  <c r="S128" i="102"/>
  <c r="S129" i="102"/>
  <c r="S130" i="102"/>
  <c r="S131" i="102"/>
  <c r="S132" i="102"/>
  <c r="S133" i="102"/>
  <c r="S134" i="102"/>
  <c r="S135" i="102"/>
  <c r="S136" i="102"/>
  <c r="S137" i="102"/>
  <c r="S138" i="102"/>
  <c r="S139" i="102"/>
  <c r="S140" i="102"/>
  <c r="S141" i="102"/>
  <c r="S142" i="102"/>
  <c r="S143" i="102"/>
  <c r="S144" i="102"/>
  <c r="S145" i="102"/>
  <c r="S146" i="102"/>
  <c r="S147" i="102"/>
  <c r="S148" i="102"/>
  <c r="S149" i="102"/>
  <c r="S150" i="102"/>
  <c r="S151" i="102"/>
  <c r="S152" i="102"/>
  <c r="S153" i="102"/>
  <c r="S154" i="102"/>
  <c r="S155" i="102"/>
  <c r="S156" i="102"/>
  <c r="S157" i="102"/>
  <c r="S158" i="102"/>
  <c r="S159" i="102"/>
  <c r="S160" i="102"/>
  <c r="S161" i="102"/>
  <c r="S162" i="102"/>
  <c r="S163" i="102"/>
  <c r="S164" i="102"/>
  <c r="S165" i="102"/>
  <c r="S166" i="102"/>
  <c r="S167" i="102"/>
  <c r="S168" i="102"/>
  <c r="S169" i="102"/>
  <c r="S170" i="102"/>
  <c r="S171" i="102"/>
  <c r="S172" i="102"/>
  <c r="S173" i="102"/>
  <c r="S174" i="102"/>
  <c r="S175" i="102"/>
  <c r="S176" i="102"/>
  <c r="S177" i="102"/>
  <c r="S178" i="102"/>
  <c r="S179" i="102"/>
  <c r="S180" i="102"/>
  <c r="S181" i="102"/>
  <c r="S182" i="102"/>
  <c r="S183" i="102"/>
  <c r="S184" i="102"/>
  <c r="S185" i="102"/>
  <c r="S186" i="102"/>
  <c r="S187" i="102"/>
  <c r="S188" i="102"/>
  <c r="S189" i="102"/>
  <c r="S190" i="102"/>
  <c r="S191" i="102"/>
  <c r="S192" i="102"/>
  <c r="S193" i="102"/>
  <c r="S194" i="102"/>
  <c r="S195" i="102"/>
  <c r="S196" i="102"/>
  <c r="S197" i="102"/>
  <c r="S198" i="102"/>
  <c r="S199" i="102"/>
  <c r="S200" i="102"/>
  <c r="S201" i="102"/>
  <c r="S202" i="102"/>
  <c r="S203" i="102"/>
  <c r="S204" i="102"/>
  <c r="S205" i="102"/>
  <c r="S206" i="102"/>
  <c r="S207" i="102"/>
  <c r="S208" i="102"/>
  <c r="S209" i="102"/>
  <c r="S210" i="102"/>
  <c r="S211" i="102"/>
  <c r="S212" i="102"/>
  <c r="S213" i="102"/>
  <c r="S214" i="102"/>
  <c r="S215" i="102"/>
  <c r="S216" i="102"/>
  <c r="S217" i="102"/>
  <c r="S218" i="102"/>
  <c r="S219" i="102"/>
  <c r="S220" i="102"/>
  <c r="S221" i="102"/>
  <c r="S222" i="102"/>
  <c r="S223" i="102"/>
  <c r="S224" i="102"/>
  <c r="S225" i="102"/>
  <c r="S226" i="102"/>
  <c r="S227" i="102"/>
  <c r="S228" i="102"/>
  <c r="S229" i="102"/>
  <c r="S230" i="102"/>
  <c r="S231" i="102"/>
  <c r="S232" i="102"/>
  <c r="S233" i="102"/>
  <c r="S234" i="102"/>
  <c r="S235" i="102"/>
  <c r="S236" i="102"/>
  <c r="S237" i="102"/>
  <c r="S238" i="102"/>
  <c r="S239" i="102"/>
  <c r="S240" i="102"/>
  <c r="S241" i="102"/>
  <c r="S242" i="102"/>
  <c r="S243" i="102"/>
  <c r="S244" i="102"/>
  <c r="S245" i="102"/>
  <c r="S246" i="102"/>
  <c r="S247" i="102"/>
  <c r="S248" i="102"/>
  <c r="S249" i="102"/>
  <c r="S250" i="102"/>
  <c r="S251" i="102"/>
  <c r="S252" i="102"/>
  <c r="S253" i="102"/>
  <c r="S254" i="102"/>
  <c r="S255" i="102"/>
  <c r="S256" i="102"/>
  <c r="S257" i="102"/>
  <c r="S258" i="102"/>
  <c r="S259" i="102"/>
  <c r="S260" i="102"/>
  <c r="S261" i="102"/>
  <c r="S262" i="102"/>
  <c r="S263" i="102"/>
  <c r="S264" i="102"/>
  <c r="S265" i="102"/>
  <c r="S266" i="102"/>
  <c r="S267" i="102"/>
  <c r="S268" i="102"/>
  <c r="S269" i="102"/>
  <c r="S270" i="102"/>
  <c r="S271" i="102"/>
  <c r="S272" i="102"/>
  <c r="S273" i="102"/>
  <c r="S274" i="102"/>
  <c r="S275" i="102"/>
  <c r="S276" i="102"/>
  <c r="S277" i="102"/>
  <c r="S278" i="102"/>
  <c r="S279" i="102"/>
  <c r="S280" i="102"/>
  <c r="S281" i="102"/>
  <c r="S282" i="102"/>
  <c r="S283" i="102"/>
  <c r="S284" i="102"/>
  <c r="S285" i="102"/>
  <c r="S286" i="102"/>
  <c r="S287" i="102"/>
  <c r="S288" i="102"/>
  <c r="S289" i="102"/>
  <c r="S290" i="102"/>
  <c r="S291" i="102"/>
  <c r="S292" i="102"/>
  <c r="S293" i="102"/>
  <c r="S294" i="102"/>
  <c r="S295" i="102"/>
  <c r="S296" i="102"/>
  <c r="S297" i="102"/>
  <c r="S298" i="102"/>
  <c r="S299" i="102"/>
  <c r="S300" i="102"/>
  <c r="S301" i="102"/>
  <c r="S302" i="102"/>
  <c r="S303" i="102"/>
  <c r="S304" i="102"/>
  <c r="S305" i="102"/>
  <c r="S306" i="102"/>
  <c r="S307" i="102"/>
  <c r="S308" i="102"/>
  <c r="S309" i="102"/>
  <c r="S310" i="102"/>
  <c r="S311" i="102"/>
  <c r="S312" i="102"/>
  <c r="S313" i="102"/>
  <c r="S314" i="102"/>
  <c r="S315" i="102"/>
  <c r="S316" i="102"/>
  <c r="S317" i="102"/>
  <c r="S318" i="102"/>
  <c r="S319" i="102"/>
  <c r="S320" i="102"/>
  <c r="S321" i="102"/>
  <c r="S322" i="102"/>
  <c r="S323" i="102"/>
  <c r="S324" i="102"/>
  <c r="S325" i="102"/>
  <c r="S326" i="102"/>
  <c r="S327" i="102"/>
  <c r="S328" i="102"/>
  <c r="S329" i="102"/>
  <c r="S330" i="102"/>
  <c r="S331" i="102"/>
  <c r="S332" i="102"/>
  <c r="S333" i="102"/>
  <c r="S334" i="102"/>
  <c r="S335" i="102"/>
  <c r="S336" i="102"/>
  <c r="S337" i="102"/>
  <c r="S338" i="102"/>
  <c r="S339" i="102"/>
  <c r="S340" i="102"/>
  <c r="S341" i="102"/>
  <c r="S342" i="102"/>
  <c r="S343" i="102"/>
  <c r="S344" i="102"/>
  <c r="S345" i="102"/>
  <c r="S346" i="102"/>
  <c r="S347" i="102"/>
  <c r="S348" i="102"/>
  <c r="S349" i="102"/>
  <c r="S350" i="102"/>
  <c r="S351" i="102"/>
  <c r="S352" i="102"/>
  <c r="S353" i="102"/>
  <c r="S354" i="102"/>
  <c r="S355" i="102"/>
  <c r="S356" i="102"/>
  <c r="S357" i="102"/>
  <c r="S358" i="102"/>
  <c r="S359" i="102"/>
  <c r="S360" i="102"/>
  <c r="S361" i="102"/>
  <c r="S362" i="102"/>
  <c r="S363" i="102"/>
  <c r="S364" i="102"/>
  <c r="S365" i="102"/>
  <c r="S366" i="102"/>
  <c r="S367" i="102"/>
  <c r="S368" i="102"/>
  <c r="S369" i="102"/>
  <c r="S370" i="102"/>
  <c r="S371" i="102"/>
  <c r="S372" i="102"/>
  <c r="S373" i="102"/>
  <c r="S374" i="102"/>
  <c r="S375" i="102"/>
  <c r="S376" i="102"/>
  <c r="S377" i="102"/>
  <c r="S378" i="102"/>
  <c r="S379" i="102"/>
  <c r="S380" i="102"/>
  <c r="S381" i="102"/>
  <c r="S382" i="102"/>
  <c r="S383" i="102"/>
  <c r="S384" i="102"/>
  <c r="S385" i="102"/>
  <c r="S386" i="102"/>
  <c r="S387" i="102"/>
  <c r="S388" i="102"/>
  <c r="S389" i="102"/>
  <c r="S390" i="102"/>
  <c r="S391" i="102"/>
  <c r="S392" i="102"/>
  <c r="S393" i="102"/>
  <c r="S394" i="102"/>
  <c r="S395" i="102"/>
  <c r="S396" i="102"/>
  <c r="S397" i="102"/>
  <c r="S398" i="102"/>
  <c r="S399" i="102"/>
  <c r="S400" i="102"/>
  <c r="S401" i="102"/>
  <c r="S402" i="102"/>
  <c r="S403" i="102"/>
  <c r="S404" i="102"/>
  <c r="S405" i="102"/>
  <c r="S406" i="102"/>
  <c r="S407" i="102"/>
  <c r="S408" i="102"/>
  <c r="S409" i="102"/>
  <c r="S410" i="102"/>
  <c r="S411" i="102"/>
  <c r="S412" i="102"/>
  <c r="S413" i="102"/>
  <c r="S414" i="102"/>
  <c r="S415" i="102"/>
  <c r="S416" i="102"/>
  <c r="S417" i="102"/>
  <c r="S418" i="102"/>
  <c r="S419" i="102"/>
  <c r="S420" i="102"/>
  <c r="S421" i="102"/>
  <c r="S422" i="102"/>
  <c r="S423" i="102"/>
  <c r="S424" i="102"/>
  <c r="S425" i="102"/>
  <c r="S426" i="102"/>
  <c r="S427" i="102"/>
  <c r="S428" i="102"/>
  <c r="S429" i="102"/>
  <c r="S430" i="102"/>
  <c r="S431" i="102"/>
  <c r="S432" i="102"/>
  <c r="S433" i="102"/>
  <c r="S434" i="102"/>
  <c r="S435" i="102"/>
  <c r="S436" i="102"/>
  <c r="S437" i="102"/>
  <c r="S438" i="102"/>
  <c r="S439" i="102"/>
  <c r="S440" i="102"/>
  <c r="S441" i="102"/>
  <c r="S442" i="102"/>
  <c r="S443" i="102"/>
  <c r="S444" i="102"/>
  <c r="S445" i="102"/>
  <c r="S446" i="102"/>
  <c r="S447" i="102"/>
  <c r="S448" i="102"/>
  <c r="S449" i="102"/>
  <c r="S450" i="102"/>
  <c r="S451" i="102"/>
  <c r="S452" i="102"/>
  <c r="S453" i="102"/>
  <c r="S454" i="102"/>
  <c r="S455" i="102"/>
  <c r="S456" i="102"/>
  <c r="S457" i="102"/>
  <c r="S458" i="102"/>
  <c r="S459" i="102"/>
  <c r="S460" i="102"/>
  <c r="S461" i="102"/>
  <c r="S462" i="102"/>
  <c r="S463" i="102"/>
  <c r="S464" i="102"/>
  <c r="S465" i="102"/>
  <c r="S466" i="102"/>
  <c r="S467" i="102"/>
  <c r="S468" i="102"/>
  <c r="S469" i="102"/>
  <c r="S470" i="102"/>
  <c r="S471" i="102"/>
  <c r="S472" i="102"/>
  <c r="S473" i="102"/>
  <c r="S474" i="102"/>
  <c r="S475" i="102"/>
  <c r="S476" i="102"/>
  <c r="S477" i="102"/>
  <c r="S478" i="102"/>
  <c r="S479" i="102"/>
  <c r="S480" i="102"/>
  <c r="S481" i="102"/>
  <c r="S482" i="102"/>
  <c r="S483" i="102"/>
  <c r="S484" i="102"/>
  <c r="S485" i="102"/>
  <c r="S486" i="102"/>
  <c r="S487" i="102"/>
  <c r="S488" i="102"/>
  <c r="S489" i="102"/>
  <c r="S490" i="102"/>
  <c r="S491" i="102"/>
  <c r="S492" i="102"/>
  <c r="S493" i="102"/>
  <c r="S494" i="102"/>
  <c r="S495" i="102"/>
  <c r="S496" i="102"/>
  <c r="S497" i="102"/>
  <c r="S498" i="102"/>
  <c r="S499" i="102"/>
  <c r="S500" i="102"/>
  <c r="O1" i="102"/>
  <c r="O2" i="102"/>
  <c r="O3" i="102"/>
  <c r="O4" i="102"/>
  <c r="O5" i="102"/>
  <c r="O6" i="102"/>
  <c r="O7" i="102"/>
  <c r="O8" i="102"/>
  <c r="O9" i="102"/>
  <c r="O10" i="102"/>
  <c r="O11" i="102"/>
  <c r="O12" i="102"/>
  <c r="O13" i="102"/>
  <c r="O14" i="102"/>
  <c r="O15" i="102"/>
  <c r="O16" i="102"/>
  <c r="O17" i="102"/>
  <c r="O18" i="102"/>
  <c r="O19" i="102"/>
  <c r="O20" i="102"/>
  <c r="O21" i="102"/>
  <c r="O22" i="102"/>
  <c r="O23" i="102"/>
  <c r="O24" i="102"/>
  <c r="O25" i="102"/>
  <c r="O26" i="102"/>
  <c r="O27" i="102"/>
  <c r="O28" i="102"/>
  <c r="O29" i="102"/>
  <c r="O30" i="102"/>
  <c r="O31" i="102"/>
  <c r="O32" i="102"/>
  <c r="O33" i="102"/>
  <c r="O34" i="102"/>
  <c r="O35" i="102"/>
  <c r="O36" i="102"/>
  <c r="O37" i="102"/>
  <c r="O38" i="102"/>
  <c r="O39" i="102"/>
  <c r="O40" i="102"/>
  <c r="O41" i="102"/>
  <c r="O42" i="102"/>
  <c r="O43" i="102"/>
  <c r="O44" i="102"/>
  <c r="O45" i="102"/>
  <c r="O46" i="102"/>
  <c r="O47" i="102"/>
  <c r="O48" i="102"/>
  <c r="O49" i="102"/>
  <c r="O50" i="102"/>
  <c r="O51" i="102"/>
  <c r="O52" i="102"/>
  <c r="O53" i="102"/>
  <c r="O54" i="102"/>
  <c r="O55" i="102"/>
  <c r="O56" i="102"/>
  <c r="O57" i="102"/>
  <c r="O58" i="102"/>
  <c r="O59" i="102"/>
  <c r="O60" i="102"/>
  <c r="O61" i="102"/>
  <c r="O62" i="102"/>
  <c r="O63" i="102"/>
  <c r="O64" i="102"/>
  <c r="O65" i="102"/>
  <c r="O66" i="102"/>
  <c r="O67" i="102"/>
  <c r="O68" i="102"/>
  <c r="O69" i="102"/>
  <c r="O70" i="102"/>
  <c r="O71" i="102"/>
  <c r="O72" i="102"/>
  <c r="O73" i="102"/>
  <c r="O74" i="102"/>
  <c r="O75" i="102"/>
  <c r="O76" i="102"/>
  <c r="O77" i="102"/>
  <c r="O78" i="102"/>
  <c r="O79" i="102"/>
  <c r="O80" i="102"/>
  <c r="O81" i="102"/>
  <c r="O82" i="102"/>
  <c r="O83" i="102"/>
  <c r="O84" i="102"/>
  <c r="O85" i="102"/>
  <c r="O86" i="102"/>
  <c r="O87" i="102"/>
  <c r="O88" i="102"/>
  <c r="O89" i="102"/>
  <c r="O90" i="102"/>
  <c r="O91" i="102"/>
  <c r="O92" i="102"/>
  <c r="O93" i="102"/>
  <c r="O94" i="102"/>
  <c r="O95" i="102"/>
  <c r="O96" i="102"/>
  <c r="O97" i="102"/>
  <c r="O98" i="102"/>
  <c r="O99" i="102"/>
  <c r="O100" i="102"/>
  <c r="O101" i="102"/>
  <c r="O102" i="102"/>
  <c r="O103" i="102"/>
  <c r="O104" i="102"/>
  <c r="O105" i="102"/>
  <c r="O106" i="102"/>
  <c r="O107" i="102"/>
  <c r="O108" i="102"/>
  <c r="O109" i="102"/>
  <c r="O110" i="102"/>
  <c r="O111" i="102"/>
  <c r="O112" i="102"/>
  <c r="O113" i="102"/>
  <c r="O114" i="102"/>
  <c r="O115" i="102"/>
  <c r="O116" i="102"/>
  <c r="O117" i="102"/>
  <c r="O118" i="102"/>
  <c r="O119" i="102"/>
  <c r="O120" i="102"/>
  <c r="O121" i="102"/>
  <c r="O122" i="102"/>
  <c r="O123" i="102"/>
  <c r="O124" i="102"/>
  <c r="O125" i="102"/>
  <c r="O126" i="102"/>
  <c r="O127" i="102"/>
  <c r="O128" i="102"/>
  <c r="O129" i="102"/>
  <c r="O130" i="102"/>
  <c r="O131" i="102"/>
  <c r="O132" i="102"/>
  <c r="O133" i="102"/>
  <c r="O134" i="102"/>
  <c r="O135" i="102"/>
  <c r="O136" i="102"/>
  <c r="O137" i="102"/>
  <c r="O138" i="102"/>
  <c r="O139" i="102"/>
  <c r="O140" i="102"/>
  <c r="O141" i="102"/>
  <c r="O142" i="102"/>
  <c r="O143" i="102"/>
  <c r="O144" i="102"/>
  <c r="O145" i="102"/>
  <c r="O146" i="102"/>
  <c r="O147" i="102"/>
  <c r="O148" i="102"/>
  <c r="O149" i="102"/>
  <c r="O150" i="102"/>
  <c r="O151" i="102"/>
  <c r="O152" i="102"/>
  <c r="O153" i="102"/>
  <c r="O154" i="102"/>
  <c r="O155" i="102"/>
  <c r="O156" i="102"/>
  <c r="O157" i="102"/>
  <c r="O158" i="102"/>
  <c r="O159" i="102"/>
  <c r="O160" i="102"/>
  <c r="O161" i="102"/>
  <c r="O162" i="102"/>
  <c r="O163" i="102"/>
  <c r="O164" i="102"/>
  <c r="O165" i="102"/>
  <c r="O166" i="102"/>
  <c r="O167" i="102"/>
  <c r="O168" i="102"/>
  <c r="O169" i="102"/>
  <c r="O170" i="102"/>
  <c r="O171" i="102"/>
  <c r="O172" i="102"/>
  <c r="O173" i="102"/>
  <c r="O174" i="102"/>
  <c r="O175" i="102"/>
  <c r="O176" i="102"/>
  <c r="O177" i="102"/>
  <c r="O178" i="102"/>
  <c r="O179" i="102"/>
  <c r="O180" i="102"/>
  <c r="O181" i="102"/>
  <c r="O182" i="102"/>
  <c r="O183" i="102"/>
  <c r="O184" i="102"/>
  <c r="O185" i="102"/>
  <c r="O186" i="102"/>
  <c r="O187" i="102"/>
  <c r="O188" i="102"/>
  <c r="O189" i="102"/>
  <c r="O190" i="102"/>
  <c r="O191" i="102"/>
  <c r="O192" i="102"/>
  <c r="O193" i="102"/>
  <c r="O194" i="102"/>
  <c r="O195" i="102"/>
  <c r="O196" i="102"/>
  <c r="O197" i="102"/>
  <c r="O198" i="102"/>
  <c r="O199" i="102"/>
  <c r="O200" i="102"/>
  <c r="O201" i="102"/>
  <c r="O202" i="102"/>
  <c r="O203" i="102"/>
  <c r="O204" i="102"/>
  <c r="O205" i="102"/>
  <c r="O206" i="102"/>
  <c r="O207" i="102"/>
  <c r="O208" i="102"/>
  <c r="O209" i="102"/>
  <c r="O210" i="102"/>
  <c r="O211" i="102"/>
  <c r="O212" i="102"/>
  <c r="O213" i="102"/>
  <c r="O214" i="102"/>
  <c r="O215" i="102"/>
  <c r="O216" i="102"/>
  <c r="O217" i="102"/>
  <c r="O218" i="102"/>
  <c r="O219" i="102"/>
  <c r="O220" i="102"/>
  <c r="O221" i="102"/>
  <c r="O222" i="102"/>
  <c r="O223" i="102"/>
  <c r="O224" i="102"/>
  <c r="O225" i="102"/>
  <c r="O226" i="102"/>
  <c r="O227" i="102"/>
  <c r="O228" i="102"/>
  <c r="O229" i="102"/>
  <c r="O230" i="102"/>
  <c r="O231" i="102"/>
  <c r="O232" i="102"/>
  <c r="O233" i="102"/>
  <c r="O234" i="102"/>
  <c r="O235" i="102"/>
  <c r="O236" i="102"/>
  <c r="O237" i="102"/>
  <c r="O238" i="102"/>
  <c r="O239" i="102"/>
  <c r="O240" i="102"/>
  <c r="O241" i="102"/>
  <c r="O242" i="102"/>
  <c r="O243" i="102"/>
  <c r="O244" i="102"/>
  <c r="O245" i="102"/>
  <c r="O246" i="102"/>
  <c r="O247" i="102"/>
  <c r="O248" i="102"/>
  <c r="O249" i="102"/>
  <c r="O250" i="102"/>
  <c r="O251" i="102"/>
  <c r="O252" i="102"/>
  <c r="O253" i="102"/>
  <c r="O254" i="102"/>
  <c r="O255" i="102"/>
  <c r="O256" i="102"/>
  <c r="O257" i="102"/>
  <c r="O258" i="102"/>
  <c r="O259" i="102"/>
  <c r="O260" i="102"/>
  <c r="O261" i="102"/>
  <c r="O262" i="102"/>
  <c r="O263" i="102"/>
  <c r="O264" i="102"/>
  <c r="O265" i="102"/>
  <c r="O266" i="102"/>
  <c r="O267" i="102"/>
  <c r="O268" i="102"/>
  <c r="O269" i="102"/>
  <c r="O270" i="102"/>
  <c r="O271" i="102"/>
  <c r="O272" i="102"/>
  <c r="O273" i="102"/>
  <c r="O274" i="102"/>
  <c r="O275" i="102"/>
  <c r="O276" i="102"/>
  <c r="O277" i="102"/>
  <c r="O278" i="102"/>
  <c r="O279" i="102"/>
  <c r="O280" i="102"/>
  <c r="O281" i="102"/>
  <c r="O282" i="102"/>
  <c r="O283" i="102"/>
  <c r="O284" i="102"/>
  <c r="O285" i="102"/>
  <c r="O286" i="102"/>
  <c r="O287" i="102"/>
  <c r="O288" i="102"/>
  <c r="O289" i="102"/>
  <c r="O290" i="102"/>
  <c r="O291" i="102"/>
  <c r="O292" i="102"/>
  <c r="O293" i="102"/>
  <c r="O294" i="102"/>
  <c r="O295" i="102"/>
  <c r="O296" i="102"/>
  <c r="O297" i="102"/>
  <c r="O298" i="102"/>
  <c r="O299" i="102"/>
  <c r="O300" i="102"/>
  <c r="O301" i="102"/>
  <c r="O302" i="102"/>
  <c r="O303" i="102"/>
  <c r="O304" i="102"/>
  <c r="O305" i="102"/>
  <c r="O306" i="102"/>
  <c r="O307" i="102"/>
  <c r="O308" i="102"/>
  <c r="O309" i="102"/>
  <c r="O310" i="102"/>
  <c r="O311" i="102"/>
  <c r="O312" i="102"/>
  <c r="O313" i="102"/>
  <c r="O314" i="102"/>
  <c r="O315" i="102"/>
  <c r="O316" i="102"/>
  <c r="O317" i="102"/>
  <c r="O318" i="102"/>
  <c r="O319" i="102"/>
  <c r="O320" i="102"/>
  <c r="O321" i="102"/>
  <c r="O322" i="102"/>
  <c r="O323" i="102"/>
  <c r="O324" i="102"/>
  <c r="O325" i="102"/>
  <c r="O326" i="102"/>
  <c r="O327" i="102"/>
  <c r="O328" i="102"/>
  <c r="O329" i="102"/>
  <c r="O330" i="102"/>
  <c r="O331" i="102"/>
  <c r="O332" i="102"/>
  <c r="O333" i="102"/>
  <c r="O334" i="102"/>
  <c r="O335" i="102"/>
  <c r="O336" i="102"/>
  <c r="O337" i="102"/>
  <c r="O338" i="102"/>
  <c r="O339" i="102"/>
  <c r="O340" i="102"/>
  <c r="O341" i="102"/>
  <c r="O342" i="102"/>
  <c r="O343" i="102"/>
  <c r="O344" i="102"/>
  <c r="O345" i="102"/>
  <c r="O346" i="102"/>
  <c r="O347" i="102"/>
  <c r="O348" i="102"/>
  <c r="O349" i="102"/>
  <c r="O350" i="102"/>
  <c r="O351" i="102"/>
  <c r="O352" i="102"/>
  <c r="O353" i="102"/>
  <c r="O354" i="102"/>
  <c r="O355" i="102"/>
  <c r="O356" i="102"/>
  <c r="O357" i="102"/>
  <c r="O358" i="102"/>
  <c r="O359" i="102"/>
  <c r="O360" i="102"/>
  <c r="O361" i="102"/>
  <c r="O362" i="102"/>
  <c r="O363" i="102"/>
  <c r="O364" i="102"/>
  <c r="O365" i="102"/>
  <c r="O366" i="102"/>
  <c r="O367" i="102"/>
  <c r="O368" i="102"/>
  <c r="O369" i="102"/>
  <c r="O370" i="102"/>
  <c r="O371" i="102"/>
  <c r="O372" i="102"/>
  <c r="O373" i="102"/>
  <c r="O374" i="102"/>
  <c r="O375" i="102"/>
  <c r="O376" i="102"/>
  <c r="O377" i="102"/>
  <c r="O378" i="102"/>
  <c r="O379" i="102"/>
  <c r="O380" i="102"/>
  <c r="O381" i="102"/>
  <c r="O382" i="102"/>
  <c r="O383" i="102"/>
  <c r="O384" i="102"/>
  <c r="O385" i="102"/>
  <c r="O386" i="102"/>
  <c r="O387" i="102"/>
  <c r="O388" i="102"/>
  <c r="O389" i="102"/>
  <c r="O390" i="102"/>
  <c r="O391" i="102"/>
  <c r="O392" i="102"/>
  <c r="O393" i="102"/>
  <c r="O394" i="102"/>
  <c r="O395" i="102"/>
  <c r="O396" i="102"/>
  <c r="O397" i="102"/>
  <c r="O398" i="102"/>
  <c r="O399" i="102"/>
  <c r="O400" i="102"/>
  <c r="O401" i="102"/>
  <c r="O402" i="102"/>
  <c r="O403" i="102"/>
  <c r="O404" i="102"/>
  <c r="O405" i="102"/>
  <c r="O406" i="102"/>
  <c r="O407" i="102"/>
  <c r="O408" i="102"/>
  <c r="O409" i="102"/>
  <c r="O410" i="102"/>
  <c r="O411" i="102"/>
  <c r="O412" i="102"/>
  <c r="O413" i="102"/>
  <c r="O414" i="102"/>
  <c r="O415" i="102"/>
  <c r="O416" i="102"/>
  <c r="O417" i="102"/>
  <c r="O418" i="102"/>
  <c r="O419" i="102"/>
  <c r="O420" i="102"/>
  <c r="O421" i="102"/>
  <c r="O422" i="102"/>
  <c r="O423" i="102"/>
  <c r="O424" i="102"/>
  <c r="O425" i="102"/>
  <c r="O426" i="102"/>
  <c r="O427" i="102"/>
  <c r="O428" i="102"/>
  <c r="O429" i="102"/>
  <c r="O430" i="102"/>
  <c r="O431" i="102"/>
  <c r="O432" i="102"/>
  <c r="O433" i="102"/>
  <c r="O434" i="102"/>
  <c r="O435" i="102"/>
  <c r="O436" i="102"/>
  <c r="O437" i="102"/>
  <c r="O438" i="102"/>
  <c r="O439" i="102"/>
  <c r="O440" i="102"/>
  <c r="O441" i="102"/>
  <c r="O442" i="102"/>
  <c r="O443" i="102"/>
  <c r="O444" i="102"/>
  <c r="O445" i="102"/>
  <c r="O446" i="102"/>
  <c r="O447" i="102"/>
  <c r="O448" i="102"/>
  <c r="O449" i="102"/>
  <c r="O450" i="102"/>
  <c r="O451" i="102"/>
  <c r="O452" i="102"/>
  <c r="O453" i="102"/>
  <c r="O454" i="102"/>
  <c r="O455" i="102"/>
  <c r="O456" i="102"/>
  <c r="O457" i="102"/>
  <c r="O458" i="102"/>
  <c r="O459" i="102"/>
  <c r="O460" i="102"/>
  <c r="O461" i="102"/>
  <c r="O462" i="102"/>
  <c r="O463" i="102"/>
  <c r="O464" i="102"/>
  <c r="O465" i="102"/>
  <c r="O466" i="102"/>
  <c r="O467" i="102"/>
  <c r="O468" i="102"/>
  <c r="O469" i="102"/>
  <c r="O470" i="102"/>
  <c r="O471" i="102"/>
  <c r="O472" i="102"/>
  <c r="O473" i="102"/>
  <c r="O474" i="102"/>
  <c r="O475" i="102"/>
  <c r="O476" i="102"/>
  <c r="O477" i="102"/>
  <c r="O478" i="102"/>
  <c r="O479" i="102"/>
  <c r="O480" i="102"/>
  <c r="O481" i="102"/>
  <c r="O482" i="102"/>
  <c r="O483" i="102"/>
  <c r="O484" i="102"/>
  <c r="O485" i="102"/>
  <c r="O486" i="102"/>
  <c r="O487" i="102"/>
  <c r="O488" i="102"/>
  <c r="O489" i="102"/>
  <c r="O490" i="102"/>
  <c r="O491" i="102"/>
  <c r="O492" i="102"/>
  <c r="O493" i="102"/>
  <c r="O494" i="102"/>
  <c r="O495" i="102"/>
  <c r="O496" i="102"/>
  <c r="O497" i="102"/>
  <c r="O498" i="102"/>
  <c r="O499" i="102"/>
  <c r="O500" i="102"/>
  <c r="K1" i="102"/>
  <c r="K2" i="102"/>
  <c r="K3" i="102"/>
  <c r="K4" i="102"/>
  <c r="K5" i="102"/>
  <c r="K6" i="102"/>
  <c r="K7" i="102"/>
  <c r="K8" i="102"/>
  <c r="K9" i="102"/>
  <c r="K10" i="102"/>
  <c r="K11" i="102"/>
  <c r="K12" i="102"/>
  <c r="K13" i="102"/>
  <c r="K14" i="102"/>
  <c r="K15" i="102"/>
  <c r="K16" i="102"/>
  <c r="K17" i="102"/>
  <c r="K18" i="102"/>
  <c r="K19" i="102"/>
  <c r="K20" i="102"/>
  <c r="K21" i="102"/>
  <c r="K22" i="102"/>
  <c r="K23" i="102"/>
  <c r="K24" i="102"/>
  <c r="K25" i="102"/>
  <c r="K26" i="102"/>
  <c r="K27" i="102"/>
  <c r="K28" i="102"/>
  <c r="K29" i="102"/>
  <c r="K30" i="102"/>
  <c r="K31" i="102"/>
  <c r="K32" i="102"/>
  <c r="K33" i="102"/>
  <c r="K34" i="102"/>
  <c r="K35" i="102"/>
  <c r="K36" i="102"/>
  <c r="K37" i="102"/>
  <c r="K38" i="102"/>
  <c r="K39" i="102"/>
  <c r="K40" i="102"/>
  <c r="K41" i="102"/>
  <c r="K42" i="102"/>
  <c r="K43" i="102"/>
  <c r="K44" i="102"/>
  <c r="K45" i="102"/>
  <c r="K46" i="102"/>
  <c r="K47" i="102"/>
  <c r="K48" i="102"/>
  <c r="K49" i="102"/>
  <c r="K50" i="102"/>
  <c r="K51" i="102"/>
  <c r="K52" i="102"/>
  <c r="K53" i="102"/>
  <c r="K54" i="102"/>
  <c r="K55" i="102"/>
  <c r="K56" i="102"/>
  <c r="K57" i="102"/>
  <c r="K58" i="102"/>
  <c r="K59" i="102"/>
  <c r="K60" i="102"/>
  <c r="K61" i="102"/>
  <c r="K62" i="102"/>
  <c r="K63" i="102"/>
  <c r="K64" i="102"/>
  <c r="K65" i="102"/>
  <c r="K66" i="102"/>
  <c r="K67" i="102"/>
  <c r="K68" i="102"/>
  <c r="K69" i="102"/>
  <c r="K70" i="102"/>
  <c r="K71" i="102"/>
  <c r="K72" i="102"/>
  <c r="K73" i="102"/>
  <c r="K74" i="102"/>
  <c r="K75" i="102"/>
  <c r="K76" i="102"/>
  <c r="K77" i="102"/>
  <c r="K78" i="102"/>
  <c r="K79" i="102"/>
  <c r="K80" i="102"/>
  <c r="K81" i="102"/>
  <c r="K82" i="102"/>
  <c r="K83" i="102"/>
  <c r="K84" i="102"/>
  <c r="K85" i="102"/>
  <c r="K86" i="102"/>
  <c r="K87" i="102"/>
  <c r="K88" i="102"/>
  <c r="K89" i="102"/>
  <c r="K90" i="102"/>
  <c r="K91" i="102"/>
  <c r="K92" i="102"/>
  <c r="K93" i="102"/>
  <c r="K94" i="102"/>
  <c r="K95" i="102"/>
  <c r="K96" i="102"/>
  <c r="K97" i="102"/>
  <c r="K98" i="102"/>
  <c r="K99" i="102"/>
  <c r="K100" i="102"/>
  <c r="K101" i="102"/>
  <c r="K102" i="102"/>
  <c r="K103" i="102"/>
  <c r="K104" i="102"/>
  <c r="K105" i="102"/>
  <c r="K106" i="102"/>
  <c r="K107" i="102"/>
  <c r="K108" i="102"/>
  <c r="K109" i="102"/>
  <c r="K110" i="102"/>
  <c r="K111" i="102"/>
  <c r="K112" i="102"/>
  <c r="K113" i="102"/>
  <c r="K114" i="102"/>
  <c r="K115" i="102"/>
  <c r="K116" i="102"/>
  <c r="K117" i="102"/>
  <c r="K118" i="102"/>
  <c r="K119" i="102"/>
  <c r="K120" i="102"/>
  <c r="K121" i="102"/>
  <c r="K122" i="102"/>
  <c r="K123" i="102"/>
  <c r="K124" i="102"/>
  <c r="K125" i="102"/>
  <c r="K126" i="102"/>
  <c r="K127" i="102"/>
  <c r="K128" i="102"/>
  <c r="K129" i="102"/>
  <c r="K130" i="102"/>
  <c r="K131" i="102"/>
  <c r="K132" i="102"/>
  <c r="K133" i="102"/>
  <c r="K134" i="102"/>
  <c r="K135" i="102"/>
  <c r="K136" i="102"/>
  <c r="K137" i="102"/>
  <c r="K138" i="102"/>
  <c r="K139" i="102"/>
  <c r="K140" i="102"/>
  <c r="K141" i="102"/>
  <c r="K142" i="102"/>
  <c r="K143" i="102"/>
  <c r="K144" i="102"/>
  <c r="K145" i="102"/>
  <c r="K146" i="102"/>
  <c r="K147" i="102"/>
  <c r="K148" i="102"/>
  <c r="K149" i="102"/>
  <c r="K150" i="102"/>
  <c r="K151" i="102"/>
  <c r="K152" i="102"/>
  <c r="K153" i="102"/>
  <c r="K154" i="102"/>
  <c r="K155" i="102"/>
  <c r="K156" i="102"/>
  <c r="K157" i="102"/>
  <c r="K158" i="102"/>
  <c r="K159" i="102"/>
  <c r="K160" i="102"/>
  <c r="K161" i="102"/>
  <c r="K162" i="102"/>
  <c r="K163" i="102"/>
  <c r="K164" i="102"/>
  <c r="K165" i="102"/>
  <c r="K166" i="102"/>
  <c r="K167" i="102"/>
  <c r="K168" i="102"/>
  <c r="K169" i="102"/>
  <c r="K170" i="102"/>
  <c r="K171" i="102"/>
  <c r="K172" i="102"/>
  <c r="K173" i="102"/>
  <c r="K174" i="102"/>
  <c r="K175" i="102"/>
  <c r="K176" i="102"/>
  <c r="K177" i="102"/>
  <c r="K178" i="102"/>
  <c r="K179" i="102"/>
  <c r="K180" i="102"/>
  <c r="K181" i="102"/>
  <c r="K182" i="102"/>
  <c r="K183" i="102"/>
  <c r="K184" i="102"/>
  <c r="K185" i="102"/>
  <c r="K186" i="102"/>
  <c r="K187" i="102"/>
  <c r="K188" i="102"/>
  <c r="K189" i="102"/>
  <c r="K190" i="102"/>
  <c r="K191" i="102"/>
  <c r="K192" i="102"/>
  <c r="K193" i="102"/>
  <c r="K194" i="102"/>
  <c r="K195" i="102"/>
  <c r="K196" i="102"/>
  <c r="K197" i="102"/>
  <c r="K198" i="102"/>
  <c r="K199" i="102"/>
  <c r="K200" i="102"/>
  <c r="K201" i="102"/>
  <c r="K202" i="102"/>
  <c r="K203" i="102"/>
  <c r="K204" i="102"/>
  <c r="K205" i="102"/>
  <c r="K206" i="102"/>
  <c r="K207" i="102"/>
  <c r="K208" i="102"/>
  <c r="K209" i="102"/>
  <c r="K210" i="102"/>
  <c r="K211" i="102"/>
  <c r="K212" i="102"/>
  <c r="K213" i="102"/>
  <c r="K214" i="102"/>
  <c r="K215" i="102"/>
  <c r="K216" i="102"/>
  <c r="K217" i="102"/>
  <c r="K218" i="102"/>
  <c r="K219" i="102"/>
  <c r="K220" i="102"/>
  <c r="K221" i="102"/>
  <c r="K222" i="102"/>
  <c r="K223" i="102"/>
  <c r="K224" i="102"/>
  <c r="K225" i="102"/>
  <c r="K226" i="102"/>
  <c r="K227" i="102"/>
  <c r="K228" i="102"/>
  <c r="K229" i="102"/>
  <c r="K230" i="102"/>
  <c r="K231" i="102"/>
  <c r="K232" i="102"/>
  <c r="K233" i="102"/>
  <c r="K234" i="102"/>
  <c r="K235" i="102"/>
  <c r="K236" i="102"/>
  <c r="K237" i="102"/>
  <c r="K238" i="102"/>
  <c r="K239" i="102"/>
  <c r="K240" i="102"/>
  <c r="K241" i="102"/>
  <c r="K242" i="102"/>
  <c r="K243" i="102"/>
  <c r="K244" i="102"/>
  <c r="K245" i="102"/>
  <c r="K246" i="102"/>
  <c r="K247" i="102"/>
  <c r="K248" i="102"/>
  <c r="K249" i="102"/>
  <c r="K250" i="102"/>
  <c r="K251" i="102"/>
  <c r="K252" i="102"/>
  <c r="K253" i="102"/>
  <c r="K254" i="102"/>
  <c r="K255" i="102"/>
  <c r="K256" i="102"/>
  <c r="K257" i="102"/>
  <c r="K258" i="102"/>
  <c r="K259" i="102"/>
  <c r="K260" i="102"/>
  <c r="K261" i="102"/>
  <c r="K262" i="102"/>
  <c r="K263" i="102"/>
  <c r="K264" i="102"/>
  <c r="K265" i="102"/>
  <c r="K266" i="102"/>
  <c r="K267" i="102"/>
  <c r="K268" i="102"/>
  <c r="K269" i="102"/>
  <c r="K270" i="102"/>
  <c r="K271" i="102"/>
  <c r="K272" i="102"/>
  <c r="K273" i="102"/>
  <c r="K274" i="102"/>
  <c r="K275" i="102"/>
  <c r="K276" i="102"/>
  <c r="K277" i="102"/>
  <c r="K278" i="102"/>
  <c r="K279" i="102"/>
  <c r="K280" i="102"/>
  <c r="K281" i="102"/>
  <c r="K282" i="102"/>
  <c r="K283" i="102"/>
  <c r="K284" i="102"/>
  <c r="K285" i="102"/>
  <c r="K286" i="102"/>
  <c r="K287" i="102"/>
  <c r="K288" i="102"/>
  <c r="K289" i="102"/>
  <c r="K290" i="102"/>
  <c r="K291" i="102"/>
  <c r="K292" i="102"/>
  <c r="K293" i="102"/>
  <c r="K294" i="102"/>
  <c r="K295" i="102"/>
  <c r="K296" i="102"/>
  <c r="K297" i="102"/>
  <c r="K298" i="102"/>
  <c r="K299" i="102"/>
  <c r="K300" i="102"/>
  <c r="K301" i="102"/>
  <c r="K302" i="102"/>
  <c r="K303" i="102"/>
  <c r="K304" i="102"/>
  <c r="K305" i="102"/>
  <c r="K306" i="102"/>
  <c r="K307" i="102"/>
  <c r="K308" i="102"/>
  <c r="K309" i="102"/>
  <c r="K310" i="102"/>
  <c r="K311" i="102"/>
  <c r="K312" i="102"/>
  <c r="K313" i="102"/>
  <c r="K314" i="102"/>
  <c r="K315" i="102"/>
  <c r="K316" i="102"/>
  <c r="K317" i="102"/>
  <c r="K318" i="102"/>
  <c r="K319" i="102"/>
  <c r="K320" i="102"/>
  <c r="K321" i="102"/>
  <c r="K322" i="102"/>
  <c r="K323" i="102"/>
  <c r="K324" i="102"/>
  <c r="K325" i="102"/>
  <c r="K326" i="102"/>
  <c r="K327" i="102"/>
  <c r="K328" i="102"/>
  <c r="K329" i="102"/>
  <c r="K330" i="102"/>
  <c r="K331" i="102"/>
  <c r="K332" i="102"/>
  <c r="K333" i="102"/>
  <c r="K334" i="102"/>
  <c r="K335" i="102"/>
  <c r="K336" i="102"/>
  <c r="K337" i="102"/>
  <c r="K338" i="102"/>
  <c r="K339" i="102"/>
  <c r="K340" i="102"/>
  <c r="K341" i="102"/>
  <c r="K342" i="102"/>
  <c r="K343" i="102"/>
  <c r="K344" i="102"/>
  <c r="K345" i="102"/>
  <c r="K346" i="102"/>
  <c r="K347" i="102"/>
  <c r="K348" i="102"/>
  <c r="K349" i="102"/>
  <c r="K350" i="102"/>
  <c r="K351" i="102"/>
  <c r="K352" i="102"/>
  <c r="K353" i="102"/>
  <c r="K354" i="102"/>
  <c r="K355" i="102"/>
  <c r="K356" i="102"/>
  <c r="K357" i="102"/>
  <c r="K358" i="102"/>
  <c r="K359" i="102"/>
  <c r="K360" i="102"/>
  <c r="K361" i="102"/>
  <c r="K362" i="102"/>
  <c r="K363" i="102"/>
  <c r="K364" i="102"/>
  <c r="K365" i="102"/>
  <c r="K366" i="102"/>
  <c r="K367" i="102"/>
  <c r="K368" i="102"/>
  <c r="K369" i="102"/>
  <c r="K370" i="102"/>
  <c r="K371" i="102"/>
  <c r="K372" i="102"/>
  <c r="K373" i="102"/>
  <c r="K374" i="102"/>
  <c r="K375" i="102"/>
  <c r="K376" i="102"/>
  <c r="K377" i="102"/>
  <c r="K378" i="102"/>
  <c r="K379" i="102"/>
  <c r="K380" i="102"/>
  <c r="K381" i="102"/>
  <c r="K382" i="102"/>
  <c r="K383" i="102"/>
  <c r="K384" i="102"/>
  <c r="K385" i="102"/>
  <c r="K386" i="102"/>
  <c r="K387" i="102"/>
  <c r="K388" i="102"/>
  <c r="K389" i="102"/>
  <c r="K390" i="102"/>
  <c r="K391" i="102"/>
  <c r="K392" i="102"/>
  <c r="K393" i="102"/>
  <c r="K394" i="102"/>
  <c r="K395" i="102"/>
  <c r="K396" i="102"/>
  <c r="K397" i="102"/>
  <c r="K398" i="102"/>
  <c r="K399" i="102"/>
  <c r="K400" i="102"/>
  <c r="K401" i="102"/>
  <c r="K402" i="102"/>
  <c r="K403" i="102"/>
  <c r="K404" i="102"/>
  <c r="K405" i="102"/>
  <c r="K406" i="102"/>
  <c r="K407" i="102"/>
  <c r="K408" i="102"/>
  <c r="K409" i="102"/>
  <c r="K410" i="102"/>
  <c r="K411" i="102"/>
  <c r="K412" i="102"/>
  <c r="K413" i="102"/>
  <c r="K414" i="102"/>
  <c r="K415" i="102"/>
  <c r="K416" i="102"/>
  <c r="K417" i="102"/>
  <c r="K418" i="102"/>
  <c r="K419" i="102"/>
  <c r="K420" i="102"/>
  <c r="K421" i="102"/>
  <c r="K422" i="102"/>
  <c r="K423" i="102"/>
  <c r="K424" i="102"/>
  <c r="K425" i="102"/>
  <c r="K426" i="102"/>
  <c r="K427" i="102"/>
  <c r="K428" i="102"/>
  <c r="K429" i="102"/>
  <c r="K430" i="102"/>
  <c r="K431" i="102"/>
  <c r="K432" i="102"/>
  <c r="K433" i="102"/>
  <c r="K434" i="102"/>
  <c r="K435" i="102"/>
  <c r="K436" i="102"/>
  <c r="K437" i="102"/>
  <c r="K438" i="102"/>
  <c r="K439" i="102"/>
  <c r="K440" i="102"/>
  <c r="K441" i="102"/>
  <c r="K442" i="102"/>
  <c r="K443" i="102"/>
  <c r="K444" i="102"/>
  <c r="K445" i="102"/>
  <c r="K446" i="102"/>
  <c r="K447" i="102"/>
  <c r="K448" i="102"/>
  <c r="K449" i="102"/>
  <c r="K450" i="102"/>
  <c r="K451" i="102"/>
  <c r="K452" i="102"/>
  <c r="K453" i="102"/>
  <c r="K454" i="102"/>
  <c r="K455" i="102"/>
  <c r="K456" i="102"/>
  <c r="K457" i="102"/>
  <c r="K458" i="102"/>
  <c r="K459" i="102"/>
  <c r="K460" i="102"/>
  <c r="K461" i="102"/>
  <c r="K462" i="102"/>
  <c r="K463" i="102"/>
  <c r="K464" i="102"/>
  <c r="K465" i="102"/>
  <c r="K466" i="102"/>
  <c r="K467" i="102"/>
  <c r="K468" i="102"/>
  <c r="K469" i="102"/>
  <c r="K470" i="102"/>
  <c r="K471" i="102"/>
  <c r="K472" i="102"/>
  <c r="K473" i="102"/>
  <c r="K474" i="102"/>
  <c r="K475" i="102"/>
  <c r="K476" i="102"/>
  <c r="K477" i="102"/>
  <c r="K478" i="102"/>
  <c r="K479" i="102"/>
  <c r="K480" i="102"/>
  <c r="K481" i="102"/>
  <c r="K482" i="102"/>
  <c r="K483" i="102"/>
  <c r="K484" i="102"/>
  <c r="K485" i="102"/>
  <c r="K486" i="102"/>
  <c r="K487" i="102"/>
  <c r="K488" i="102"/>
  <c r="K489" i="102"/>
  <c r="K490" i="102"/>
  <c r="K491" i="102"/>
  <c r="K492" i="102"/>
  <c r="K493" i="102"/>
  <c r="K494" i="102"/>
  <c r="K495" i="102"/>
  <c r="K496" i="102"/>
  <c r="K497" i="102"/>
  <c r="K498" i="102"/>
  <c r="K499" i="102"/>
  <c r="K500" i="102"/>
  <c r="G1" i="102"/>
  <c r="G2" i="102"/>
  <c r="G3" i="102"/>
  <c r="G4" i="102"/>
  <c r="G5" i="102"/>
  <c r="G6" i="102"/>
  <c r="G7" i="102"/>
  <c r="G8" i="102"/>
  <c r="G9" i="102"/>
  <c r="G10" i="102"/>
  <c r="G11" i="102"/>
  <c r="G12" i="102"/>
  <c r="G13" i="102"/>
  <c r="G14" i="102"/>
  <c r="G15" i="102"/>
  <c r="G16" i="102"/>
  <c r="G17" i="102"/>
  <c r="G18" i="102"/>
  <c r="G19" i="102"/>
  <c r="G20" i="102"/>
  <c r="G21" i="102"/>
  <c r="G22" i="102"/>
  <c r="G23" i="102"/>
  <c r="G24" i="102"/>
  <c r="G25" i="102"/>
  <c r="G26" i="102"/>
  <c r="G27" i="102"/>
  <c r="G28" i="102"/>
  <c r="G29" i="102"/>
  <c r="G30" i="102"/>
  <c r="G31" i="102"/>
  <c r="G32" i="102"/>
  <c r="G33" i="102"/>
  <c r="G34" i="102"/>
  <c r="G35" i="102"/>
  <c r="G36" i="102"/>
  <c r="G37" i="102"/>
  <c r="G38" i="102"/>
  <c r="G39" i="102"/>
  <c r="G40" i="102"/>
  <c r="G41" i="102"/>
  <c r="G42" i="102"/>
  <c r="G43" i="102"/>
  <c r="G44" i="102"/>
  <c r="G45" i="102"/>
  <c r="G46" i="102"/>
  <c r="G47" i="102"/>
  <c r="G48" i="102"/>
  <c r="G49" i="102"/>
  <c r="G50" i="102"/>
  <c r="G51" i="102"/>
  <c r="G52" i="102"/>
  <c r="G53" i="102"/>
  <c r="G54" i="102"/>
  <c r="G55" i="102"/>
  <c r="G56" i="102"/>
  <c r="G57" i="102"/>
  <c r="G58" i="102"/>
  <c r="G59" i="102"/>
  <c r="G60" i="102"/>
  <c r="G61" i="102"/>
  <c r="G62" i="102"/>
  <c r="G63" i="102"/>
  <c r="G64" i="102"/>
  <c r="G65" i="102"/>
  <c r="G66" i="102"/>
  <c r="G67" i="102"/>
  <c r="G68" i="102"/>
  <c r="G69" i="102"/>
  <c r="G70" i="102"/>
  <c r="G71" i="102"/>
  <c r="G72" i="102"/>
  <c r="G73" i="102"/>
  <c r="G74" i="102"/>
  <c r="G75" i="102"/>
  <c r="G76" i="102"/>
  <c r="G77" i="102"/>
  <c r="G78" i="102"/>
  <c r="G79" i="102"/>
  <c r="G80" i="102"/>
  <c r="G81" i="102"/>
  <c r="G82" i="102"/>
  <c r="G83" i="102"/>
  <c r="G84" i="102"/>
  <c r="G85" i="102"/>
  <c r="G86" i="102"/>
  <c r="G87" i="102"/>
  <c r="G88" i="102"/>
  <c r="G89" i="102"/>
  <c r="G90" i="102"/>
  <c r="G91" i="102"/>
  <c r="G92" i="102"/>
  <c r="G93" i="102"/>
  <c r="G94" i="102"/>
  <c r="G95" i="102"/>
  <c r="G96" i="102"/>
  <c r="G97" i="102"/>
  <c r="G98" i="102"/>
  <c r="G99" i="102"/>
  <c r="G100" i="102"/>
  <c r="G101" i="102"/>
  <c r="G102" i="102"/>
  <c r="G103" i="102"/>
  <c r="G104" i="102"/>
  <c r="G105" i="102"/>
  <c r="G106" i="102"/>
  <c r="G107" i="102"/>
  <c r="G108" i="102"/>
  <c r="G109" i="102"/>
  <c r="G110" i="102"/>
  <c r="G111" i="102"/>
  <c r="G112" i="102"/>
  <c r="G113" i="102"/>
  <c r="G114" i="102"/>
  <c r="G115" i="102"/>
  <c r="G116" i="102"/>
  <c r="G117" i="102"/>
  <c r="G118" i="102"/>
  <c r="G119" i="102"/>
  <c r="G120" i="102"/>
  <c r="G121" i="102"/>
  <c r="G122" i="102"/>
  <c r="G123" i="102"/>
  <c r="G124" i="102"/>
  <c r="G125" i="102"/>
  <c r="G126" i="102"/>
  <c r="G127" i="102"/>
  <c r="G128" i="102"/>
  <c r="G129" i="102"/>
  <c r="G130" i="102"/>
  <c r="G131" i="102"/>
  <c r="G132" i="102"/>
  <c r="G133" i="102"/>
  <c r="G134" i="102"/>
  <c r="G135" i="102"/>
  <c r="G136" i="102"/>
  <c r="G137" i="102"/>
  <c r="G138" i="102"/>
  <c r="G139" i="102"/>
  <c r="G140" i="102"/>
  <c r="G141" i="102"/>
  <c r="G142" i="102"/>
  <c r="G143" i="102"/>
  <c r="G144" i="102"/>
  <c r="G145" i="102"/>
  <c r="G146" i="102"/>
  <c r="G147" i="102"/>
  <c r="G148" i="102"/>
  <c r="G149" i="102"/>
  <c r="G150" i="102"/>
  <c r="G151" i="102"/>
  <c r="G152" i="102"/>
  <c r="G153" i="102"/>
  <c r="G154" i="102"/>
  <c r="G155" i="102"/>
  <c r="G156" i="102"/>
  <c r="G157" i="102"/>
  <c r="G158" i="102"/>
  <c r="G159" i="102"/>
  <c r="G160" i="102"/>
  <c r="G161" i="102"/>
  <c r="G162" i="102"/>
  <c r="G163" i="102"/>
  <c r="G164" i="102"/>
  <c r="G165" i="102"/>
  <c r="G166" i="102"/>
  <c r="G167" i="102"/>
  <c r="G168" i="102"/>
  <c r="G169" i="102"/>
  <c r="G170" i="102"/>
  <c r="G171" i="102"/>
  <c r="G172" i="102"/>
  <c r="G173" i="102"/>
  <c r="G174" i="102"/>
  <c r="G175" i="102"/>
  <c r="G176" i="102"/>
  <c r="G177" i="102"/>
  <c r="G178" i="102"/>
  <c r="G179" i="102"/>
  <c r="G180" i="102"/>
  <c r="G181" i="102"/>
  <c r="G182" i="102"/>
  <c r="G183" i="102"/>
  <c r="G184" i="102"/>
  <c r="G185" i="102"/>
  <c r="G186" i="102"/>
  <c r="G187" i="102"/>
  <c r="G188" i="102"/>
  <c r="G189" i="102"/>
  <c r="G190" i="102"/>
  <c r="G191" i="102"/>
  <c r="G192" i="102"/>
  <c r="G193" i="102"/>
  <c r="G194" i="102"/>
  <c r="G195" i="102"/>
  <c r="G196" i="102"/>
  <c r="G197" i="102"/>
  <c r="G198" i="102"/>
  <c r="G199" i="102"/>
  <c r="G200" i="102"/>
  <c r="G201" i="102"/>
  <c r="G202" i="102"/>
  <c r="G203" i="102"/>
  <c r="G204" i="102"/>
  <c r="G205" i="102"/>
  <c r="G206" i="102"/>
  <c r="G207" i="102"/>
  <c r="G208" i="102"/>
  <c r="G209" i="102"/>
  <c r="G210" i="102"/>
  <c r="G211" i="102"/>
  <c r="G212" i="102"/>
  <c r="G213" i="102"/>
  <c r="G214" i="102"/>
  <c r="G215" i="102"/>
  <c r="G216" i="102"/>
  <c r="G217" i="102"/>
  <c r="G218" i="102"/>
  <c r="G219" i="102"/>
  <c r="G220" i="102"/>
  <c r="G221" i="102"/>
  <c r="G222" i="102"/>
  <c r="G223" i="102"/>
  <c r="G224" i="102"/>
  <c r="G225" i="102"/>
  <c r="G226" i="102"/>
  <c r="G227" i="102"/>
  <c r="G228" i="102"/>
  <c r="G229" i="102"/>
  <c r="G230" i="102"/>
  <c r="G231" i="102"/>
  <c r="G232" i="102"/>
  <c r="G233" i="102"/>
  <c r="G234" i="102"/>
  <c r="G235" i="102"/>
  <c r="G236" i="102"/>
  <c r="G237" i="102"/>
  <c r="G238" i="102"/>
  <c r="G239" i="102"/>
  <c r="G240" i="102"/>
  <c r="G241" i="102"/>
  <c r="G242" i="102"/>
  <c r="G243" i="102"/>
  <c r="G244" i="102"/>
  <c r="G245" i="102"/>
  <c r="G246" i="102"/>
  <c r="G247" i="102"/>
  <c r="G248" i="102"/>
  <c r="G249" i="102"/>
  <c r="G250" i="102"/>
  <c r="G251" i="102"/>
  <c r="G252" i="102"/>
  <c r="G253" i="102"/>
  <c r="G254" i="102"/>
  <c r="G255" i="102"/>
  <c r="G256" i="102"/>
  <c r="G257" i="102"/>
  <c r="G258" i="102"/>
  <c r="G259" i="102"/>
  <c r="G260" i="102"/>
  <c r="G261" i="102"/>
  <c r="G262" i="102"/>
  <c r="G263" i="102"/>
  <c r="G264" i="102"/>
  <c r="G265" i="102"/>
  <c r="G266" i="102"/>
  <c r="G267" i="102"/>
  <c r="G268" i="102"/>
  <c r="G269" i="102"/>
  <c r="G270" i="102"/>
  <c r="G271" i="102"/>
  <c r="G272" i="102"/>
  <c r="G273" i="102"/>
  <c r="G274" i="102"/>
  <c r="G275" i="102"/>
  <c r="G276" i="102"/>
  <c r="G277" i="102"/>
  <c r="G278" i="102"/>
  <c r="G279" i="102"/>
  <c r="G280" i="102"/>
  <c r="G281" i="102"/>
  <c r="G282" i="102"/>
  <c r="G283" i="102"/>
  <c r="G284" i="102"/>
  <c r="G285" i="102"/>
  <c r="G286" i="102"/>
  <c r="G287" i="102"/>
  <c r="G288" i="102"/>
  <c r="G289" i="102"/>
  <c r="G290" i="102"/>
  <c r="G291" i="102"/>
  <c r="G292" i="102"/>
  <c r="G293" i="102"/>
  <c r="G294" i="102"/>
  <c r="G295" i="102"/>
  <c r="G296" i="102"/>
  <c r="G297" i="102"/>
  <c r="G298" i="102"/>
  <c r="G299" i="102"/>
  <c r="G300" i="102"/>
  <c r="G301" i="102"/>
  <c r="G302" i="102"/>
  <c r="G303" i="102"/>
  <c r="G304" i="102"/>
  <c r="G305" i="102"/>
  <c r="G306" i="102"/>
  <c r="G307" i="102"/>
  <c r="G308" i="102"/>
  <c r="G309" i="102"/>
  <c r="G310" i="102"/>
  <c r="G311" i="102"/>
  <c r="G312" i="102"/>
  <c r="G313" i="102"/>
  <c r="G314" i="102"/>
  <c r="G315" i="102"/>
  <c r="G316" i="102"/>
  <c r="G317" i="102"/>
  <c r="G318" i="102"/>
  <c r="G319" i="102"/>
  <c r="G320" i="102"/>
  <c r="G321" i="102"/>
  <c r="G322" i="102"/>
  <c r="G323" i="102"/>
  <c r="G324" i="102"/>
  <c r="G325" i="102"/>
  <c r="G326" i="102"/>
  <c r="G327" i="102"/>
  <c r="G328" i="102"/>
  <c r="G329" i="102"/>
  <c r="G330" i="102"/>
  <c r="G331" i="102"/>
  <c r="G332" i="102"/>
  <c r="G333" i="102"/>
  <c r="G334" i="102"/>
  <c r="G335" i="102"/>
  <c r="G336" i="102"/>
  <c r="G337" i="102"/>
  <c r="G338" i="102"/>
  <c r="G339" i="102"/>
  <c r="G340" i="102"/>
  <c r="G341" i="102"/>
  <c r="G342" i="102"/>
  <c r="G343" i="102"/>
  <c r="G344" i="102"/>
  <c r="G345" i="102"/>
  <c r="G346" i="102"/>
  <c r="G347" i="102"/>
  <c r="G348" i="102"/>
  <c r="G349" i="102"/>
  <c r="G350" i="102"/>
  <c r="G351" i="102"/>
  <c r="G352" i="102"/>
  <c r="G353" i="102"/>
  <c r="G354" i="102"/>
  <c r="G355" i="102"/>
  <c r="G356" i="102"/>
  <c r="G357" i="102"/>
  <c r="G358" i="102"/>
  <c r="G359" i="102"/>
  <c r="G360" i="102"/>
  <c r="G361" i="102"/>
  <c r="G362" i="102"/>
  <c r="G363" i="102"/>
  <c r="G364" i="102"/>
  <c r="G365" i="102"/>
  <c r="G366" i="102"/>
  <c r="G367" i="102"/>
  <c r="G368" i="102"/>
  <c r="G369" i="102"/>
  <c r="G370" i="102"/>
  <c r="G371" i="102"/>
  <c r="G372" i="102"/>
  <c r="G373" i="102"/>
  <c r="G374" i="102"/>
  <c r="G375" i="102"/>
  <c r="G376" i="102"/>
  <c r="G377" i="102"/>
  <c r="G378" i="102"/>
  <c r="G379" i="102"/>
  <c r="G380" i="102"/>
  <c r="G381" i="102"/>
  <c r="G382" i="102"/>
  <c r="G383" i="102"/>
  <c r="G384" i="102"/>
  <c r="G385" i="102"/>
  <c r="G386" i="102"/>
  <c r="G387" i="102"/>
  <c r="G388" i="102"/>
  <c r="G389" i="102"/>
  <c r="G390" i="102"/>
  <c r="G391" i="102"/>
  <c r="G392" i="102"/>
  <c r="G393" i="102"/>
  <c r="G394" i="102"/>
  <c r="G395" i="102"/>
  <c r="G396" i="102"/>
  <c r="G397" i="102"/>
  <c r="G398" i="102"/>
  <c r="G399" i="102"/>
  <c r="G400" i="102"/>
  <c r="G401" i="102"/>
  <c r="G402" i="102"/>
  <c r="G403" i="102"/>
  <c r="G404" i="102"/>
  <c r="G405" i="102"/>
  <c r="G406" i="102"/>
  <c r="G407" i="102"/>
  <c r="G408" i="102"/>
  <c r="G409" i="102"/>
  <c r="G410" i="102"/>
  <c r="G411" i="102"/>
  <c r="G412" i="102"/>
  <c r="G413" i="102"/>
  <c r="G414" i="102"/>
  <c r="G415" i="102"/>
  <c r="G416" i="102"/>
  <c r="G417" i="102"/>
  <c r="G418" i="102"/>
  <c r="G419" i="102"/>
  <c r="G420" i="102"/>
  <c r="G421" i="102"/>
  <c r="G422" i="102"/>
  <c r="G423" i="102"/>
  <c r="G424" i="102"/>
  <c r="G425" i="102"/>
  <c r="G426" i="102"/>
  <c r="G427" i="102"/>
  <c r="G428" i="102"/>
  <c r="G429" i="102"/>
  <c r="G430" i="102"/>
  <c r="G431" i="102"/>
  <c r="G432" i="102"/>
  <c r="G433" i="102"/>
  <c r="G434" i="102"/>
  <c r="G435" i="102"/>
  <c r="G436" i="102"/>
  <c r="G437" i="102"/>
  <c r="G438" i="102"/>
  <c r="G439" i="102"/>
  <c r="G440" i="102"/>
  <c r="G441" i="102"/>
  <c r="G442" i="102"/>
  <c r="G443" i="102"/>
  <c r="G444" i="102"/>
  <c r="G445" i="102"/>
  <c r="G446" i="102"/>
  <c r="G447" i="102"/>
  <c r="G448" i="102"/>
  <c r="G449" i="102"/>
  <c r="G450" i="102"/>
  <c r="G451" i="102"/>
  <c r="G452" i="102"/>
  <c r="G453" i="102"/>
  <c r="G454" i="102"/>
  <c r="G455" i="102"/>
  <c r="G456" i="102"/>
  <c r="G457" i="102"/>
  <c r="G458" i="102"/>
  <c r="G459" i="102"/>
  <c r="G460" i="102"/>
  <c r="G461" i="102"/>
  <c r="G462" i="102"/>
  <c r="G463" i="102"/>
  <c r="G464" i="102"/>
  <c r="G465" i="102"/>
  <c r="G466" i="102"/>
  <c r="G467" i="102"/>
  <c r="G468" i="102"/>
  <c r="G469" i="102"/>
  <c r="G470" i="102"/>
  <c r="G471" i="102"/>
  <c r="G472" i="102"/>
  <c r="G473" i="102"/>
  <c r="G474" i="102"/>
  <c r="G475" i="102"/>
  <c r="G476" i="102"/>
  <c r="G477" i="102"/>
  <c r="G478" i="102"/>
  <c r="G479" i="102"/>
  <c r="G480" i="102"/>
  <c r="G481" i="102"/>
  <c r="G482" i="102"/>
  <c r="G483" i="102"/>
  <c r="G484" i="102"/>
  <c r="G485" i="102"/>
  <c r="G486" i="102"/>
  <c r="G487" i="102"/>
  <c r="G488" i="102"/>
  <c r="G489" i="102"/>
  <c r="G490" i="102"/>
  <c r="G491" i="102"/>
  <c r="G492" i="102"/>
  <c r="G493" i="102"/>
  <c r="G494" i="102"/>
  <c r="G495" i="102"/>
  <c r="G496" i="102"/>
  <c r="G497" i="102"/>
  <c r="G498" i="102"/>
  <c r="G499" i="102"/>
  <c r="G500" i="102"/>
  <c r="C1" i="102"/>
  <c r="C2" i="102"/>
  <c r="C3" i="102"/>
  <c r="C4" i="102"/>
  <c r="C5" i="102"/>
  <c r="C6" i="102"/>
  <c r="C7" i="102"/>
  <c r="C8" i="102"/>
  <c r="C9" i="102"/>
  <c r="C10" i="102"/>
  <c r="C11" i="102"/>
  <c r="C12" i="102"/>
  <c r="C13" i="102"/>
  <c r="C14" i="102"/>
  <c r="C15" i="102"/>
  <c r="C16" i="102"/>
  <c r="C17" i="102"/>
  <c r="C18" i="102"/>
  <c r="C19" i="102"/>
  <c r="C20" i="102"/>
  <c r="C21" i="102"/>
  <c r="C22" i="102"/>
  <c r="C23" i="102"/>
  <c r="C24" i="102"/>
  <c r="C25" i="102"/>
  <c r="C26" i="102"/>
  <c r="C27" i="102"/>
  <c r="C28" i="102"/>
  <c r="C29" i="102"/>
  <c r="C30" i="102"/>
  <c r="C31" i="102"/>
  <c r="C32" i="102"/>
  <c r="C33" i="102"/>
  <c r="C34" i="102"/>
  <c r="C35" i="102"/>
  <c r="C36" i="102"/>
  <c r="C37" i="102"/>
  <c r="C38" i="102"/>
  <c r="C39" i="102"/>
  <c r="C40" i="102"/>
  <c r="C41" i="102"/>
  <c r="C42" i="102"/>
  <c r="C43" i="102"/>
  <c r="C44" i="102"/>
  <c r="C45" i="102"/>
  <c r="C46" i="102"/>
  <c r="C47" i="102"/>
  <c r="C48" i="102"/>
  <c r="C49" i="102"/>
  <c r="C50" i="102"/>
  <c r="C51" i="102"/>
  <c r="C52" i="102"/>
  <c r="C53" i="102"/>
  <c r="C54" i="102"/>
  <c r="C55" i="102"/>
  <c r="C56" i="102"/>
  <c r="C57" i="102"/>
  <c r="C58" i="102"/>
  <c r="C59" i="102"/>
  <c r="C60" i="102"/>
  <c r="C61" i="102"/>
  <c r="C62" i="102"/>
  <c r="C63" i="102"/>
  <c r="C64" i="102"/>
  <c r="C65" i="102"/>
  <c r="C66" i="102"/>
  <c r="C67" i="102"/>
  <c r="C68" i="102"/>
  <c r="C69" i="102"/>
  <c r="C70" i="102"/>
  <c r="C71" i="102"/>
  <c r="C72" i="102"/>
  <c r="C73" i="102"/>
  <c r="C74" i="102"/>
  <c r="C75" i="102"/>
  <c r="C76" i="102"/>
  <c r="C77" i="102"/>
  <c r="C78" i="102"/>
  <c r="C79" i="102"/>
  <c r="C80" i="102"/>
  <c r="C81" i="102"/>
  <c r="C82" i="102"/>
  <c r="C83" i="102"/>
  <c r="C84" i="102"/>
  <c r="C85" i="102"/>
  <c r="C86" i="102"/>
  <c r="C87" i="102"/>
  <c r="C88" i="102"/>
  <c r="C89" i="102"/>
  <c r="C90" i="102"/>
  <c r="C91" i="102"/>
  <c r="C92" i="102"/>
  <c r="C93" i="102"/>
  <c r="C94" i="102"/>
  <c r="C95" i="102"/>
  <c r="C96" i="102"/>
  <c r="C97" i="102"/>
  <c r="C98" i="102"/>
  <c r="C99" i="102"/>
  <c r="C100" i="102"/>
  <c r="C101" i="102"/>
  <c r="C102" i="102"/>
  <c r="C103" i="102"/>
  <c r="C104" i="102"/>
  <c r="C105" i="102"/>
  <c r="C106" i="102"/>
  <c r="C107" i="102"/>
  <c r="C108" i="102"/>
  <c r="C109" i="102"/>
  <c r="C110" i="102"/>
  <c r="C111" i="102"/>
  <c r="C112" i="102"/>
  <c r="C113" i="102"/>
  <c r="C114" i="102"/>
  <c r="C115" i="102"/>
  <c r="C116" i="102"/>
  <c r="C117" i="102"/>
  <c r="C118" i="102"/>
  <c r="C119" i="102"/>
  <c r="C120" i="102"/>
  <c r="C121" i="102"/>
  <c r="C122" i="102"/>
  <c r="C123" i="102"/>
  <c r="C124" i="102"/>
  <c r="C125" i="102"/>
  <c r="C126" i="102"/>
  <c r="C127" i="102"/>
  <c r="C128" i="102"/>
  <c r="C129" i="102"/>
  <c r="C130" i="102"/>
  <c r="C131" i="102"/>
  <c r="C132" i="102"/>
  <c r="C133" i="102"/>
  <c r="C134" i="102"/>
  <c r="C135" i="102"/>
  <c r="C136" i="102"/>
  <c r="C137" i="102"/>
  <c r="C138" i="102"/>
  <c r="C139" i="102"/>
  <c r="C140" i="102"/>
  <c r="C141" i="102"/>
  <c r="C142" i="102"/>
  <c r="C143" i="102"/>
  <c r="C144" i="102"/>
  <c r="C145" i="102"/>
  <c r="C146" i="102"/>
  <c r="C147" i="102"/>
  <c r="C148" i="102"/>
  <c r="C149" i="102"/>
  <c r="C150" i="102"/>
  <c r="C151" i="102"/>
  <c r="C152" i="102"/>
  <c r="C153" i="102"/>
  <c r="C154" i="102"/>
  <c r="C155" i="102"/>
  <c r="C156" i="102"/>
  <c r="C157" i="102"/>
  <c r="C158" i="102"/>
  <c r="C159" i="102"/>
  <c r="C160" i="102"/>
  <c r="C161" i="102"/>
  <c r="C162" i="102"/>
  <c r="C163" i="102"/>
  <c r="C164" i="102"/>
  <c r="C165" i="102"/>
  <c r="C166" i="102"/>
  <c r="C167" i="102"/>
  <c r="C168" i="102"/>
  <c r="C169" i="102"/>
  <c r="C170" i="102"/>
  <c r="C171" i="102"/>
  <c r="C172" i="102"/>
  <c r="C173" i="102"/>
  <c r="C174" i="102"/>
  <c r="C175" i="102"/>
  <c r="C176" i="102"/>
  <c r="C177" i="102"/>
  <c r="C178" i="102"/>
  <c r="C179" i="102"/>
  <c r="C180" i="102"/>
  <c r="C181" i="102"/>
  <c r="C182" i="102"/>
  <c r="C183" i="102"/>
  <c r="C184" i="102"/>
  <c r="C185" i="102"/>
  <c r="C186" i="102"/>
  <c r="C187" i="102"/>
  <c r="C188" i="102"/>
  <c r="C189" i="102"/>
  <c r="C190" i="102"/>
  <c r="C191" i="102"/>
  <c r="C192" i="102"/>
  <c r="C193" i="102"/>
  <c r="C194" i="102"/>
  <c r="C195" i="102"/>
  <c r="C196" i="102"/>
  <c r="C197" i="102"/>
  <c r="C198" i="102"/>
  <c r="C199" i="102"/>
  <c r="C200" i="102"/>
  <c r="C201" i="102"/>
  <c r="C202" i="102"/>
  <c r="C203" i="102"/>
  <c r="C204" i="102"/>
  <c r="C205" i="102"/>
  <c r="C206" i="102"/>
  <c r="C207" i="102"/>
  <c r="C208" i="102"/>
  <c r="C209" i="102"/>
  <c r="C210" i="102"/>
  <c r="C211" i="102"/>
  <c r="C212" i="102"/>
  <c r="C213" i="102"/>
  <c r="C214" i="102"/>
  <c r="C215" i="102"/>
  <c r="C216" i="102"/>
  <c r="C217" i="102"/>
  <c r="C218" i="102"/>
  <c r="C219" i="102"/>
  <c r="C220" i="102"/>
  <c r="C221" i="102"/>
  <c r="C222" i="102"/>
  <c r="C223" i="102"/>
  <c r="C224" i="102"/>
  <c r="C225" i="102"/>
  <c r="C226" i="102"/>
  <c r="C227" i="102"/>
  <c r="C228" i="102"/>
  <c r="C229" i="102"/>
  <c r="C230" i="102"/>
  <c r="C231" i="102"/>
  <c r="C232" i="102"/>
  <c r="C233" i="102"/>
  <c r="C234" i="102"/>
  <c r="C235" i="102"/>
  <c r="C236" i="102"/>
  <c r="C237" i="102"/>
  <c r="C238" i="102"/>
  <c r="C239" i="102"/>
  <c r="C240" i="102"/>
  <c r="C241" i="102"/>
  <c r="C242" i="102"/>
  <c r="C243" i="102"/>
  <c r="C244" i="102"/>
  <c r="C245" i="102"/>
  <c r="C246" i="102"/>
  <c r="C247" i="102"/>
  <c r="C248" i="102"/>
  <c r="C249" i="102"/>
  <c r="C250" i="102"/>
  <c r="C251" i="102"/>
  <c r="C252" i="102"/>
  <c r="C253" i="102"/>
  <c r="C254" i="102"/>
  <c r="C255" i="102"/>
  <c r="C256" i="102"/>
  <c r="C257" i="102"/>
  <c r="C258" i="102"/>
  <c r="C259" i="102"/>
  <c r="C260" i="102"/>
  <c r="C261" i="102"/>
  <c r="C262" i="102"/>
  <c r="C263" i="102"/>
  <c r="C264" i="102"/>
  <c r="C265" i="102"/>
  <c r="C266" i="102"/>
  <c r="C267" i="102"/>
  <c r="C268" i="102"/>
  <c r="C269" i="102"/>
  <c r="C270" i="102"/>
  <c r="C271" i="102"/>
  <c r="C272" i="102"/>
  <c r="C273" i="102"/>
  <c r="C274" i="102"/>
  <c r="C275" i="102"/>
  <c r="C276" i="102"/>
  <c r="C277" i="102"/>
  <c r="C278" i="102"/>
  <c r="C279" i="102"/>
  <c r="C280" i="102"/>
  <c r="C281" i="102"/>
  <c r="C282" i="102"/>
  <c r="C283" i="102"/>
  <c r="C284" i="102"/>
  <c r="C285" i="102"/>
  <c r="C286" i="102"/>
  <c r="C287" i="102"/>
  <c r="C288" i="102"/>
  <c r="C289" i="102"/>
  <c r="C290" i="102"/>
  <c r="C291" i="102"/>
  <c r="C292" i="102"/>
  <c r="C293" i="102"/>
  <c r="C294" i="102"/>
  <c r="C295" i="102"/>
  <c r="C296" i="102"/>
  <c r="C297" i="102"/>
  <c r="C298" i="102"/>
  <c r="C299" i="102"/>
  <c r="C300" i="102"/>
  <c r="C301" i="102"/>
  <c r="C302" i="102"/>
  <c r="C303" i="102"/>
  <c r="C304" i="102"/>
  <c r="C305" i="102"/>
  <c r="C306" i="102"/>
  <c r="C307" i="102"/>
  <c r="C308" i="102"/>
  <c r="C309" i="102"/>
  <c r="C310" i="102"/>
  <c r="C311" i="102"/>
  <c r="C312" i="102"/>
  <c r="C313" i="102"/>
  <c r="C314" i="102"/>
  <c r="C315" i="102"/>
  <c r="C316" i="102"/>
  <c r="C317" i="102"/>
  <c r="C318" i="102"/>
  <c r="C319" i="102"/>
  <c r="C320" i="102"/>
  <c r="C321" i="102"/>
  <c r="C322" i="102"/>
  <c r="C323" i="102"/>
  <c r="C324" i="102"/>
  <c r="C325" i="102"/>
  <c r="C326" i="102"/>
  <c r="C327" i="102"/>
  <c r="C328" i="102"/>
  <c r="C329" i="102"/>
  <c r="C330" i="102"/>
  <c r="C331" i="102"/>
  <c r="C332" i="102"/>
  <c r="C333" i="102"/>
  <c r="C334" i="102"/>
  <c r="C335" i="102"/>
  <c r="C336" i="102"/>
  <c r="C337" i="102"/>
  <c r="C338" i="102"/>
  <c r="C339" i="102"/>
  <c r="C340" i="102"/>
  <c r="C341" i="102"/>
  <c r="C342" i="102"/>
  <c r="C343" i="102"/>
  <c r="C344" i="102"/>
  <c r="C345" i="102"/>
  <c r="C346" i="102"/>
  <c r="C347" i="102"/>
  <c r="C348" i="102"/>
  <c r="C349" i="102"/>
  <c r="C350" i="102"/>
  <c r="C351" i="102"/>
  <c r="C352" i="102"/>
  <c r="C353" i="102"/>
  <c r="C354" i="102"/>
  <c r="C355" i="102"/>
  <c r="C356" i="102"/>
  <c r="C357" i="102"/>
  <c r="C358" i="102"/>
  <c r="C359" i="102"/>
  <c r="C360" i="102"/>
  <c r="C361" i="102"/>
  <c r="C362" i="102"/>
  <c r="C363" i="102"/>
  <c r="C364" i="102"/>
  <c r="C365" i="102"/>
  <c r="C366" i="102"/>
  <c r="C367" i="102"/>
  <c r="C368" i="102"/>
  <c r="C369" i="102"/>
  <c r="C370" i="102"/>
  <c r="C371" i="102"/>
  <c r="C372" i="102"/>
  <c r="C373" i="102"/>
  <c r="C374" i="102"/>
  <c r="C375" i="102"/>
  <c r="C376" i="102"/>
  <c r="C377" i="102"/>
  <c r="C378" i="102"/>
  <c r="C379" i="102"/>
  <c r="C380" i="102"/>
  <c r="C381" i="102"/>
  <c r="C382" i="102"/>
  <c r="C383" i="102"/>
  <c r="C384" i="102"/>
  <c r="C385" i="102"/>
  <c r="C386" i="102"/>
  <c r="C387" i="102"/>
  <c r="C388" i="102"/>
  <c r="C389" i="102"/>
  <c r="C390" i="102"/>
  <c r="C391" i="102"/>
  <c r="C392" i="102"/>
  <c r="C393" i="102"/>
  <c r="C394" i="102"/>
  <c r="C395" i="102"/>
  <c r="C396" i="102"/>
  <c r="C397" i="102"/>
  <c r="C398" i="102"/>
  <c r="C399" i="102"/>
  <c r="C400" i="102"/>
  <c r="C401" i="102"/>
  <c r="C402" i="102"/>
  <c r="C403" i="102"/>
  <c r="C404" i="102"/>
  <c r="C405" i="102"/>
  <c r="C406" i="102"/>
  <c r="C407" i="102"/>
  <c r="C408" i="102"/>
  <c r="C409" i="102"/>
  <c r="C410" i="102"/>
  <c r="C411" i="102"/>
  <c r="C412" i="102"/>
  <c r="C413" i="102"/>
  <c r="C414" i="102"/>
  <c r="C415" i="102"/>
  <c r="C416" i="102"/>
  <c r="C417" i="102"/>
  <c r="C418" i="102"/>
  <c r="C419" i="102"/>
  <c r="C420" i="102"/>
  <c r="C421" i="102"/>
  <c r="C422" i="102"/>
  <c r="C423" i="102"/>
  <c r="C424" i="102"/>
  <c r="C425" i="102"/>
  <c r="C426" i="102"/>
  <c r="C427" i="102"/>
  <c r="C428" i="102"/>
  <c r="C429" i="102"/>
  <c r="C430" i="102"/>
  <c r="C431" i="102"/>
  <c r="C432" i="102"/>
  <c r="C433" i="102"/>
  <c r="C434" i="102"/>
  <c r="C435" i="102"/>
  <c r="C436" i="102"/>
  <c r="C437" i="102"/>
  <c r="C438" i="102"/>
  <c r="C439" i="102"/>
  <c r="C440" i="102"/>
  <c r="C441" i="102"/>
  <c r="C442" i="102"/>
  <c r="C443" i="102"/>
  <c r="C444" i="102"/>
  <c r="C445" i="102"/>
  <c r="C446" i="102"/>
  <c r="C447" i="102"/>
  <c r="C448" i="102"/>
  <c r="C449" i="102"/>
  <c r="C450" i="102"/>
  <c r="C451" i="102"/>
  <c r="C452" i="102"/>
  <c r="C453" i="102"/>
  <c r="C454" i="102"/>
  <c r="C455" i="102"/>
  <c r="C456" i="102"/>
  <c r="C457" i="102"/>
  <c r="C458" i="102"/>
  <c r="C459" i="102"/>
  <c r="C460" i="102"/>
  <c r="C461" i="102"/>
  <c r="C462" i="102"/>
  <c r="C463" i="102"/>
  <c r="C464" i="102"/>
  <c r="C465" i="102"/>
  <c r="C466" i="102"/>
  <c r="C467" i="102"/>
  <c r="C468" i="102"/>
  <c r="C469" i="102"/>
  <c r="C470" i="102"/>
  <c r="C471" i="102"/>
  <c r="C472" i="102"/>
  <c r="C473" i="102"/>
  <c r="C474" i="102"/>
  <c r="C475" i="102"/>
  <c r="C476" i="102"/>
  <c r="C477" i="102"/>
  <c r="C478" i="102"/>
  <c r="C479" i="102"/>
  <c r="C480" i="102"/>
  <c r="C481" i="102"/>
  <c r="C482" i="102"/>
  <c r="C483" i="102"/>
  <c r="C484" i="102"/>
  <c r="C485" i="102"/>
  <c r="C486" i="102"/>
  <c r="C487" i="102"/>
  <c r="C488" i="102"/>
  <c r="C489" i="102"/>
  <c r="C490" i="102"/>
  <c r="C491" i="102"/>
  <c r="C492" i="102"/>
  <c r="C493" i="102"/>
  <c r="C494" i="102"/>
  <c r="C495" i="102"/>
  <c r="C496" i="102"/>
  <c r="C497" i="102"/>
  <c r="C498" i="102"/>
  <c r="C499" i="102"/>
  <c r="C500" i="102"/>
  <c r="O1" i="82" l="1"/>
  <c r="O2" i="82"/>
  <c r="O3" i="82"/>
  <c r="O4" i="82"/>
  <c r="O5" i="82"/>
  <c r="O6" i="82"/>
  <c r="O7" i="82"/>
  <c r="O8" i="82"/>
  <c r="O9" i="82"/>
  <c r="O10" i="82"/>
  <c r="O11" i="82"/>
  <c r="O12" i="82"/>
  <c r="O13" i="82"/>
  <c r="O14" i="82"/>
  <c r="O15" i="82"/>
  <c r="O16" i="82"/>
  <c r="O17" i="82"/>
  <c r="O18" i="82"/>
  <c r="O19" i="82"/>
  <c r="O20" i="82"/>
  <c r="O21" i="82"/>
  <c r="O22" i="82"/>
  <c r="O23" i="82"/>
  <c r="O24" i="82"/>
  <c r="O25" i="82"/>
  <c r="O26" i="82"/>
  <c r="O27" i="82"/>
  <c r="O28" i="82"/>
  <c r="O29" i="82"/>
  <c r="O30" i="82"/>
  <c r="O31" i="82"/>
  <c r="O32" i="82"/>
  <c r="O33" i="82"/>
  <c r="O34" i="82"/>
  <c r="O35" i="82"/>
  <c r="O36" i="82"/>
  <c r="O37" i="82"/>
  <c r="O38" i="82"/>
  <c r="O39" i="82"/>
  <c r="O40" i="82"/>
  <c r="O41" i="82"/>
  <c r="O42" i="82"/>
  <c r="O43" i="82"/>
  <c r="O44" i="82"/>
  <c r="O45" i="82"/>
  <c r="O46" i="82"/>
  <c r="O47" i="82"/>
  <c r="O48" i="82"/>
  <c r="O49" i="82"/>
  <c r="O50" i="82"/>
  <c r="O51" i="82"/>
  <c r="O52" i="82"/>
  <c r="O53" i="82"/>
  <c r="O54" i="82"/>
  <c r="O55" i="82"/>
  <c r="O56" i="82"/>
  <c r="O57" i="82"/>
  <c r="O58" i="82"/>
  <c r="O59" i="82"/>
  <c r="O60" i="82"/>
  <c r="O61" i="82"/>
  <c r="O62" i="82"/>
  <c r="O63" i="82"/>
  <c r="O64" i="82"/>
  <c r="O65" i="82"/>
  <c r="O66" i="82"/>
  <c r="O67" i="82"/>
  <c r="O68" i="82"/>
  <c r="O69" i="82"/>
  <c r="O70" i="82"/>
  <c r="O71" i="82"/>
  <c r="O72" i="82"/>
  <c r="O73" i="82"/>
  <c r="O74" i="82"/>
  <c r="O75" i="82"/>
  <c r="O76" i="82"/>
  <c r="O77" i="82"/>
  <c r="O78" i="82"/>
  <c r="O79" i="82"/>
  <c r="O80" i="82"/>
  <c r="O81" i="82"/>
  <c r="O82" i="82"/>
  <c r="O83" i="82"/>
  <c r="O84" i="82"/>
  <c r="O85" i="82"/>
  <c r="O86" i="82"/>
  <c r="O87" i="82"/>
  <c r="O88" i="82"/>
  <c r="O89" i="82"/>
  <c r="O90" i="82"/>
  <c r="O91" i="82"/>
  <c r="O92" i="82"/>
  <c r="O93" i="82"/>
  <c r="O94" i="82"/>
  <c r="O95" i="82"/>
  <c r="O96" i="82"/>
  <c r="O97" i="82"/>
  <c r="O98" i="82"/>
  <c r="O99" i="82"/>
  <c r="O100" i="82"/>
  <c r="O101" i="82"/>
  <c r="O102" i="82"/>
  <c r="O103" i="82"/>
  <c r="O104" i="82"/>
  <c r="O105" i="82"/>
  <c r="O106" i="82"/>
  <c r="O107" i="82"/>
  <c r="O108" i="82"/>
  <c r="O109" i="82"/>
  <c r="O110" i="82"/>
  <c r="O111" i="82"/>
  <c r="O112" i="82"/>
  <c r="O113" i="82"/>
  <c r="O114" i="82"/>
  <c r="O115" i="82"/>
  <c r="O116" i="82"/>
  <c r="O117" i="82"/>
  <c r="O118" i="82"/>
  <c r="O119" i="82"/>
  <c r="O120" i="82"/>
  <c r="O121" i="82"/>
  <c r="O122" i="82"/>
  <c r="O123" i="82"/>
  <c r="O124" i="82"/>
  <c r="O125" i="82"/>
  <c r="O126" i="82"/>
  <c r="O127" i="82"/>
  <c r="O128" i="82"/>
  <c r="O129" i="82"/>
  <c r="O130" i="82"/>
  <c r="O131" i="82"/>
  <c r="O132" i="82"/>
  <c r="O133" i="82"/>
  <c r="O134" i="82"/>
  <c r="O135" i="82"/>
  <c r="O136" i="82"/>
  <c r="O137" i="82"/>
  <c r="O138" i="82"/>
  <c r="O139" i="82"/>
  <c r="O140" i="82"/>
  <c r="O141" i="82"/>
  <c r="O142" i="82"/>
  <c r="O143" i="82"/>
  <c r="O144" i="82"/>
  <c r="O145" i="82"/>
  <c r="O146" i="82"/>
  <c r="O147" i="82"/>
  <c r="O148" i="82"/>
  <c r="O149" i="82"/>
  <c r="O150" i="82"/>
  <c r="O151" i="82"/>
  <c r="O152" i="82"/>
  <c r="O153" i="82"/>
  <c r="O154" i="82"/>
  <c r="O155" i="82"/>
  <c r="O156" i="82"/>
  <c r="O157" i="82"/>
  <c r="O158" i="82"/>
  <c r="O159" i="82"/>
  <c r="O160" i="82"/>
  <c r="O161" i="82"/>
  <c r="O162" i="82"/>
  <c r="O163" i="82"/>
  <c r="O164" i="82"/>
  <c r="O165" i="82"/>
  <c r="O166" i="82"/>
  <c r="O167" i="82"/>
  <c r="O168" i="82"/>
  <c r="O169" i="82"/>
  <c r="O170" i="82"/>
  <c r="O171" i="82"/>
  <c r="O172" i="82"/>
  <c r="O173" i="82"/>
  <c r="O174" i="82"/>
  <c r="O175" i="82"/>
  <c r="O176" i="82"/>
  <c r="O177" i="82"/>
  <c r="O178" i="82"/>
  <c r="O179" i="82"/>
  <c r="O180" i="82"/>
  <c r="O181" i="82"/>
  <c r="O182" i="82"/>
  <c r="O183" i="82"/>
  <c r="O184" i="82"/>
  <c r="O185" i="82"/>
  <c r="O186" i="82"/>
  <c r="O187" i="82"/>
  <c r="O188" i="82"/>
  <c r="O189" i="82"/>
  <c r="O190" i="82"/>
  <c r="O191" i="82"/>
  <c r="O192" i="82"/>
  <c r="O193" i="82"/>
  <c r="O194" i="82"/>
  <c r="O195" i="82"/>
  <c r="O196" i="82"/>
  <c r="O197" i="82"/>
  <c r="O198" i="82"/>
  <c r="O199" i="82"/>
  <c r="O200" i="82"/>
  <c r="O201" i="82"/>
  <c r="O202" i="82"/>
  <c r="O203" i="82"/>
  <c r="O204" i="82"/>
  <c r="O205" i="82"/>
  <c r="O206" i="82"/>
  <c r="O207" i="82"/>
  <c r="O208" i="82"/>
  <c r="O209" i="82"/>
  <c r="O210" i="82"/>
  <c r="O211" i="82"/>
  <c r="O212" i="82"/>
  <c r="O213" i="82"/>
  <c r="O214" i="82"/>
  <c r="O215" i="82"/>
  <c r="O216" i="82"/>
  <c r="O217" i="82"/>
  <c r="O218" i="82"/>
  <c r="O219" i="82"/>
  <c r="O220" i="82"/>
  <c r="O221" i="82"/>
  <c r="O222" i="82"/>
  <c r="O223" i="82"/>
  <c r="O224" i="82"/>
  <c r="O225" i="82"/>
  <c r="O226" i="82"/>
  <c r="O227" i="82"/>
  <c r="O228" i="82"/>
  <c r="O229" i="82"/>
  <c r="O230" i="82"/>
  <c r="O231" i="82"/>
  <c r="O232" i="82"/>
  <c r="O233" i="82"/>
  <c r="O234" i="82"/>
  <c r="O235" i="82"/>
  <c r="O236" i="82"/>
  <c r="O237" i="82"/>
  <c r="O238" i="82"/>
  <c r="O239" i="82"/>
  <c r="O240" i="82"/>
  <c r="O241" i="82"/>
  <c r="O242" i="82"/>
  <c r="O243" i="82"/>
  <c r="O244" i="82"/>
  <c r="O245" i="82"/>
  <c r="O246" i="82"/>
  <c r="O247" i="82"/>
  <c r="O248" i="82"/>
  <c r="O249" i="82"/>
  <c r="O250" i="82"/>
  <c r="O251" i="82"/>
  <c r="O252" i="82"/>
  <c r="O253" i="82"/>
  <c r="O254" i="82"/>
  <c r="O255" i="82"/>
  <c r="O256" i="82"/>
  <c r="O257" i="82"/>
  <c r="O258" i="82"/>
  <c r="O259" i="82"/>
  <c r="O260" i="82"/>
  <c r="O261" i="82"/>
  <c r="O262" i="82"/>
  <c r="O263" i="82"/>
  <c r="O264" i="82"/>
  <c r="O265" i="82"/>
  <c r="O266" i="82"/>
  <c r="O267" i="82"/>
  <c r="O268" i="82"/>
  <c r="O269" i="82"/>
  <c r="O270" i="82"/>
  <c r="O271" i="82"/>
  <c r="O272" i="82"/>
  <c r="O273" i="82"/>
  <c r="O274" i="82"/>
  <c r="O275" i="82"/>
  <c r="O276" i="82"/>
  <c r="O277" i="82"/>
  <c r="O278" i="82"/>
  <c r="O279" i="82"/>
  <c r="O280" i="82"/>
  <c r="O281" i="82"/>
  <c r="O282" i="82"/>
  <c r="O283" i="82"/>
  <c r="O284" i="82"/>
  <c r="O285" i="82"/>
  <c r="O286" i="82"/>
  <c r="O287" i="82"/>
  <c r="O288" i="82"/>
  <c r="O289" i="82"/>
  <c r="O290" i="82"/>
  <c r="O291" i="82"/>
  <c r="O292" i="82"/>
  <c r="O293" i="82"/>
  <c r="O294" i="82"/>
  <c r="O295" i="82"/>
  <c r="O296" i="82"/>
  <c r="O297" i="82"/>
  <c r="O298" i="82"/>
  <c r="O299" i="82"/>
  <c r="O300" i="82"/>
  <c r="O301" i="82"/>
  <c r="O302" i="82"/>
  <c r="O303" i="82"/>
  <c r="O304" i="82"/>
  <c r="O305" i="82"/>
  <c r="O306" i="82"/>
  <c r="O307" i="82"/>
  <c r="O308" i="82"/>
  <c r="O309" i="82"/>
  <c r="O310" i="82"/>
  <c r="O311" i="82"/>
  <c r="O312" i="82"/>
  <c r="O313" i="82"/>
  <c r="O314" i="82"/>
  <c r="O315" i="82"/>
  <c r="O316" i="82"/>
  <c r="O317" i="82"/>
  <c r="O318" i="82"/>
  <c r="O319" i="82"/>
  <c r="O320" i="82"/>
  <c r="O321" i="82"/>
  <c r="O322" i="82"/>
  <c r="O323" i="82"/>
  <c r="O324" i="82"/>
  <c r="O325" i="82"/>
  <c r="O326" i="82"/>
  <c r="O327" i="82"/>
  <c r="O328" i="82"/>
  <c r="O329" i="82"/>
  <c r="O330" i="82"/>
  <c r="O331" i="82"/>
  <c r="O332" i="82"/>
  <c r="O333" i="82"/>
  <c r="O334" i="82"/>
  <c r="O335" i="82"/>
  <c r="O336" i="82"/>
  <c r="O337" i="82"/>
  <c r="O338" i="82"/>
  <c r="O339" i="82"/>
  <c r="O340" i="82"/>
  <c r="O341" i="82"/>
  <c r="O342" i="82"/>
  <c r="O343" i="82"/>
  <c r="O344" i="82"/>
  <c r="O345" i="82"/>
  <c r="O346" i="82"/>
  <c r="O347" i="82"/>
  <c r="O348" i="82"/>
  <c r="O349" i="82"/>
  <c r="O350" i="82"/>
  <c r="O351" i="82"/>
  <c r="O352" i="82"/>
  <c r="O353" i="82"/>
  <c r="O354" i="82"/>
  <c r="O355" i="82"/>
  <c r="O356" i="82"/>
  <c r="O357" i="82"/>
  <c r="O358" i="82"/>
  <c r="O359" i="82"/>
  <c r="O360" i="82"/>
  <c r="O361" i="82"/>
  <c r="O362" i="82"/>
  <c r="O363" i="82"/>
  <c r="O364" i="82"/>
  <c r="O365" i="82"/>
  <c r="O366" i="82"/>
  <c r="O367" i="82"/>
  <c r="O368" i="82"/>
  <c r="O369" i="82"/>
  <c r="O370" i="82"/>
  <c r="O371" i="82"/>
  <c r="O372" i="82"/>
  <c r="O373" i="82"/>
  <c r="O374" i="82"/>
  <c r="O375" i="82"/>
  <c r="O376" i="82"/>
  <c r="O377" i="82"/>
  <c r="O378" i="82"/>
  <c r="O379" i="82"/>
  <c r="O380" i="82"/>
  <c r="O381" i="82"/>
  <c r="O382" i="82"/>
  <c r="O383" i="82"/>
  <c r="O384" i="82"/>
  <c r="O385" i="82"/>
  <c r="O386" i="82"/>
  <c r="O387" i="82"/>
  <c r="O388" i="82"/>
  <c r="O389" i="82"/>
  <c r="O390" i="82"/>
  <c r="O391" i="82"/>
  <c r="O392" i="82"/>
  <c r="O393" i="82"/>
  <c r="O394" i="82"/>
  <c r="O395" i="82"/>
  <c r="O396" i="82"/>
  <c r="O397" i="82"/>
  <c r="O398" i="82"/>
  <c r="O399" i="82"/>
  <c r="O400" i="82"/>
  <c r="O401" i="82"/>
  <c r="O402" i="82"/>
  <c r="O403" i="82"/>
  <c r="O404" i="82"/>
  <c r="O405" i="82"/>
  <c r="O406" i="82"/>
  <c r="O407" i="82"/>
  <c r="O408" i="82"/>
  <c r="O409" i="82"/>
  <c r="O410" i="82"/>
  <c r="O411" i="82"/>
  <c r="O412" i="82"/>
  <c r="O413" i="82"/>
  <c r="O414" i="82"/>
  <c r="O415" i="82"/>
  <c r="O416" i="82"/>
  <c r="O417" i="82"/>
  <c r="O418" i="82"/>
  <c r="O419" i="82"/>
  <c r="O420" i="82"/>
  <c r="O421" i="82"/>
  <c r="O422" i="82"/>
  <c r="O423" i="82"/>
  <c r="O424" i="82"/>
  <c r="O425" i="82"/>
  <c r="O426" i="82"/>
  <c r="O427" i="82"/>
  <c r="O428" i="82"/>
  <c r="O429" i="82"/>
  <c r="O430" i="82"/>
  <c r="O431" i="82"/>
  <c r="O432" i="82"/>
  <c r="O433" i="82"/>
  <c r="O434" i="82"/>
  <c r="O435" i="82"/>
  <c r="O436" i="82"/>
  <c r="O437" i="82"/>
  <c r="O438" i="82"/>
  <c r="O439" i="82"/>
  <c r="O440" i="82"/>
  <c r="O441" i="82"/>
  <c r="O442" i="82"/>
  <c r="O443" i="82"/>
  <c r="O444" i="82"/>
  <c r="O445" i="82"/>
  <c r="O446" i="82"/>
  <c r="O447" i="82"/>
  <c r="O448" i="82"/>
  <c r="O449" i="82"/>
  <c r="O450" i="82"/>
  <c r="O451" i="82"/>
  <c r="O452" i="82"/>
  <c r="O453" i="82"/>
  <c r="O454" i="82"/>
  <c r="O455" i="82"/>
  <c r="O456" i="82"/>
  <c r="O457" i="82"/>
  <c r="O458" i="82"/>
  <c r="O459" i="82"/>
  <c r="O460" i="82"/>
  <c r="O461" i="82"/>
  <c r="O462" i="82"/>
  <c r="O463" i="82"/>
  <c r="O464" i="82"/>
  <c r="O465" i="82"/>
  <c r="O466" i="82"/>
  <c r="O467" i="82"/>
  <c r="O468" i="82"/>
  <c r="O469" i="82"/>
  <c r="O470" i="82"/>
  <c r="O471" i="82"/>
  <c r="O472" i="82"/>
  <c r="O473" i="82"/>
  <c r="O474" i="82"/>
  <c r="O475" i="82"/>
  <c r="O476" i="82"/>
  <c r="O477" i="82"/>
  <c r="O478" i="82"/>
  <c r="O479" i="82"/>
  <c r="O480" i="82"/>
  <c r="O481" i="82"/>
  <c r="O482" i="82"/>
  <c r="O483" i="82"/>
  <c r="O484" i="82"/>
  <c r="O485" i="82"/>
  <c r="O486" i="82"/>
  <c r="O487" i="82"/>
  <c r="O488" i="82"/>
  <c r="O489" i="82"/>
  <c r="O490" i="82"/>
  <c r="O491" i="82"/>
  <c r="O492" i="82"/>
  <c r="O493" i="82"/>
  <c r="O494" i="82"/>
  <c r="O495" i="82"/>
  <c r="O496" i="82"/>
  <c r="O497" i="82"/>
  <c r="O498" i="82"/>
  <c r="O499" i="82"/>
  <c r="O500" i="82"/>
  <c r="K1" i="82"/>
  <c r="K2" i="82"/>
  <c r="K3" i="82"/>
  <c r="K4" i="82"/>
  <c r="K5" i="82"/>
  <c r="K6" i="82"/>
  <c r="K7" i="82"/>
  <c r="K8" i="82"/>
  <c r="K9" i="82"/>
  <c r="K10" i="82"/>
  <c r="K11" i="82"/>
  <c r="K12" i="82"/>
  <c r="K13" i="82"/>
  <c r="K14" i="82"/>
  <c r="K15" i="82"/>
  <c r="K16" i="82"/>
  <c r="K17" i="82"/>
  <c r="K18" i="82"/>
  <c r="K19" i="82"/>
  <c r="K20" i="82"/>
  <c r="K21" i="82"/>
  <c r="K22" i="82"/>
  <c r="K23" i="82"/>
  <c r="K24" i="82"/>
  <c r="K25" i="82"/>
  <c r="K26" i="82"/>
  <c r="K27" i="82"/>
  <c r="K28" i="82"/>
  <c r="K29" i="82"/>
  <c r="K30" i="82"/>
  <c r="K31" i="82"/>
  <c r="K32" i="82"/>
  <c r="K33" i="82"/>
  <c r="K34" i="82"/>
  <c r="K35" i="82"/>
  <c r="K36" i="82"/>
  <c r="K37" i="82"/>
  <c r="K38" i="82"/>
  <c r="K39" i="82"/>
  <c r="K40" i="82"/>
  <c r="K41" i="82"/>
  <c r="K42" i="82"/>
  <c r="K43" i="82"/>
  <c r="K44" i="82"/>
  <c r="K45" i="82"/>
  <c r="K46" i="82"/>
  <c r="K47" i="82"/>
  <c r="K48" i="82"/>
  <c r="K49" i="82"/>
  <c r="K50" i="82"/>
  <c r="K51" i="82"/>
  <c r="K52" i="82"/>
  <c r="K53" i="82"/>
  <c r="K54" i="82"/>
  <c r="K55" i="82"/>
  <c r="K56" i="82"/>
  <c r="K57" i="82"/>
  <c r="K58" i="82"/>
  <c r="K59" i="82"/>
  <c r="K60" i="82"/>
  <c r="K61" i="82"/>
  <c r="K62" i="82"/>
  <c r="K63" i="82"/>
  <c r="K64" i="82"/>
  <c r="K65" i="82"/>
  <c r="K66" i="82"/>
  <c r="K67" i="82"/>
  <c r="K68" i="82"/>
  <c r="K69" i="82"/>
  <c r="K70" i="82"/>
  <c r="K71" i="82"/>
  <c r="K72" i="82"/>
  <c r="K73" i="82"/>
  <c r="K74" i="82"/>
  <c r="K75" i="82"/>
  <c r="K76" i="82"/>
  <c r="K77" i="82"/>
  <c r="K78" i="82"/>
  <c r="K79" i="82"/>
  <c r="K80" i="82"/>
  <c r="K81" i="82"/>
  <c r="K82" i="82"/>
  <c r="K83" i="82"/>
  <c r="K84" i="82"/>
  <c r="K85" i="82"/>
  <c r="K86" i="82"/>
  <c r="K87" i="82"/>
  <c r="K88" i="82"/>
  <c r="K89" i="82"/>
  <c r="K90" i="82"/>
  <c r="K91" i="82"/>
  <c r="K92" i="82"/>
  <c r="K93" i="82"/>
  <c r="K94" i="82"/>
  <c r="K95" i="82"/>
  <c r="K96" i="82"/>
  <c r="K97" i="82"/>
  <c r="K98" i="82"/>
  <c r="K99" i="82"/>
  <c r="K100" i="82"/>
  <c r="K101" i="82"/>
  <c r="K102" i="82"/>
  <c r="K103" i="82"/>
  <c r="K104" i="82"/>
  <c r="K105" i="82"/>
  <c r="K106" i="82"/>
  <c r="K107" i="82"/>
  <c r="K108" i="82"/>
  <c r="K109" i="82"/>
  <c r="K110" i="82"/>
  <c r="K111" i="82"/>
  <c r="K112" i="82"/>
  <c r="K113" i="82"/>
  <c r="K114" i="82"/>
  <c r="K115" i="82"/>
  <c r="K116" i="82"/>
  <c r="K117" i="82"/>
  <c r="K118" i="82"/>
  <c r="K119" i="82"/>
  <c r="K120" i="82"/>
  <c r="K121" i="82"/>
  <c r="K122" i="82"/>
  <c r="K123" i="82"/>
  <c r="K124" i="82"/>
  <c r="K125" i="82"/>
  <c r="K126" i="82"/>
  <c r="K127" i="82"/>
  <c r="K128" i="82"/>
  <c r="K129" i="82"/>
  <c r="K130" i="82"/>
  <c r="K131" i="82"/>
  <c r="K132" i="82"/>
  <c r="K133" i="82"/>
  <c r="K134" i="82"/>
  <c r="K135" i="82"/>
  <c r="K136" i="82"/>
  <c r="K137" i="82"/>
  <c r="K138" i="82"/>
  <c r="K139" i="82"/>
  <c r="K140" i="82"/>
  <c r="K141" i="82"/>
  <c r="K142" i="82"/>
  <c r="K143" i="82"/>
  <c r="K144" i="82"/>
  <c r="K145" i="82"/>
  <c r="K146" i="82"/>
  <c r="K147" i="82"/>
  <c r="K148" i="82"/>
  <c r="K149" i="82"/>
  <c r="K150" i="82"/>
  <c r="K151" i="82"/>
  <c r="K152" i="82"/>
  <c r="K153" i="82"/>
  <c r="K154" i="82"/>
  <c r="K155" i="82"/>
  <c r="K156" i="82"/>
  <c r="K157" i="82"/>
  <c r="K158" i="82"/>
  <c r="K159" i="82"/>
  <c r="K160" i="82"/>
  <c r="K161" i="82"/>
  <c r="K162" i="82"/>
  <c r="K163" i="82"/>
  <c r="K164" i="82"/>
  <c r="K165" i="82"/>
  <c r="K166" i="82"/>
  <c r="K167" i="82"/>
  <c r="K168" i="82"/>
  <c r="K169" i="82"/>
  <c r="K170" i="82"/>
  <c r="K171" i="82"/>
  <c r="K172" i="82"/>
  <c r="K173" i="82"/>
  <c r="K174" i="82"/>
  <c r="K175" i="82"/>
  <c r="K176" i="82"/>
  <c r="K177" i="82"/>
  <c r="K178" i="82"/>
  <c r="K179" i="82"/>
  <c r="K180" i="82"/>
  <c r="K181" i="82"/>
  <c r="K182" i="82"/>
  <c r="K183" i="82"/>
  <c r="K184" i="82"/>
  <c r="K185" i="82"/>
  <c r="K186" i="82"/>
  <c r="K187" i="82"/>
  <c r="K188" i="82"/>
  <c r="K189" i="82"/>
  <c r="K190" i="82"/>
  <c r="K191" i="82"/>
  <c r="K192" i="82"/>
  <c r="K193" i="82"/>
  <c r="K194" i="82"/>
  <c r="K195" i="82"/>
  <c r="K196" i="82"/>
  <c r="K197" i="82"/>
  <c r="K198" i="82"/>
  <c r="K199" i="82"/>
  <c r="K200" i="82"/>
  <c r="K201" i="82"/>
  <c r="K202" i="82"/>
  <c r="K203" i="82"/>
  <c r="K204" i="82"/>
  <c r="K205" i="82"/>
  <c r="K206" i="82"/>
  <c r="K207" i="82"/>
  <c r="K208" i="82"/>
  <c r="K209" i="82"/>
  <c r="K210" i="82"/>
  <c r="K211" i="82"/>
  <c r="K212" i="82"/>
  <c r="K213" i="82"/>
  <c r="K214" i="82"/>
  <c r="K215" i="82"/>
  <c r="K216" i="82"/>
  <c r="K217" i="82"/>
  <c r="K218" i="82"/>
  <c r="K219" i="82"/>
  <c r="K220" i="82"/>
  <c r="K221" i="82"/>
  <c r="K222" i="82"/>
  <c r="K223" i="82"/>
  <c r="K224" i="82"/>
  <c r="K225" i="82"/>
  <c r="K226" i="82"/>
  <c r="K227" i="82"/>
  <c r="K228" i="82"/>
  <c r="K229" i="82"/>
  <c r="K230" i="82"/>
  <c r="K231" i="82"/>
  <c r="K232" i="82"/>
  <c r="K233" i="82"/>
  <c r="K234" i="82"/>
  <c r="K235" i="82"/>
  <c r="K236" i="82"/>
  <c r="K237" i="82"/>
  <c r="K238" i="82"/>
  <c r="K239" i="82"/>
  <c r="K240" i="82"/>
  <c r="K241" i="82"/>
  <c r="K242" i="82"/>
  <c r="K243" i="82"/>
  <c r="K244" i="82"/>
  <c r="K245" i="82"/>
  <c r="K246" i="82"/>
  <c r="K247" i="82"/>
  <c r="K248" i="82"/>
  <c r="K249" i="82"/>
  <c r="K250" i="82"/>
  <c r="K251" i="82"/>
  <c r="K252" i="82"/>
  <c r="K253" i="82"/>
  <c r="K254" i="82"/>
  <c r="K255" i="82"/>
  <c r="K256" i="82"/>
  <c r="K257" i="82"/>
  <c r="K258" i="82"/>
  <c r="K259" i="82"/>
  <c r="K260" i="82"/>
  <c r="K261" i="82"/>
  <c r="K262" i="82"/>
  <c r="K263" i="82"/>
  <c r="K264" i="82"/>
  <c r="K265" i="82"/>
  <c r="K266" i="82"/>
  <c r="K267" i="82"/>
  <c r="K268" i="82"/>
  <c r="K269" i="82"/>
  <c r="K270" i="82"/>
  <c r="K271" i="82"/>
  <c r="K272" i="82"/>
  <c r="K273" i="82"/>
  <c r="K274" i="82"/>
  <c r="K275" i="82"/>
  <c r="K276" i="82"/>
  <c r="K277" i="82"/>
  <c r="K278" i="82"/>
  <c r="K279" i="82"/>
  <c r="K280" i="82"/>
  <c r="K281" i="82"/>
  <c r="K282" i="82"/>
  <c r="K283" i="82"/>
  <c r="K284" i="82"/>
  <c r="K285" i="82"/>
  <c r="K286" i="82"/>
  <c r="K287" i="82"/>
  <c r="K288" i="82"/>
  <c r="K289" i="82"/>
  <c r="K290" i="82"/>
  <c r="K291" i="82"/>
  <c r="K292" i="82"/>
  <c r="K293" i="82"/>
  <c r="K294" i="82"/>
  <c r="K295" i="82"/>
  <c r="K296" i="82"/>
  <c r="K297" i="82"/>
  <c r="K298" i="82"/>
  <c r="K299" i="82"/>
  <c r="K300" i="82"/>
  <c r="K301" i="82"/>
  <c r="K302" i="82"/>
  <c r="K303" i="82"/>
  <c r="K304" i="82"/>
  <c r="K305" i="82"/>
  <c r="K306" i="82"/>
  <c r="K307" i="82"/>
  <c r="K308" i="82"/>
  <c r="K309" i="82"/>
  <c r="K310" i="82"/>
  <c r="K311" i="82"/>
  <c r="K312" i="82"/>
  <c r="K313" i="82"/>
  <c r="K314" i="82"/>
  <c r="K315" i="82"/>
  <c r="K316" i="82"/>
  <c r="K317" i="82"/>
  <c r="K318" i="82"/>
  <c r="K319" i="82"/>
  <c r="K320" i="82"/>
  <c r="K321" i="82"/>
  <c r="K322" i="82"/>
  <c r="K323" i="82"/>
  <c r="K324" i="82"/>
  <c r="K325" i="82"/>
  <c r="K326" i="82"/>
  <c r="K327" i="82"/>
  <c r="K328" i="82"/>
  <c r="K329" i="82"/>
  <c r="K330" i="82"/>
  <c r="K331" i="82"/>
  <c r="K332" i="82"/>
  <c r="K333" i="82"/>
  <c r="K334" i="82"/>
  <c r="K335" i="82"/>
  <c r="K336" i="82"/>
  <c r="K337" i="82"/>
  <c r="K338" i="82"/>
  <c r="K339" i="82"/>
  <c r="K340" i="82"/>
  <c r="K341" i="82"/>
  <c r="K342" i="82"/>
  <c r="K343" i="82"/>
  <c r="K344" i="82"/>
  <c r="K345" i="82"/>
  <c r="K346" i="82"/>
  <c r="K347" i="82"/>
  <c r="K348" i="82"/>
  <c r="K349" i="82"/>
  <c r="K350" i="82"/>
  <c r="K351" i="82"/>
  <c r="K352" i="82"/>
  <c r="K353" i="82"/>
  <c r="K354" i="82"/>
  <c r="K355" i="82"/>
  <c r="K356" i="82"/>
  <c r="K357" i="82"/>
  <c r="K358" i="82"/>
  <c r="K359" i="82"/>
  <c r="K360" i="82"/>
  <c r="K361" i="82"/>
  <c r="K362" i="82"/>
  <c r="K363" i="82"/>
  <c r="K364" i="82"/>
  <c r="K365" i="82"/>
  <c r="K366" i="82"/>
  <c r="K367" i="82"/>
  <c r="K368" i="82"/>
  <c r="K369" i="82"/>
  <c r="K370" i="82"/>
  <c r="K371" i="82"/>
  <c r="K372" i="82"/>
  <c r="K373" i="82"/>
  <c r="K374" i="82"/>
  <c r="K375" i="82"/>
  <c r="K376" i="82"/>
  <c r="K377" i="82"/>
  <c r="K378" i="82"/>
  <c r="K379" i="82"/>
  <c r="K380" i="82"/>
  <c r="K381" i="82"/>
  <c r="K382" i="82"/>
  <c r="K383" i="82"/>
  <c r="K384" i="82"/>
  <c r="K385" i="82"/>
  <c r="K386" i="82"/>
  <c r="K387" i="82"/>
  <c r="K388" i="82"/>
  <c r="K389" i="82"/>
  <c r="K390" i="82"/>
  <c r="K391" i="82"/>
  <c r="K392" i="82"/>
  <c r="K393" i="82"/>
  <c r="K394" i="82"/>
  <c r="K395" i="82"/>
  <c r="K396" i="82"/>
  <c r="K397" i="82"/>
  <c r="K398" i="82"/>
  <c r="K399" i="82"/>
  <c r="K400" i="82"/>
  <c r="K401" i="82"/>
  <c r="K402" i="82"/>
  <c r="K403" i="82"/>
  <c r="K404" i="82"/>
  <c r="K405" i="82"/>
  <c r="K406" i="82"/>
  <c r="K407" i="82"/>
  <c r="K408" i="82"/>
  <c r="K409" i="82"/>
  <c r="K410" i="82"/>
  <c r="K411" i="82"/>
  <c r="K412" i="82"/>
  <c r="K413" i="82"/>
  <c r="K414" i="82"/>
  <c r="K415" i="82"/>
  <c r="K416" i="82"/>
  <c r="K417" i="82"/>
  <c r="K418" i="82"/>
  <c r="K419" i="82"/>
  <c r="K420" i="82"/>
  <c r="K421" i="82"/>
  <c r="K422" i="82"/>
  <c r="K423" i="82"/>
  <c r="K424" i="82"/>
  <c r="K425" i="82"/>
  <c r="K426" i="82"/>
  <c r="K427" i="82"/>
  <c r="K428" i="82"/>
  <c r="K429" i="82"/>
  <c r="K430" i="82"/>
  <c r="K431" i="82"/>
  <c r="K432" i="82"/>
  <c r="K433" i="82"/>
  <c r="K434" i="82"/>
  <c r="K435" i="82"/>
  <c r="K436" i="82"/>
  <c r="K437" i="82"/>
  <c r="K438" i="82"/>
  <c r="K439" i="82"/>
  <c r="K440" i="82"/>
  <c r="K441" i="82"/>
  <c r="K442" i="82"/>
  <c r="K443" i="82"/>
  <c r="K444" i="82"/>
  <c r="K445" i="82"/>
  <c r="K446" i="82"/>
  <c r="K447" i="82"/>
  <c r="K448" i="82"/>
  <c r="K449" i="82"/>
  <c r="K450" i="82"/>
  <c r="K451" i="82"/>
  <c r="K452" i="82"/>
  <c r="K453" i="82"/>
  <c r="K454" i="82"/>
  <c r="K455" i="82"/>
  <c r="K456" i="82"/>
  <c r="K457" i="82"/>
  <c r="K458" i="82"/>
  <c r="K459" i="82"/>
  <c r="K460" i="82"/>
  <c r="K461" i="82"/>
  <c r="K462" i="82"/>
  <c r="K463" i="82"/>
  <c r="K464" i="82"/>
  <c r="K465" i="82"/>
  <c r="K466" i="82"/>
  <c r="K467" i="82"/>
  <c r="K468" i="82"/>
  <c r="K469" i="82"/>
  <c r="K470" i="82"/>
  <c r="K471" i="82"/>
  <c r="K472" i="82"/>
  <c r="K473" i="82"/>
  <c r="K474" i="82"/>
  <c r="K475" i="82"/>
  <c r="K476" i="82"/>
  <c r="K477" i="82"/>
  <c r="K478" i="82"/>
  <c r="K479" i="82"/>
  <c r="K480" i="82"/>
  <c r="K481" i="82"/>
  <c r="K482" i="82"/>
  <c r="K483" i="82"/>
  <c r="K484" i="82"/>
  <c r="K485" i="82"/>
  <c r="K486" i="82"/>
  <c r="K487" i="82"/>
  <c r="K488" i="82"/>
  <c r="K489" i="82"/>
  <c r="K490" i="82"/>
  <c r="K491" i="82"/>
  <c r="K492" i="82"/>
  <c r="K493" i="82"/>
  <c r="K494" i="82"/>
  <c r="K495" i="82"/>
  <c r="K496" i="82"/>
  <c r="K497" i="82"/>
  <c r="K498" i="82"/>
  <c r="K499" i="82"/>
  <c r="K500" i="82"/>
  <c r="K501" i="82"/>
  <c r="K502" i="82"/>
  <c r="K503" i="82"/>
  <c r="K504" i="82"/>
  <c r="K505" i="82"/>
  <c r="K506" i="82"/>
  <c r="K507" i="82"/>
  <c r="K508" i="82"/>
  <c r="K509" i="82"/>
  <c r="K510" i="82"/>
  <c r="K511" i="82"/>
  <c r="K512" i="82"/>
  <c r="K513" i="82"/>
  <c r="K514" i="82"/>
  <c r="K515" i="82"/>
  <c r="K516" i="82"/>
  <c r="K517" i="82"/>
  <c r="K518" i="82"/>
  <c r="K519" i="82"/>
  <c r="K520" i="82"/>
  <c r="K521" i="82"/>
  <c r="K522" i="82"/>
  <c r="K523" i="82"/>
  <c r="K524" i="82"/>
  <c r="K525" i="82"/>
  <c r="K526" i="82"/>
  <c r="K527" i="82"/>
  <c r="K528" i="82"/>
  <c r="K529" i="82"/>
  <c r="K530" i="82"/>
  <c r="K531" i="82"/>
  <c r="K532" i="82"/>
  <c r="K533" i="82"/>
  <c r="K534" i="82"/>
  <c r="K535" i="82"/>
  <c r="K536" i="82"/>
  <c r="K537" i="82"/>
  <c r="K538" i="82"/>
  <c r="K539" i="82"/>
  <c r="K540" i="82"/>
  <c r="K541" i="82"/>
  <c r="K542" i="82"/>
  <c r="K543" i="82"/>
  <c r="K544" i="82"/>
  <c r="K545" i="82"/>
  <c r="K546" i="82"/>
  <c r="K547" i="82"/>
  <c r="K548" i="82"/>
  <c r="K549" i="82"/>
  <c r="K550" i="82"/>
  <c r="K551" i="82"/>
  <c r="K552" i="82"/>
  <c r="K553" i="82"/>
  <c r="K554" i="82"/>
  <c r="K555" i="82"/>
  <c r="K556" i="82"/>
  <c r="K557" i="82"/>
  <c r="K558" i="82"/>
  <c r="K559" i="82"/>
  <c r="K560" i="82"/>
  <c r="K561" i="82"/>
  <c r="K562" i="82"/>
  <c r="K563" i="82"/>
  <c r="K564" i="82"/>
  <c r="K565" i="82"/>
  <c r="K566" i="82"/>
  <c r="K567" i="82"/>
  <c r="K568" i="82"/>
  <c r="K569" i="82"/>
  <c r="K570" i="82"/>
  <c r="K571" i="82"/>
  <c r="K572" i="82"/>
  <c r="K573" i="82"/>
  <c r="K574" i="82"/>
  <c r="K575" i="82"/>
  <c r="K576" i="82"/>
  <c r="K577" i="82"/>
  <c r="K578" i="82"/>
  <c r="K579" i="82"/>
  <c r="K580" i="82"/>
  <c r="K581" i="82"/>
  <c r="K582" i="82"/>
  <c r="K583" i="82"/>
  <c r="K584" i="82"/>
  <c r="K585" i="82"/>
  <c r="K586" i="82"/>
  <c r="K587" i="82"/>
  <c r="K588" i="82"/>
  <c r="K589" i="82"/>
  <c r="K590" i="82"/>
  <c r="K591" i="82"/>
  <c r="K592" i="82"/>
  <c r="K593" i="82"/>
  <c r="K594" i="82"/>
  <c r="K595" i="82"/>
  <c r="K596" i="82"/>
  <c r="K597" i="82"/>
  <c r="K598" i="82"/>
  <c r="K599" i="82"/>
  <c r="K600" i="82"/>
  <c r="K601" i="82"/>
  <c r="K602" i="82"/>
  <c r="K603" i="82"/>
  <c r="K604" i="82"/>
  <c r="K605" i="82"/>
  <c r="K606" i="82"/>
  <c r="K607" i="82"/>
  <c r="K608" i="82"/>
  <c r="K609" i="82"/>
  <c r="K610" i="82"/>
  <c r="K611" i="82"/>
  <c r="K612" i="82"/>
  <c r="K613" i="82"/>
  <c r="K614" i="82"/>
  <c r="K615" i="82"/>
  <c r="K616" i="82"/>
  <c r="K617" i="82"/>
  <c r="K618" i="82"/>
  <c r="K619" i="82"/>
  <c r="K620" i="82"/>
  <c r="K621" i="82"/>
  <c r="K622" i="82"/>
  <c r="K623" i="82"/>
  <c r="K624" i="82"/>
  <c r="K625" i="82"/>
  <c r="K626" i="82"/>
  <c r="K627" i="82"/>
  <c r="K628" i="82"/>
  <c r="K629" i="82"/>
  <c r="K630" i="82"/>
  <c r="K631" i="82"/>
  <c r="K632" i="82"/>
  <c r="K633" i="82"/>
  <c r="K634" i="82"/>
  <c r="K635" i="82"/>
  <c r="K636" i="82"/>
  <c r="K637" i="82"/>
  <c r="K638" i="82"/>
  <c r="K639" i="82"/>
  <c r="K640" i="82"/>
  <c r="K641" i="82"/>
  <c r="K642" i="82"/>
  <c r="K643" i="82"/>
  <c r="K644" i="82"/>
  <c r="K645" i="82"/>
  <c r="K646" i="82"/>
  <c r="K647" i="82"/>
  <c r="K648" i="82"/>
  <c r="K649" i="82"/>
  <c r="K650" i="82"/>
  <c r="K651" i="82"/>
  <c r="K652" i="82"/>
  <c r="K653" i="82"/>
  <c r="K654" i="82"/>
  <c r="K655" i="82"/>
  <c r="K656" i="82"/>
  <c r="K657" i="82"/>
  <c r="K658" i="82"/>
  <c r="K659" i="82"/>
  <c r="K660" i="82"/>
  <c r="K661" i="82"/>
  <c r="K662" i="82"/>
  <c r="K663" i="82"/>
  <c r="K664" i="82"/>
  <c r="K665" i="82"/>
  <c r="K666" i="82"/>
  <c r="K667" i="82"/>
  <c r="K668" i="82"/>
  <c r="K669" i="82"/>
  <c r="K670" i="82"/>
  <c r="K671" i="82"/>
  <c r="K672" i="82"/>
  <c r="K673" i="82"/>
  <c r="K674" i="82"/>
  <c r="K675" i="82"/>
  <c r="K676" i="82"/>
  <c r="K677" i="82"/>
  <c r="K678" i="82"/>
  <c r="K679" i="82"/>
  <c r="K680" i="82"/>
  <c r="K681" i="82"/>
  <c r="K682" i="82"/>
  <c r="K683" i="82"/>
  <c r="K684" i="82"/>
  <c r="K685" i="82"/>
  <c r="K686" i="82"/>
  <c r="K687" i="82"/>
  <c r="K688" i="82"/>
  <c r="K689" i="82"/>
  <c r="K690" i="82"/>
  <c r="K691" i="82"/>
  <c r="K692" i="82"/>
  <c r="K693" i="82"/>
  <c r="K694" i="82"/>
  <c r="K695" i="82"/>
  <c r="K696" i="82"/>
  <c r="K697" i="82"/>
  <c r="K698" i="82"/>
  <c r="K699" i="82"/>
  <c r="K700" i="82"/>
  <c r="K701" i="82"/>
  <c r="K702" i="82"/>
  <c r="K703" i="82"/>
  <c r="K704" i="82"/>
  <c r="K705" i="82"/>
  <c r="K706" i="82"/>
  <c r="K707" i="82"/>
  <c r="K708" i="82"/>
  <c r="K709" i="82"/>
  <c r="K710" i="82"/>
  <c r="K711" i="82"/>
  <c r="K712" i="82"/>
  <c r="K713" i="82"/>
  <c r="K714" i="82"/>
  <c r="K715" i="82"/>
  <c r="K716" i="82"/>
  <c r="K717" i="82"/>
  <c r="K718" i="82"/>
  <c r="K719" i="82"/>
  <c r="K720" i="82"/>
  <c r="K721" i="82"/>
  <c r="K722" i="82"/>
  <c r="K723" i="82"/>
  <c r="K724" i="82"/>
  <c r="K725" i="82"/>
  <c r="K726" i="82"/>
  <c r="K727" i="82"/>
  <c r="K728" i="82"/>
  <c r="K729" i="82"/>
  <c r="K730" i="82"/>
  <c r="K731" i="82"/>
  <c r="K732" i="82"/>
  <c r="K733" i="82"/>
  <c r="K734" i="82"/>
  <c r="K735" i="82"/>
  <c r="K736" i="82"/>
  <c r="K737" i="82"/>
  <c r="K738" i="82"/>
  <c r="K739" i="82"/>
  <c r="K740" i="82"/>
  <c r="K741" i="82"/>
  <c r="K742" i="82"/>
  <c r="K743" i="82"/>
  <c r="K744" i="82"/>
  <c r="K745" i="82"/>
  <c r="K746" i="82"/>
  <c r="K747" i="82"/>
  <c r="K748" i="82"/>
  <c r="K749" i="82"/>
  <c r="K750" i="82"/>
  <c r="K751" i="82"/>
  <c r="K752" i="82"/>
  <c r="K753" i="82"/>
  <c r="K754" i="82"/>
  <c r="K755" i="82"/>
  <c r="K756" i="82"/>
  <c r="K757" i="82"/>
  <c r="K758" i="82"/>
  <c r="K759" i="82"/>
  <c r="K760" i="82"/>
  <c r="K761" i="82"/>
  <c r="K762" i="82"/>
  <c r="K763" i="82"/>
  <c r="K764" i="82"/>
  <c r="K765" i="82"/>
  <c r="K766" i="82"/>
  <c r="K767" i="82"/>
  <c r="K768" i="82"/>
  <c r="K769" i="82"/>
  <c r="K770" i="82"/>
  <c r="K771" i="82"/>
  <c r="K772" i="82"/>
  <c r="K773" i="82"/>
  <c r="K774" i="82"/>
  <c r="K775" i="82"/>
  <c r="K776" i="82"/>
  <c r="K777" i="82"/>
  <c r="K778" i="82"/>
  <c r="K779" i="82"/>
  <c r="K780" i="82"/>
  <c r="K781" i="82"/>
  <c r="K782" i="82"/>
  <c r="K783" i="82"/>
  <c r="K784" i="82"/>
  <c r="K785" i="82"/>
  <c r="K786" i="82"/>
  <c r="K787" i="82"/>
  <c r="K788" i="82"/>
  <c r="K789" i="82"/>
  <c r="K790" i="82"/>
  <c r="K791" i="82"/>
  <c r="K792" i="82"/>
  <c r="K793" i="82"/>
  <c r="K794" i="82"/>
  <c r="K795" i="82"/>
  <c r="K796" i="82"/>
  <c r="K797" i="82"/>
  <c r="K798" i="82"/>
  <c r="K799" i="82"/>
  <c r="K800" i="82"/>
  <c r="K801" i="82"/>
  <c r="K802" i="82"/>
  <c r="K803" i="82"/>
  <c r="K804" i="82"/>
  <c r="K805" i="82"/>
  <c r="K806" i="82"/>
  <c r="K807" i="82"/>
  <c r="K808" i="82"/>
  <c r="K809" i="82"/>
  <c r="K810" i="82"/>
  <c r="K811" i="82"/>
  <c r="K812" i="82"/>
  <c r="K813" i="82"/>
  <c r="K814" i="82"/>
  <c r="K815" i="82"/>
  <c r="K816" i="82"/>
  <c r="K817" i="82"/>
  <c r="K818" i="82"/>
  <c r="K819" i="82"/>
  <c r="K820" i="82"/>
  <c r="K821" i="82"/>
  <c r="K822" i="82"/>
  <c r="K823" i="82"/>
  <c r="K824" i="82"/>
  <c r="K825" i="82"/>
  <c r="K826" i="82"/>
  <c r="K827" i="82"/>
  <c r="K828" i="82"/>
  <c r="K829" i="82"/>
  <c r="K830" i="82"/>
  <c r="K831" i="82"/>
  <c r="K832" i="82"/>
  <c r="K833" i="82"/>
  <c r="K834" i="82"/>
  <c r="K835" i="82"/>
  <c r="K836" i="82"/>
  <c r="K837" i="82"/>
  <c r="K838" i="82"/>
  <c r="K839" i="82"/>
  <c r="K840" i="82"/>
  <c r="K841" i="82"/>
  <c r="K842" i="82"/>
  <c r="K843" i="82"/>
  <c r="K844" i="82"/>
  <c r="K845" i="82"/>
  <c r="K846" i="82"/>
  <c r="K847" i="82"/>
  <c r="K848" i="82"/>
  <c r="K849" i="82"/>
  <c r="K850" i="82"/>
  <c r="K851" i="82"/>
  <c r="K852" i="82"/>
  <c r="K853" i="82"/>
  <c r="K854" i="82"/>
  <c r="K855" i="82"/>
  <c r="K856" i="82"/>
  <c r="K857" i="82"/>
  <c r="K858" i="82"/>
  <c r="K859" i="82"/>
  <c r="K860" i="82"/>
  <c r="K861" i="82"/>
  <c r="K862" i="82"/>
  <c r="K863" i="82"/>
  <c r="K864" i="82"/>
  <c r="K865" i="82"/>
  <c r="K866" i="82"/>
  <c r="K867" i="82"/>
  <c r="K868" i="82"/>
  <c r="K869" i="82"/>
  <c r="K870" i="82"/>
  <c r="K871" i="82"/>
  <c r="K872" i="82"/>
  <c r="K873" i="82"/>
  <c r="K874" i="82"/>
  <c r="K875" i="82"/>
  <c r="K876" i="82"/>
  <c r="K877" i="82"/>
  <c r="K878" i="82"/>
  <c r="K879" i="82"/>
  <c r="K880" i="82"/>
  <c r="K881" i="82"/>
  <c r="K882" i="82"/>
  <c r="K883" i="82"/>
  <c r="K884" i="82"/>
  <c r="K885" i="82"/>
  <c r="K886" i="82"/>
  <c r="K887" i="82"/>
  <c r="K888" i="82"/>
  <c r="K889" i="82"/>
  <c r="K890" i="82"/>
  <c r="K891" i="82"/>
  <c r="K892" i="82"/>
  <c r="K893" i="82"/>
  <c r="K894" i="82"/>
  <c r="K895" i="82"/>
  <c r="K896" i="82"/>
  <c r="K897" i="82"/>
  <c r="K898" i="82"/>
  <c r="K899" i="82"/>
  <c r="K900" i="82"/>
  <c r="K901" i="82"/>
  <c r="K902" i="82"/>
  <c r="K903" i="82"/>
  <c r="K904" i="82"/>
  <c r="K905" i="82"/>
  <c r="K906" i="82"/>
  <c r="K907" i="82"/>
  <c r="K908" i="82"/>
  <c r="K909" i="82"/>
  <c r="K910" i="82"/>
  <c r="K911" i="82"/>
  <c r="K912" i="82"/>
  <c r="K913" i="82"/>
  <c r="K914" i="82"/>
  <c r="K915" i="82"/>
  <c r="K916" i="82"/>
  <c r="K917" i="82"/>
  <c r="K918" i="82"/>
  <c r="K919" i="82"/>
  <c r="K920" i="82"/>
  <c r="K921" i="82"/>
  <c r="K922" i="82"/>
  <c r="K923" i="82"/>
  <c r="K924" i="82"/>
  <c r="K925" i="82"/>
  <c r="K926" i="82"/>
  <c r="K927" i="82"/>
  <c r="K928" i="82"/>
  <c r="K929" i="82"/>
  <c r="K930" i="82"/>
  <c r="K931" i="82"/>
  <c r="K932" i="82"/>
  <c r="K933" i="82"/>
  <c r="K934" i="82"/>
  <c r="K935" i="82"/>
  <c r="K936" i="82"/>
  <c r="K937" i="82"/>
  <c r="K938" i="82"/>
  <c r="K939" i="82"/>
  <c r="K940" i="82"/>
  <c r="K941" i="82"/>
  <c r="K942" i="82"/>
  <c r="K943" i="82"/>
  <c r="K944" i="82"/>
  <c r="K945" i="82"/>
  <c r="K946" i="82"/>
  <c r="K947" i="82"/>
  <c r="K948" i="82"/>
  <c r="K949" i="82"/>
  <c r="K950" i="82"/>
  <c r="K951" i="82"/>
  <c r="K952" i="82"/>
  <c r="K953" i="82"/>
  <c r="K954" i="82"/>
  <c r="K955" i="82"/>
  <c r="K956" i="82"/>
  <c r="K957" i="82"/>
  <c r="K958" i="82"/>
  <c r="K959" i="82"/>
  <c r="K960" i="82"/>
  <c r="K961" i="82"/>
  <c r="K962" i="82"/>
  <c r="K963" i="82"/>
  <c r="K964" i="82"/>
  <c r="K965" i="82"/>
  <c r="K966" i="82"/>
  <c r="K967" i="82"/>
  <c r="K968" i="82"/>
  <c r="K969" i="82"/>
  <c r="K970" i="82"/>
  <c r="K971" i="82"/>
  <c r="K972" i="82"/>
  <c r="K973" i="82"/>
  <c r="K974" i="82"/>
  <c r="K975" i="82"/>
  <c r="K976" i="82"/>
  <c r="K977" i="82"/>
  <c r="K978" i="82"/>
  <c r="K979" i="82"/>
  <c r="K980" i="82"/>
  <c r="K981" i="82"/>
  <c r="K982" i="82"/>
  <c r="K983" i="82"/>
  <c r="K984" i="82"/>
  <c r="K985" i="82"/>
  <c r="K986" i="82"/>
  <c r="K987" i="82"/>
  <c r="K988" i="82"/>
  <c r="K989" i="82"/>
  <c r="K990" i="82"/>
  <c r="K991" i="82"/>
  <c r="K992" i="82"/>
  <c r="K993" i="82"/>
  <c r="K994" i="82"/>
  <c r="K995" i="82"/>
  <c r="K996" i="82"/>
  <c r="K997" i="82"/>
  <c r="K998" i="82"/>
  <c r="K999" i="82"/>
  <c r="K1000" i="82"/>
  <c r="J1" i="82"/>
  <c r="J2" i="82"/>
  <c r="J3" i="82"/>
  <c r="J4" i="82"/>
  <c r="J5" i="82"/>
  <c r="J6" i="82"/>
  <c r="J7" i="82"/>
  <c r="J8" i="82"/>
  <c r="J9" i="82"/>
  <c r="J10" i="82"/>
  <c r="J11" i="82"/>
  <c r="J12" i="82"/>
  <c r="J13" i="82"/>
  <c r="J14" i="82"/>
  <c r="J15" i="82"/>
  <c r="J16" i="82"/>
  <c r="J17" i="82"/>
  <c r="J18" i="82"/>
  <c r="J19" i="82"/>
  <c r="J20" i="82"/>
  <c r="J21" i="82"/>
  <c r="J22" i="82"/>
  <c r="J23" i="82"/>
  <c r="J24" i="82"/>
  <c r="J25" i="82"/>
  <c r="J26" i="82"/>
  <c r="J27" i="82"/>
  <c r="J28" i="82"/>
  <c r="J29" i="82"/>
  <c r="J30" i="82"/>
  <c r="J31" i="82"/>
  <c r="J32" i="82"/>
  <c r="J33" i="82"/>
  <c r="J34" i="82"/>
  <c r="J35" i="82"/>
  <c r="J36" i="82"/>
  <c r="J37" i="82"/>
  <c r="J38" i="82"/>
  <c r="J39" i="82"/>
  <c r="J40" i="82"/>
  <c r="J41" i="82"/>
  <c r="J42" i="82"/>
  <c r="J43" i="82"/>
  <c r="J44" i="82"/>
  <c r="J45" i="82"/>
  <c r="J46" i="82"/>
  <c r="J47" i="82"/>
  <c r="J48" i="82"/>
  <c r="J49" i="82"/>
  <c r="J50" i="82"/>
  <c r="J51" i="82"/>
  <c r="J52" i="82"/>
  <c r="J53" i="82"/>
  <c r="J54" i="82"/>
  <c r="J55" i="82"/>
  <c r="J56" i="82"/>
  <c r="J57" i="82"/>
  <c r="J58" i="82"/>
  <c r="J59" i="82"/>
  <c r="J60" i="82"/>
  <c r="J61" i="82"/>
  <c r="J62" i="82"/>
  <c r="J63" i="82"/>
  <c r="J64" i="82"/>
  <c r="J65" i="82"/>
  <c r="J66" i="82"/>
  <c r="J67" i="82"/>
  <c r="J68" i="82"/>
  <c r="J69" i="82"/>
  <c r="J70" i="82"/>
  <c r="J71" i="82"/>
  <c r="J72" i="82"/>
  <c r="J73" i="82"/>
  <c r="J74" i="82"/>
  <c r="J75" i="82"/>
  <c r="J76" i="82"/>
  <c r="J77" i="82"/>
  <c r="J78" i="82"/>
  <c r="J79" i="82"/>
  <c r="J80" i="82"/>
  <c r="J81" i="82"/>
  <c r="J82" i="82"/>
  <c r="J83" i="82"/>
  <c r="J84" i="82"/>
  <c r="J85" i="82"/>
  <c r="J86" i="82"/>
  <c r="J87" i="82"/>
  <c r="J88" i="82"/>
  <c r="J89" i="82"/>
  <c r="J90" i="82"/>
  <c r="J91" i="82"/>
  <c r="J92" i="82"/>
  <c r="J93" i="82"/>
  <c r="J94" i="82"/>
  <c r="J95" i="82"/>
  <c r="J96" i="82"/>
  <c r="J97" i="82"/>
  <c r="J98" i="82"/>
  <c r="J99" i="82"/>
  <c r="J100" i="82"/>
  <c r="J101" i="82"/>
  <c r="J102" i="82"/>
  <c r="J103" i="82"/>
  <c r="J104" i="82"/>
  <c r="J105" i="82"/>
  <c r="J106" i="82"/>
  <c r="J107" i="82"/>
  <c r="J108" i="82"/>
  <c r="J109" i="82"/>
  <c r="J110" i="82"/>
  <c r="J111" i="82"/>
  <c r="J112" i="82"/>
  <c r="J113" i="82"/>
  <c r="J114" i="82"/>
  <c r="J115" i="82"/>
  <c r="J116" i="82"/>
  <c r="J117" i="82"/>
  <c r="J118" i="82"/>
  <c r="J119" i="82"/>
  <c r="J120" i="82"/>
  <c r="J121" i="82"/>
  <c r="J122" i="82"/>
  <c r="J123" i="82"/>
  <c r="J124" i="82"/>
  <c r="J125" i="82"/>
  <c r="J126" i="82"/>
  <c r="J127" i="82"/>
  <c r="J128" i="82"/>
  <c r="J129" i="82"/>
  <c r="J130" i="82"/>
  <c r="J131" i="82"/>
  <c r="J132" i="82"/>
  <c r="J133" i="82"/>
  <c r="J134" i="82"/>
  <c r="J135" i="82"/>
  <c r="J136" i="82"/>
  <c r="J137" i="82"/>
  <c r="J138" i="82"/>
  <c r="J139" i="82"/>
  <c r="J140" i="82"/>
  <c r="J141" i="82"/>
  <c r="J142" i="82"/>
  <c r="J143" i="82"/>
  <c r="J144" i="82"/>
  <c r="J145" i="82"/>
  <c r="J146" i="82"/>
  <c r="J147" i="82"/>
  <c r="J148" i="82"/>
  <c r="J149" i="82"/>
  <c r="J150" i="82"/>
  <c r="J151" i="82"/>
  <c r="J152" i="82"/>
  <c r="J153" i="82"/>
  <c r="J154" i="82"/>
  <c r="J155" i="82"/>
  <c r="J156" i="82"/>
  <c r="J157" i="82"/>
  <c r="J158" i="82"/>
  <c r="J159" i="82"/>
  <c r="J160" i="82"/>
  <c r="J161" i="82"/>
  <c r="J162" i="82"/>
  <c r="J163" i="82"/>
  <c r="J164" i="82"/>
  <c r="J165" i="82"/>
  <c r="J166" i="82"/>
  <c r="J167" i="82"/>
  <c r="J168" i="82"/>
  <c r="J169" i="82"/>
  <c r="J170" i="82"/>
  <c r="J171" i="82"/>
  <c r="J172" i="82"/>
  <c r="J173" i="82"/>
  <c r="J174" i="82"/>
  <c r="J175" i="82"/>
  <c r="J176" i="82"/>
  <c r="J177" i="82"/>
  <c r="J178" i="82"/>
  <c r="J179" i="82"/>
  <c r="J180" i="82"/>
  <c r="J181" i="82"/>
  <c r="J182" i="82"/>
  <c r="J183" i="82"/>
  <c r="J184" i="82"/>
  <c r="J185" i="82"/>
  <c r="J186" i="82"/>
  <c r="J187" i="82"/>
  <c r="J188" i="82"/>
  <c r="J189" i="82"/>
  <c r="J190" i="82"/>
  <c r="J191" i="82"/>
  <c r="J192" i="82"/>
  <c r="J193" i="82"/>
  <c r="J194" i="82"/>
  <c r="J195" i="82"/>
  <c r="J196" i="82"/>
  <c r="J197" i="82"/>
  <c r="J198" i="82"/>
  <c r="J199" i="82"/>
  <c r="J200" i="82"/>
  <c r="J201" i="82"/>
  <c r="J202" i="82"/>
  <c r="J203" i="82"/>
  <c r="J204" i="82"/>
  <c r="J205" i="82"/>
  <c r="J206" i="82"/>
  <c r="J207" i="82"/>
  <c r="J208" i="82"/>
  <c r="J209" i="82"/>
  <c r="J210" i="82"/>
  <c r="J211" i="82"/>
  <c r="J212" i="82"/>
  <c r="J213" i="82"/>
  <c r="J214" i="82"/>
  <c r="J215" i="82"/>
  <c r="J216" i="82"/>
  <c r="J217" i="82"/>
  <c r="J218" i="82"/>
  <c r="J219" i="82"/>
  <c r="J220" i="82"/>
  <c r="J221" i="82"/>
  <c r="J222" i="82"/>
  <c r="J223" i="82"/>
  <c r="J224" i="82"/>
  <c r="J225" i="82"/>
  <c r="J226" i="82"/>
  <c r="J227" i="82"/>
  <c r="J228" i="82"/>
  <c r="J229" i="82"/>
  <c r="J230" i="82"/>
  <c r="J231" i="82"/>
  <c r="J232" i="82"/>
  <c r="J233" i="82"/>
  <c r="J234" i="82"/>
  <c r="J235" i="82"/>
  <c r="J236" i="82"/>
  <c r="J237" i="82"/>
  <c r="J238" i="82"/>
  <c r="J239" i="82"/>
  <c r="J240" i="82"/>
  <c r="J241" i="82"/>
  <c r="J242" i="82"/>
  <c r="J243" i="82"/>
  <c r="J244" i="82"/>
  <c r="J245" i="82"/>
  <c r="J246" i="82"/>
  <c r="J247" i="82"/>
  <c r="J248" i="82"/>
  <c r="J249" i="82"/>
  <c r="J250" i="82"/>
  <c r="J251" i="82"/>
  <c r="J252" i="82"/>
  <c r="J253" i="82"/>
  <c r="J254" i="82"/>
  <c r="J255" i="82"/>
  <c r="J256" i="82"/>
  <c r="J257" i="82"/>
  <c r="J258" i="82"/>
  <c r="J259" i="82"/>
  <c r="J260" i="82"/>
  <c r="J261" i="82"/>
  <c r="J262" i="82"/>
  <c r="J263" i="82"/>
  <c r="J264" i="82"/>
  <c r="J265" i="82"/>
  <c r="J266" i="82"/>
  <c r="J267" i="82"/>
  <c r="J268" i="82"/>
  <c r="J269" i="82"/>
  <c r="J270" i="82"/>
  <c r="J271" i="82"/>
  <c r="J272" i="82"/>
  <c r="J273" i="82"/>
  <c r="J274" i="82"/>
  <c r="J275" i="82"/>
  <c r="J276" i="82"/>
  <c r="J277" i="82"/>
  <c r="J278" i="82"/>
  <c r="J279" i="82"/>
  <c r="J280" i="82"/>
  <c r="J281" i="82"/>
  <c r="J282" i="82"/>
  <c r="J283" i="82"/>
  <c r="J284" i="82"/>
  <c r="J285" i="82"/>
  <c r="J286" i="82"/>
  <c r="J287" i="82"/>
  <c r="J288" i="82"/>
  <c r="J289" i="82"/>
  <c r="J290" i="82"/>
  <c r="J291" i="82"/>
  <c r="J292" i="82"/>
  <c r="J293" i="82"/>
  <c r="J294" i="82"/>
  <c r="J295" i="82"/>
  <c r="J296" i="82"/>
  <c r="J297" i="82"/>
  <c r="J298" i="82"/>
  <c r="J299" i="82"/>
  <c r="J300" i="82"/>
  <c r="J301" i="82"/>
  <c r="J302" i="82"/>
  <c r="J303" i="82"/>
  <c r="J304" i="82"/>
  <c r="J305" i="82"/>
  <c r="J306" i="82"/>
  <c r="J307" i="82"/>
  <c r="J308" i="82"/>
  <c r="J309" i="82"/>
  <c r="J310" i="82"/>
  <c r="J311" i="82"/>
  <c r="J312" i="82"/>
  <c r="J313" i="82"/>
  <c r="J314" i="82"/>
  <c r="J315" i="82"/>
  <c r="J316" i="82"/>
  <c r="J317" i="82"/>
  <c r="J318" i="82"/>
  <c r="J319" i="82"/>
  <c r="J320" i="82"/>
  <c r="J321" i="82"/>
  <c r="J322" i="82"/>
  <c r="J323" i="82"/>
  <c r="J324" i="82"/>
  <c r="J325" i="82"/>
  <c r="J326" i="82"/>
  <c r="J327" i="82"/>
  <c r="J328" i="82"/>
  <c r="J329" i="82"/>
  <c r="J330" i="82"/>
  <c r="J331" i="82"/>
  <c r="J332" i="82"/>
  <c r="J333" i="82"/>
  <c r="J334" i="82"/>
  <c r="J335" i="82"/>
  <c r="J336" i="82"/>
  <c r="J337" i="82"/>
  <c r="J338" i="82"/>
  <c r="J339" i="82"/>
  <c r="J340" i="82"/>
  <c r="J341" i="82"/>
  <c r="J342" i="82"/>
  <c r="J343" i="82"/>
  <c r="J344" i="82"/>
  <c r="J345" i="82"/>
  <c r="J346" i="82"/>
  <c r="J347" i="82"/>
  <c r="J348" i="82"/>
  <c r="J349" i="82"/>
  <c r="J350" i="82"/>
  <c r="J351" i="82"/>
  <c r="J352" i="82"/>
  <c r="J353" i="82"/>
  <c r="J354" i="82"/>
  <c r="J355" i="82"/>
  <c r="J356" i="82"/>
  <c r="J357" i="82"/>
  <c r="J358" i="82"/>
  <c r="J359" i="82"/>
  <c r="J360" i="82"/>
  <c r="J361" i="82"/>
  <c r="J362" i="82"/>
  <c r="J363" i="82"/>
  <c r="J364" i="82"/>
  <c r="J365" i="82"/>
  <c r="J366" i="82"/>
  <c r="J367" i="82"/>
  <c r="J368" i="82"/>
  <c r="J369" i="82"/>
  <c r="J370" i="82"/>
  <c r="J371" i="82"/>
  <c r="J372" i="82"/>
  <c r="J373" i="82"/>
  <c r="J374" i="82"/>
  <c r="J375" i="82"/>
  <c r="J376" i="82"/>
  <c r="J377" i="82"/>
  <c r="J378" i="82"/>
  <c r="J379" i="82"/>
  <c r="J380" i="82"/>
  <c r="J381" i="82"/>
  <c r="J382" i="82"/>
  <c r="J383" i="82"/>
  <c r="J384" i="82"/>
  <c r="J385" i="82"/>
  <c r="J386" i="82"/>
  <c r="J387" i="82"/>
  <c r="J388" i="82"/>
  <c r="J389" i="82"/>
  <c r="J390" i="82"/>
  <c r="J391" i="82"/>
  <c r="J392" i="82"/>
  <c r="J393" i="82"/>
  <c r="J394" i="82"/>
  <c r="J395" i="82"/>
  <c r="J396" i="82"/>
  <c r="J397" i="82"/>
  <c r="J398" i="82"/>
  <c r="J399" i="82"/>
  <c r="J400" i="82"/>
  <c r="J401" i="82"/>
  <c r="J402" i="82"/>
  <c r="J403" i="82"/>
  <c r="J404" i="82"/>
  <c r="J405" i="82"/>
  <c r="J406" i="82"/>
  <c r="J407" i="82"/>
  <c r="J408" i="82"/>
  <c r="J409" i="82"/>
  <c r="J410" i="82"/>
  <c r="J411" i="82"/>
  <c r="J412" i="82"/>
  <c r="J413" i="82"/>
  <c r="J414" i="82"/>
  <c r="J415" i="82"/>
  <c r="J416" i="82"/>
  <c r="J417" i="82"/>
  <c r="J418" i="82"/>
  <c r="J419" i="82"/>
  <c r="J420" i="82"/>
  <c r="J421" i="82"/>
  <c r="J422" i="82"/>
  <c r="J423" i="82"/>
  <c r="J424" i="82"/>
  <c r="J425" i="82"/>
  <c r="J426" i="82"/>
  <c r="J427" i="82"/>
  <c r="J428" i="82"/>
  <c r="J429" i="82"/>
  <c r="J430" i="82"/>
  <c r="J431" i="82"/>
  <c r="J432" i="82"/>
  <c r="J433" i="82"/>
  <c r="J434" i="82"/>
  <c r="J435" i="82"/>
  <c r="J436" i="82"/>
  <c r="J437" i="82"/>
  <c r="J438" i="82"/>
  <c r="J439" i="82"/>
  <c r="J440" i="82"/>
  <c r="J441" i="82"/>
  <c r="J442" i="82"/>
  <c r="J443" i="82"/>
  <c r="J444" i="82"/>
  <c r="J445" i="82"/>
  <c r="J446" i="82"/>
  <c r="J447" i="82"/>
  <c r="J448" i="82"/>
  <c r="J449" i="82"/>
  <c r="J450" i="82"/>
  <c r="J451" i="82"/>
  <c r="J452" i="82"/>
  <c r="J453" i="82"/>
  <c r="J454" i="82"/>
  <c r="J455" i="82"/>
  <c r="J456" i="82"/>
  <c r="J457" i="82"/>
  <c r="J458" i="82"/>
  <c r="J459" i="82"/>
  <c r="J460" i="82"/>
  <c r="J461" i="82"/>
  <c r="J462" i="82"/>
  <c r="J463" i="82"/>
  <c r="J464" i="82"/>
  <c r="J465" i="82"/>
  <c r="J466" i="82"/>
  <c r="J467" i="82"/>
  <c r="J468" i="82"/>
  <c r="J469" i="82"/>
  <c r="J470" i="82"/>
  <c r="J471" i="82"/>
  <c r="J472" i="82"/>
  <c r="J473" i="82"/>
  <c r="J474" i="82"/>
  <c r="J475" i="82"/>
  <c r="J476" i="82"/>
  <c r="J477" i="82"/>
  <c r="J478" i="82"/>
  <c r="J479" i="82"/>
  <c r="J480" i="82"/>
  <c r="J481" i="82"/>
  <c r="J482" i="82"/>
  <c r="J483" i="82"/>
  <c r="J484" i="82"/>
  <c r="J485" i="82"/>
  <c r="J486" i="82"/>
  <c r="J487" i="82"/>
  <c r="J488" i="82"/>
  <c r="J489" i="82"/>
  <c r="J490" i="82"/>
  <c r="J491" i="82"/>
  <c r="J492" i="82"/>
  <c r="J493" i="82"/>
  <c r="J494" i="82"/>
  <c r="J495" i="82"/>
  <c r="J496" i="82"/>
  <c r="J497" i="82"/>
  <c r="J498" i="82"/>
  <c r="J499" i="82"/>
  <c r="J500" i="82"/>
  <c r="J501" i="82"/>
  <c r="J502" i="82"/>
  <c r="J503" i="82"/>
  <c r="J504" i="82"/>
  <c r="J505" i="82"/>
  <c r="J506" i="82"/>
  <c r="J507" i="82"/>
  <c r="J508" i="82"/>
  <c r="J509" i="82"/>
  <c r="J510" i="82"/>
  <c r="J511" i="82"/>
  <c r="J512" i="82"/>
  <c r="J513" i="82"/>
  <c r="J514" i="82"/>
  <c r="J515" i="82"/>
  <c r="J516" i="82"/>
  <c r="J517" i="82"/>
  <c r="J518" i="82"/>
  <c r="J519" i="82"/>
  <c r="J520" i="82"/>
  <c r="J521" i="82"/>
  <c r="J522" i="82"/>
  <c r="J523" i="82"/>
  <c r="J524" i="82"/>
  <c r="J525" i="82"/>
  <c r="J526" i="82"/>
  <c r="J527" i="82"/>
  <c r="J528" i="82"/>
  <c r="J529" i="82"/>
  <c r="J530" i="82"/>
  <c r="J531" i="82"/>
  <c r="J532" i="82"/>
  <c r="J533" i="82"/>
  <c r="J534" i="82"/>
  <c r="J535" i="82"/>
  <c r="J536" i="82"/>
  <c r="J537" i="82"/>
  <c r="J538" i="82"/>
  <c r="J539" i="82"/>
  <c r="J540" i="82"/>
  <c r="J541" i="82"/>
  <c r="J542" i="82"/>
  <c r="J543" i="82"/>
  <c r="J544" i="82"/>
  <c r="J545" i="82"/>
  <c r="J546" i="82"/>
  <c r="J547" i="82"/>
  <c r="J548" i="82"/>
  <c r="J549" i="82"/>
  <c r="J550" i="82"/>
  <c r="J551" i="82"/>
  <c r="J552" i="82"/>
  <c r="J553" i="82"/>
  <c r="J554" i="82"/>
  <c r="J555" i="82"/>
  <c r="J556" i="82"/>
  <c r="J557" i="82"/>
  <c r="J558" i="82"/>
  <c r="J559" i="82"/>
  <c r="J560" i="82"/>
  <c r="J561" i="82"/>
  <c r="J562" i="82"/>
  <c r="J563" i="82"/>
  <c r="J564" i="82"/>
  <c r="J565" i="82"/>
  <c r="J566" i="82"/>
  <c r="J567" i="82"/>
  <c r="J568" i="82"/>
  <c r="J569" i="82"/>
  <c r="J570" i="82"/>
  <c r="J571" i="82"/>
  <c r="J572" i="82"/>
  <c r="J573" i="82"/>
  <c r="J574" i="82"/>
  <c r="J575" i="82"/>
  <c r="J576" i="82"/>
  <c r="J577" i="82"/>
  <c r="J578" i="82"/>
  <c r="J579" i="82"/>
  <c r="J580" i="82"/>
  <c r="J581" i="82"/>
  <c r="J582" i="82"/>
  <c r="J583" i="82"/>
  <c r="J584" i="82"/>
  <c r="J585" i="82"/>
  <c r="J586" i="82"/>
  <c r="J587" i="82"/>
  <c r="J588" i="82"/>
  <c r="J589" i="82"/>
  <c r="J590" i="82"/>
  <c r="J591" i="82"/>
  <c r="J592" i="82"/>
  <c r="J593" i="82"/>
  <c r="J594" i="82"/>
  <c r="J595" i="82"/>
  <c r="J596" i="82"/>
  <c r="J597" i="82"/>
  <c r="J598" i="82"/>
  <c r="J599" i="82"/>
  <c r="J600" i="82"/>
  <c r="J601" i="82"/>
  <c r="J602" i="82"/>
  <c r="J603" i="82"/>
  <c r="J604" i="82"/>
  <c r="J605" i="82"/>
  <c r="J606" i="82"/>
  <c r="J607" i="82"/>
  <c r="J608" i="82"/>
  <c r="J609" i="82"/>
  <c r="J610" i="82"/>
  <c r="J611" i="82"/>
  <c r="J612" i="82"/>
  <c r="J613" i="82"/>
  <c r="J614" i="82"/>
  <c r="J615" i="82"/>
  <c r="J616" i="82"/>
  <c r="J617" i="82"/>
  <c r="J618" i="82"/>
  <c r="J619" i="82"/>
  <c r="J620" i="82"/>
  <c r="J621" i="82"/>
  <c r="J622" i="82"/>
  <c r="J623" i="82"/>
  <c r="J624" i="82"/>
  <c r="J625" i="82"/>
  <c r="J626" i="82"/>
  <c r="J627" i="82"/>
  <c r="J628" i="82"/>
  <c r="J629" i="82"/>
  <c r="J630" i="82"/>
  <c r="J631" i="82"/>
  <c r="J632" i="82"/>
  <c r="J633" i="82"/>
  <c r="J634" i="82"/>
  <c r="J635" i="82"/>
  <c r="J636" i="82"/>
  <c r="J637" i="82"/>
  <c r="J638" i="82"/>
  <c r="J639" i="82"/>
  <c r="J640" i="82"/>
  <c r="J641" i="82"/>
  <c r="J642" i="82"/>
  <c r="J643" i="82"/>
  <c r="J644" i="82"/>
  <c r="J645" i="82"/>
  <c r="J646" i="82"/>
  <c r="J647" i="82"/>
  <c r="J648" i="82"/>
  <c r="J649" i="82"/>
  <c r="J650" i="82"/>
  <c r="J651" i="82"/>
  <c r="J652" i="82"/>
  <c r="J653" i="82"/>
  <c r="J654" i="82"/>
  <c r="J655" i="82"/>
  <c r="J656" i="82"/>
  <c r="J657" i="82"/>
  <c r="J658" i="82"/>
  <c r="J659" i="82"/>
  <c r="J660" i="82"/>
  <c r="J661" i="82"/>
  <c r="J662" i="82"/>
  <c r="J663" i="82"/>
  <c r="J664" i="82"/>
  <c r="J665" i="82"/>
  <c r="J666" i="82"/>
  <c r="J667" i="82"/>
  <c r="J668" i="82"/>
  <c r="J669" i="82"/>
  <c r="J670" i="82"/>
  <c r="J671" i="82"/>
  <c r="J672" i="82"/>
  <c r="J673" i="82"/>
  <c r="J674" i="82"/>
  <c r="J675" i="82"/>
  <c r="J676" i="82"/>
  <c r="J677" i="82"/>
  <c r="J678" i="82"/>
  <c r="J679" i="82"/>
  <c r="J680" i="82"/>
  <c r="J681" i="82"/>
  <c r="J682" i="82"/>
  <c r="J683" i="82"/>
  <c r="J684" i="82"/>
  <c r="J685" i="82"/>
  <c r="J686" i="82"/>
  <c r="J687" i="82"/>
  <c r="J688" i="82"/>
  <c r="J689" i="82"/>
  <c r="J690" i="82"/>
  <c r="J691" i="82"/>
  <c r="J692" i="82"/>
  <c r="J693" i="82"/>
  <c r="J694" i="82"/>
  <c r="J695" i="82"/>
  <c r="J696" i="82"/>
  <c r="J697" i="82"/>
  <c r="J698" i="82"/>
  <c r="J699" i="82"/>
  <c r="J700" i="82"/>
  <c r="J701" i="82"/>
  <c r="J702" i="82"/>
  <c r="J703" i="82"/>
  <c r="J704" i="82"/>
  <c r="J705" i="82"/>
  <c r="J706" i="82"/>
  <c r="J707" i="82"/>
  <c r="J708" i="82"/>
  <c r="J709" i="82"/>
  <c r="J710" i="82"/>
  <c r="J711" i="82"/>
  <c r="J712" i="82"/>
  <c r="J713" i="82"/>
  <c r="J714" i="82"/>
  <c r="J715" i="82"/>
  <c r="J716" i="82"/>
  <c r="J717" i="82"/>
  <c r="J718" i="82"/>
  <c r="J719" i="82"/>
  <c r="J720" i="82"/>
  <c r="J721" i="82"/>
  <c r="J722" i="82"/>
  <c r="J723" i="82"/>
  <c r="J724" i="82"/>
  <c r="J725" i="82"/>
  <c r="J726" i="82"/>
  <c r="J727" i="82"/>
  <c r="J728" i="82"/>
  <c r="J729" i="82"/>
  <c r="J730" i="82"/>
  <c r="J731" i="82"/>
  <c r="J732" i="82"/>
  <c r="J733" i="82"/>
  <c r="J734" i="82"/>
  <c r="J735" i="82"/>
  <c r="J736" i="82"/>
  <c r="J737" i="82"/>
  <c r="J738" i="82"/>
  <c r="J739" i="82"/>
  <c r="J740" i="82"/>
  <c r="J741" i="82"/>
  <c r="J742" i="82"/>
  <c r="J743" i="82"/>
  <c r="J744" i="82"/>
  <c r="J745" i="82"/>
  <c r="J746" i="82"/>
  <c r="J747" i="82"/>
  <c r="J748" i="82"/>
  <c r="J749" i="82"/>
  <c r="J750" i="82"/>
  <c r="J751" i="82"/>
  <c r="J752" i="82"/>
  <c r="J753" i="82"/>
  <c r="J754" i="82"/>
  <c r="J755" i="82"/>
  <c r="J756" i="82"/>
  <c r="J757" i="82"/>
  <c r="J758" i="82"/>
  <c r="J759" i="82"/>
  <c r="J760" i="82"/>
  <c r="J761" i="82"/>
  <c r="J762" i="82"/>
  <c r="J763" i="82"/>
  <c r="J764" i="82"/>
  <c r="J765" i="82"/>
  <c r="J766" i="82"/>
  <c r="J767" i="82"/>
  <c r="J768" i="82"/>
  <c r="J769" i="82"/>
  <c r="J770" i="82"/>
  <c r="J771" i="82"/>
  <c r="J772" i="82"/>
  <c r="J773" i="82"/>
  <c r="J774" i="82"/>
  <c r="J775" i="82"/>
  <c r="J776" i="82"/>
  <c r="J777" i="82"/>
  <c r="J778" i="82"/>
  <c r="J779" i="82"/>
  <c r="J780" i="82"/>
  <c r="J781" i="82"/>
  <c r="J782" i="82"/>
  <c r="J783" i="82"/>
  <c r="J784" i="82"/>
  <c r="J785" i="82"/>
  <c r="J786" i="82"/>
  <c r="J787" i="82"/>
  <c r="J788" i="82"/>
  <c r="J789" i="82"/>
  <c r="J790" i="82"/>
  <c r="J791" i="82"/>
  <c r="J792" i="82"/>
  <c r="J793" i="82"/>
  <c r="J794" i="82"/>
  <c r="J795" i="82"/>
  <c r="J796" i="82"/>
  <c r="J797" i="82"/>
  <c r="J798" i="82"/>
  <c r="J799" i="82"/>
  <c r="J800" i="82"/>
  <c r="J801" i="82"/>
  <c r="J802" i="82"/>
  <c r="J803" i="82"/>
  <c r="J804" i="82"/>
  <c r="J805" i="82"/>
  <c r="J806" i="82"/>
  <c r="J807" i="82"/>
  <c r="J808" i="82"/>
  <c r="J809" i="82"/>
  <c r="J810" i="82"/>
  <c r="J811" i="82"/>
  <c r="J812" i="82"/>
  <c r="J813" i="82"/>
  <c r="J814" i="82"/>
  <c r="J815" i="82"/>
  <c r="J816" i="82"/>
  <c r="J817" i="82"/>
  <c r="J818" i="82"/>
  <c r="J819" i="82"/>
  <c r="J820" i="82"/>
  <c r="J821" i="82"/>
  <c r="J822" i="82"/>
  <c r="J823" i="82"/>
  <c r="J824" i="82"/>
  <c r="J825" i="82"/>
  <c r="J826" i="82"/>
  <c r="J827" i="82"/>
  <c r="J828" i="82"/>
  <c r="J829" i="82"/>
  <c r="J830" i="82"/>
  <c r="J831" i="82"/>
  <c r="J832" i="82"/>
  <c r="J833" i="82"/>
  <c r="J834" i="82"/>
  <c r="J835" i="82"/>
  <c r="J836" i="82"/>
  <c r="J837" i="82"/>
  <c r="J838" i="82"/>
  <c r="J839" i="82"/>
  <c r="J840" i="82"/>
  <c r="J841" i="82"/>
  <c r="J842" i="82"/>
  <c r="J843" i="82"/>
  <c r="J844" i="82"/>
  <c r="J845" i="82"/>
  <c r="J846" i="82"/>
  <c r="J847" i="82"/>
  <c r="J848" i="82"/>
  <c r="J849" i="82"/>
  <c r="J850" i="82"/>
  <c r="J851" i="82"/>
  <c r="J852" i="82"/>
  <c r="J853" i="82"/>
  <c r="J854" i="82"/>
  <c r="J855" i="82"/>
  <c r="J856" i="82"/>
  <c r="J857" i="82"/>
  <c r="J858" i="82"/>
  <c r="J859" i="82"/>
  <c r="J860" i="82"/>
  <c r="J861" i="82"/>
  <c r="J862" i="82"/>
  <c r="J863" i="82"/>
  <c r="J864" i="82"/>
  <c r="J865" i="82"/>
  <c r="J866" i="82"/>
  <c r="J867" i="82"/>
  <c r="J868" i="82"/>
  <c r="J869" i="82"/>
  <c r="J870" i="82"/>
  <c r="J871" i="82"/>
  <c r="J872" i="82"/>
  <c r="J873" i="82"/>
  <c r="J874" i="82"/>
  <c r="J875" i="82"/>
  <c r="J876" i="82"/>
  <c r="J877" i="82"/>
  <c r="J878" i="82"/>
  <c r="J879" i="82"/>
  <c r="J880" i="82"/>
  <c r="J881" i="82"/>
  <c r="J882" i="82"/>
  <c r="J883" i="82"/>
  <c r="J884" i="82"/>
  <c r="J885" i="82"/>
  <c r="J886" i="82"/>
  <c r="J887" i="82"/>
  <c r="J888" i="82"/>
  <c r="J889" i="82"/>
  <c r="J890" i="82"/>
  <c r="J891" i="82"/>
  <c r="J892" i="82"/>
  <c r="J893" i="82"/>
  <c r="J894" i="82"/>
  <c r="J895" i="82"/>
  <c r="J896" i="82"/>
  <c r="J897" i="82"/>
  <c r="J898" i="82"/>
  <c r="J899" i="82"/>
  <c r="J900" i="82"/>
  <c r="J901" i="82"/>
  <c r="J902" i="82"/>
  <c r="J903" i="82"/>
  <c r="J904" i="82"/>
  <c r="J905" i="82"/>
  <c r="J906" i="82"/>
  <c r="J907" i="82"/>
  <c r="J908" i="82"/>
  <c r="J909" i="82"/>
  <c r="J910" i="82"/>
  <c r="J911" i="82"/>
  <c r="J912" i="82"/>
  <c r="J913" i="82"/>
  <c r="J914" i="82"/>
  <c r="J915" i="82"/>
  <c r="J916" i="82"/>
  <c r="J917" i="82"/>
  <c r="J918" i="82"/>
  <c r="J919" i="82"/>
  <c r="J920" i="82"/>
  <c r="J921" i="82"/>
  <c r="J922" i="82"/>
  <c r="J923" i="82"/>
  <c r="J924" i="82"/>
  <c r="J925" i="82"/>
  <c r="J926" i="82"/>
  <c r="J927" i="82"/>
  <c r="J928" i="82"/>
  <c r="J929" i="82"/>
  <c r="J930" i="82"/>
  <c r="J931" i="82"/>
  <c r="J932" i="82"/>
  <c r="J933" i="82"/>
  <c r="J934" i="82"/>
  <c r="J935" i="82"/>
  <c r="J936" i="82"/>
  <c r="J937" i="82"/>
  <c r="J938" i="82"/>
  <c r="J939" i="82"/>
  <c r="J940" i="82"/>
  <c r="J941" i="82"/>
  <c r="J942" i="82"/>
  <c r="J943" i="82"/>
  <c r="J944" i="82"/>
  <c r="J945" i="82"/>
  <c r="J946" i="82"/>
  <c r="J947" i="82"/>
  <c r="J948" i="82"/>
  <c r="J949" i="82"/>
  <c r="J950" i="82"/>
  <c r="J951" i="82"/>
  <c r="J952" i="82"/>
  <c r="J953" i="82"/>
  <c r="J954" i="82"/>
  <c r="J955" i="82"/>
  <c r="J956" i="82"/>
  <c r="J957" i="82"/>
  <c r="J958" i="82"/>
  <c r="J959" i="82"/>
  <c r="J960" i="82"/>
  <c r="J961" i="82"/>
  <c r="J962" i="82"/>
  <c r="J963" i="82"/>
  <c r="J964" i="82"/>
  <c r="J965" i="82"/>
  <c r="J966" i="82"/>
  <c r="J967" i="82"/>
  <c r="J968" i="82"/>
  <c r="J969" i="82"/>
  <c r="J970" i="82"/>
  <c r="J971" i="82"/>
  <c r="J972" i="82"/>
  <c r="J973" i="82"/>
  <c r="J974" i="82"/>
  <c r="J975" i="82"/>
  <c r="J976" i="82"/>
  <c r="J977" i="82"/>
  <c r="J978" i="82"/>
  <c r="J979" i="82"/>
  <c r="J980" i="82"/>
  <c r="J981" i="82"/>
  <c r="J982" i="82"/>
  <c r="J983" i="82"/>
  <c r="J984" i="82"/>
  <c r="J985" i="82"/>
  <c r="J986" i="82"/>
  <c r="J987" i="82"/>
  <c r="J988" i="82"/>
  <c r="J989" i="82"/>
  <c r="J990" i="82"/>
  <c r="J991" i="82"/>
  <c r="J992" i="82"/>
  <c r="J993" i="82"/>
  <c r="J994" i="82"/>
  <c r="J995" i="82"/>
  <c r="J996" i="82"/>
  <c r="J997" i="82"/>
  <c r="J998" i="82"/>
  <c r="J999" i="82"/>
  <c r="J1000" i="82"/>
  <c r="G1" i="82"/>
  <c r="G2" i="82"/>
  <c r="G3" i="82"/>
  <c r="G4" i="82"/>
  <c r="G5" i="82"/>
  <c r="G6" i="82"/>
  <c r="G7" i="82"/>
  <c r="G8" i="82"/>
  <c r="G9" i="82"/>
  <c r="G10" i="82"/>
  <c r="G11" i="82"/>
  <c r="G12" i="82"/>
  <c r="G13" i="82"/>
  <c r="G14" i="82"/>
  <c r="G15" i="82"/>
  <c r="G16" i="82"/>
  <c r="G17" i="82"/>
  <c r="G18" i="82"/>
  <c r="G19" i="82"/>
  <c r="G20" i="82"/>
  <c r="G21" i="82"/>
  <c r="G22" i="82"/>
  <c r="G23" i="82"/>
  <c r="G24" i="82"/>
  <c r="G25" i="82"/>
  <c r="G26" i="82"/>
  <c r="G27" i="82"/>
  <c r="G28" i="82"/>
  <c r="G29" i="82"/>
  <c r="G30" i="82"/>
  <c r="G31" i="82"/>
  <c r="G32" i="82"/>
  <c r="G33" i="82"/>
  <c r="G34" i="82"/>
  <c r="G35" i="82"/>
  <c r="G36" i="82"/>
  <c r="G37" i="82"/>
  <c r="G38" i="82"/>
  <c r="G39" i="82"/>
  <c r="G40" i="82"/>
  <c r="G41" i="82"/>
  <c r="G42" i="82"/>
  <c r="G43" i="82"/>
  <c r="G44" i="82"/>
  <c r="G45" i="82"/>
  <c r="G46" i="82"/>
  <c r="G47" i="82"/>
  <c r="G48" i="82"/>
  <c r="G49" i="82"/>
  <c r="G50" i="82"/>
  <c r="G51" i="82"/>
  <c r="G52" i="82"/>
  <c r="G53" i="82"/>
  <c r="G54" i="82"/>
  <c r="G55" i="82"/>
  <c r="G56" i="82"/>
  <c r="G57" i="82"/>
  <c r="G58" i="82"/>
  <c r="G59" i="82"/>
  <c r="G60" i="82"/>
  <c r="G61" i="82"/>
  <c r="G62" i="82"/>
  <c r="G63" i="82"/>
  <c r="G64" i="82"/>
  <c r="G65" i="82"/>
  <c r="G66" i="82"/>
  <c r="G67" i="82"/>
  <c r="G68" i="82"/>
  <c r="G69" i="82"/>
  <c r="G70" i="82"/>
  <c r="G71" i="82"/>
  <c r="G72" i="82"/>
  <c r="G73" i="82"/>
  <c r="G74" i="82"/>
  <c r="G75" i="82"/>
  <c r="G76" i="82"/>
  <c r="G77" i="82"/>
  <c r="G78" i="82"/>
  <c r="G79" i="82"/>
  <c r="G80" i="82"/>
  <c r="G81" i="82"/>
  <c r="G82" i="82"/>
  <c r="G83" i="82"/>
  <c r="G84" i="82"/>
  <c r="G85" i="82"/>
  <c r="G86" i="82"/>
  <c r="G87" i="82"/>
  <c r="G88" i="82"/>
  <c r="G89" i="82"/>
  <c r="G90" i="82"/>
  <c r="G91" i="82"/>
  <c r="G92" i="82"/>
  <c r="G93" i="82"/>
  <c r="G94" i="82"/>
  <c r="G95" i="82"/>
  <c r="G96" i="82"/>
  <c r="G97" i="82"/>
  <c r="G98" i="82"/>
  <c r="G99" i="82"/>
  <c r="G100" i="82"/>
  <c r="G101" i="82"/>
  <c r="G102" i="82"/>
  <c r="G103" i="82"/>
  <c r="G104" i="82"/>
  <c r="G105" i="82"/>
  <c r="G106" i="82"/>
  <c r="G107" i="82"/>
  <c r="G108" i="82"/>
  <c r="G109" i="82"/>
  <c r="G110" i="82"/>
  <c r="G111" i="82"/>
  <c r="G112" i="82"/>
  <c r="G113" i="82"/>
  <c r="G114" i="82"/>
  <c r="G115" i="82"/>
  <c r="G116" i="82"/>
  <c r="G117" i="82"/>
  <c r="G118" i="82"/>
  <c r="G119" i="82"/>
  <c r="G120" i="82"/>
  <c r="G121" i="82"/>
  <c r="G122" i="82"/>
  <c r="G123" i="82"/>
  <c r="G124" i="82"/>
  <c r="G125" i="82"/>
  <c r="G126" i="82"/>
  <c r="G127" i="82"/>
  <c r="G128" i="82"/>
  <c r="G129" i="82"/>
  <c r="G130" i="82"/>
  <c r="G131" i="82"/>
  <c r="G132" i="82"/>
  <c r="G133" i="82"/>
  <c r="G134" i="82"/>
  <c r="G135" i="82"/>
  <c r="G136" i="82"/>
  <c r="G137" i="82"/>
  <c r="G138" i="82"/>
  <c r="G139" i="82"/>
  <c r="G140" i="82"/>
  <c r="G141" i="82"/>
  <c r="G142" i="82"/>
  <c r="G143" i="82"/>
  <c r="G144" i="82"/>
  <c r="G145" i="82"/>
  <c r="G146" i="82"/>
  <c r="G147" i="82"/>
  <c r="G148" i="82"/>
  <c r="G149" i="82"/>
  <c r="G150" i="82"/>
  <c r="G151" i="82"/>
  <c r="G152" i="82"/>
  <c r="G153" i="82"/>
  <c r="G154" i="82"/>
  <c r="G155" i="82"/>
  <c r="G156" i="82"/>
  <c r="G157" i="82"/>
  <c r="G158" i="82"/>
  <c r="G159" i="82"/>
  <c r="G160" i="82"/>
  <c r="G161" i="82"/>
  <c r="G162" i="82"/>
  <c r="G163" i="82"/>
  <c r="G164" i="82"/>
  <c r="G165" i="82"/>
  <c r="G166" i="82"/>
  <c r="G167" i="82"/>
  <c r="G168" i="82"/>
  <c r="G169" i="82"/>
  <c r="G170" i="82"/>
  <c r="G171" i="82"/>
  <c r="G172" i="82"/>
  <c r="G173" i="82"/>
  <c r="G174" i="82"/>
  <c r="G175" i="82"/>
  <c r="G176" i="82"/>
  <c r="G177" i="82"/>
  <c r="G178" i="82"/>
  <c r="G179" i="82"/>
  <c r="G180" i="82"/>
  <c r="G181" i="82"/>
  <c r="G182" i="82"/>
  <c r="G183" i="82"/>
  <c r="G184" i="82"/>
  <c r="G185" i="82"/>
  <c r="G186" i="82"/>
  <c r="G187" i="82"/>
  <c r="G188" i="82"/>
  <c r="G189" i="82"/>
  <c r="G190" i="82"/>
  <c r="G191" i="82"/>
  <c r="G192" i="82"/>
  <c r="G193" i="82"/>
  <c r="G194" i="82"/>
  <c r="G195" i="82"/>
  <c r="G196" i="82"/>
  <c r="G197" i="82"/>
  <c r="G198" i="82"/>
  <c r="G199" i="82"/>
  <c r="G200" i="82"/>
  <c r="G201" i="82"/>
  <c r="G202" i="82"/>
  <c r="G203" i="82"/>
  <c r="G204" i="82"/>
  <c r="G205" i="82"/>
  <c r="G206" i="82"/>
  <c r="G207" i="82"/>
  <c r="G208" i="82"/>
  <c r="G209" i="82"/>
  <c r="G210" i="82"/>
  <c r="G211" i="82"/>
  <c r="G212" i="82"/>
  <c r="G213" i="82"/>
  <c r="G214" i="82"/>
  <c r="G215" i="82"/>
  <c r="G216" i="82"/>
  <c r="G217" i="82"/>
  <c r="G218" i="82"/>
  <c r="G219" i="82"/>
  <c r="G220" i="82"/>
  <c r="G221" i="82"/>
  <c r="G222" i="82"/>
  <c r="G223" i="82"/>
  <c r="G224" i="82"/>
  <c r="G225" i="82"/>
  <c r="G226" i="82"/>
  <c r="G227" i="82"/>
  <c r="G228" i="82"/>
  <c r="G229" i="82"/>
  <c r="G230" i="82"/>
  <c r="G231" i="82"/>
  <c r="G232" i="82"/>
  <c r="G233" i="82"/>
  <c r="G234" i="82"/>
  <c r="G235" i="82"/>
  <c r="G236" i="82"/>
  <c r="G237" i="82"/>
  <c r="G238" i="82"/>
  <c r="G239" i="82"/>
  <c r="G240" i="82"/>
  <c r="G241" i="82"/>
  <c r="G242" i="82"/>
  <c r="G243" i="82"/>
  <c r="G244" i="82"/>
  <c r="G245" i="82"/>
  <c r="G246" i="82"/>
  <c r="G247" i="82"/>
  <c r="G248" i="82"/>
  <c r="G249" i="82"/>
  <c r="G250" i="82"/>
  <c r="G251" i="82"/>
  <c r="G252" i="82"/>
  <c r="G253" i="82"/>
  <c r="G254" i="82"/>
  <c r="G255" i="82"/>
  <c r="G256" i="82"/>
  <c r="G257" i="82"/>
  <c r="G258" i="82"/>
  <c r="G259" i="82"/>
  <c r="G260" i="82"/>
  <c r="G261" i="82"/>
  <c r="G262" i="82"/>
  <c r="G263" i="82"/>
  <c r="G264" i="82"/>
  <c r="G265" i="82"/>
  <c r="G266" i="82"/>
  <c r="G267" i="82"/>
  <c r="G268" i="82"/>
  <c r="G269" i="82"/>
  <c r="G270" i="82"/>
  <c r="G271" i="82"/>
  <c r="G272" i="82"/>
  <c r="G273" i="82"/>
  <c r="G274" i="82"/>
  <c r="G275" i="82"/>
  <c r="G276" i="82"/>
  <c r="G277" i="82"/>
  <c r="G278" i="82"/>
  <c r="G279" i="82"/>
  <c r="G280" i="82"/>
  <c r="G281" i="82"/>
  <c r="G282" i="82"/>
  <c r="G283" i="82"/>
  <c r="G284" i="82"/>
  <c r="G285" i="82"/>
  <c r="G286" i="82"/>
  <c r="G287" i="82"/>
  <c r="G288" i="82"/>
  <c r="G289" i="82"/>
  <c r="G290" i="82"/>
  <c r="G291" i="82"/>
  <c r="G292" i="82"/>
  <c r="G293" i="82"/>
  <c r="G294" i="82"/>
  <c r="G295" i="82"/>
  <c r="G296" i="82"/>
  <c r="G297" i="82"/>
  <c r="G298" i="82"/>
  <c r="G299" i="82"/>
  <c r="G300" i="82"/>
  <c r="G301" i="82"/>
  <c r="G302" i="82"/>
  <c r="G303" i="82"/>
  <c r="G304" i="82"/>
  <c r="G305" i="82"/>
  <c r="G306" i="82"/>
  <c r="G307" i="82"/>
  <c r="G308" i="82"/>
  <c r="G309" i="82"/>
  <c r="G310" i="82"/>
  <c r="G311" i="82"/>
  <c r="G312" i="82"/>
  <c r="G313" i="82"/>
  <c r="G314" i="82"/>
  <c r="G315" i="82"/>
  <c r="G316" i="82"/>
  <c r="G317" i="82"/>
  <c r="G318" i="82"/>
  <c r="G319" i="82"/>
  <c r="G320" i="82"/>
  <c r="G321" i="82"/>
  <c r="G322" i="82"/>
  <c r="G323" i="82"/>
  <c r="G324" i="82"/>
  <c r="G325" i="82"/>
  <c r="G326" i="82"/>
  <c r="G327" i="82"/>
  <c r="G328" i="82"/>
  <c r="G329" i="82"/>
  <c r="G330" i="82"/>
  <c r="G331" i="82"/>
  <c r="G332" i="82"/>
  <c r="G333" i="82"/>
  <c r="G334" i="82"/>
  <c r="G335" i="82"/>
  <c r="G336" i="82"/>
  <c r="G337" i="82"/>
  <c r="G338" i="82"/>
  <c r="G339" i="82"/>
  <c r="G340" i="82"/>
  <c r="G341" i="82"/>
  <c r="G342" i="82"/>
  <c r="G343" i="82"/>
  <c r="G344" i="82"/>
  <c r="G345" i="82"/>
  <c r="G346" i="82"/>
  <c r="G347" i="82"/>
  <c r="G348" i="82"/>
  <c r="G349" i="82"/>
  <c r="G350" i="82"/>
  <c r="G351" i="82"/>
  <c r="G352" i="82"/>
  <c r="G353" i="82"/>
  <c r="G354" i="82"/>
  <c r="G355" i="82"/>
  <c r="G356" i="82"/>
  <c r="G357" i="82"/>
  <c r="G358" i="82"/>
  <c r="G359" i="82"/>
  <c r="G360" i="82"/>
  <c r="G361" i="82"/>
  <c r="G362" i="82"/>
  <c r="G363" i="82"/>
  <c r="G364" i="82"/>
  <c r="G365" i="82"/>
  <c r="G366" i="82"/>
  <c r="G367" i="82"/>
  <c r="G368" i="82"/>
  <c r="G369" i="82"/>
  <c r="G370" i="82"/>
  <c r="G371" i="82"/>
  <c r="G372" i="82"/>
  <c r="G373" i="82"/>
  <c r="G374" i="82"/>
  <c r="G375" i="82"/>
  <c r="G376" i="82"/>
  <c r="G377" i="82"/>
  <c r="G378" i="82"/>
  <c r="G379" i="82"/>
  <c r="G380" i="82"/>
  <c r="G381" i="82"/>
  <c r="G382" i="82"/>
  <c r="G383" i="82"/>
  <c r="G384" i="82"/>
  <c r="G385" i="82"/>
  <c r="G386" i="82"/>
  <c r="G387" i="82"/>
  <c r="G388" i="82"/>
  <c r="G389" i="82"/>
  <c r="G390" i="82"/>
  <c r="G391" i="82"/>
  <c r="G392" i="82"/>
  <c r="G393" i="82"/>
  <c r="G394" i="82"/>
  <c r="G395" i="82"/>
  <c r="G396" i="82"/>
  <c r="G397" i="82"/>
  <c r="G398" i="82"/>
  <c r="G399" i="82"/>
  <c r="G400" i="82"/>
  <c r="G401" i="82"/>
  <c r="G402" i="82"/>
  <c r="G403" i="82"/>
  <c r="G404" i="82"/>
  <c r="G405" i="82"/>
  <c r="G406" i="82"/>
  <c r="G407" i="82"/>
  <c r="G408" i="82"/>
  <c r="G409" i="82"/>
  <c r="G410" i="82"/>
  <c r="G411" i="82"/>
  <c r="G412" i="82"/>
  <c r="G413" i="82"/>
  <c r="G414" i="82"/>
  <c r="G415" i="82"/>
  <c r="G416" i="82"/>
  <c r="G417" i="82"/>
  <c r="G418" i="82"/>
  <c r="G419" i="82"/>
  <c r="G420" i="82"/>
  <c r="G421" i="82"/>
  <c r="G422" i="82"/>
  <c r="G423" i="82"/>
  <c r="G424" i="82"/>
  <c r="G425" i="82"/>
  <c r="G426" i="82"/>
  <c r="G427" i="82"/>
  <c r="G428" i="82"/>
  <c r="G429" i="82"/>
  <c r="G430" i="82"/>
  <c r="G431" i="82"/>
  <c r="G432" i="82"/>
  <c r="G433" i="82"/>
  <c r="G434" i="82"/>
  <c r="G435" i="82"/>
  <c r="G436" i="82"/>
  <c r="G437" i="82"/>
  <c r="G438" i="82"/>
  <c r="G439" i="82"/>
  <c r="G440" i="82"/>
  <c r="G441" i="82"/>
  <c r="G442" i="82"/>
  <c r="G443" i="82"/>
  <c r="G444" i="82"/>
  <c r="G445" i="82"/>
  <c r="G446" i="82"/>
  <c r="G447" i="82"/>
  <c r="G448" i="82"/>
  <c r="G449" i="82"/>
  <c r="G450" i="82"/>
  <c r="G451" i="82"/>
  <c r="G452" i="82"/>
  <c r="G453" i="82"/>
  <c r="G454" i="82"/>
  <c r="G455" i="82"/>
  <c r="G456" i="82"/>
  <c r="G457" i="82"/>
  <c r="G458" i="82"/>
  <c r="G459" i="82"/>
  <c r="G460" i="82"/>
  <c r="G461" i="82"/>
  <c r="G462" i="82"/>
  <c r="G463" i="82"/>
  <c r="G464" i="82"/>
  <c r="G465" i="82"/>
  <c r="G466" i="82"/>
  <c r="G467" i="82"/>
  <c r="G468" i="82"/>
  <c r="G469" i="82"/>
  <c r="G470" i="82"/>
  <c r="G471" i="82"/>
  <c r="G472" i="82"/>
  <c r="G473" i="82"/>
  <c r="G474" i="82"/>
  <c r="G475" i="82"/>
  <c r="G476" i="82"/>
  <c r="G477" i="82"/>
  <c r="G478" i="82"/>
  <c r="G479" i="82"/>
  <c r="G480" i="82"/>
  <c r="G481" i="82"/>
  <c r="G482" i="82"/>
  <c r="G483" i="82"/>
  <c r="G484" i="82"/>
  <c r="G485" i="82"/>
  <c r="G486" i="82"/>
  <c r="G487" i="82"/>
  <c r="G488" i="82"/>
  <c r="G489" i="82"/>
  <c r="G490" i="82"/>
  <c r="G491" i="82"/>
  <c r="G492" i="82"/>
  <c r="G493" i="82"/>
  <c r="G494" i="82"/>
  <c r="G495" i="82"/>
  <c r="G496" i="82"/>
  <c r="G497" i="82"/>
  <c r="G498" i="82"/>
  <c r="G499" i="82"/>
  <c r="G500" i="82"/>
  <c r="C1" i="82"/>
  <c r="C2" i="82"/>
  <c r="C3" i="82"/>
  <c r="C4" i="82"/>
  <c r="C5" i="82"/>
  <c r="C6" i="82"/>
  <c r="C7" i="82"/>
  <c r="C8" i="82"/>
  <c r="C9" i="82"/>
  <c r="C10" i="82"/>
  <c r="C11" i="82"/>
  <c r="C12" i="82"/>
  <c r="C13" i="82"/>
  <c r="C14" i="82"/>
  <c r="C15" i="82"/>
  <c r="C16" i="82"/>
  <c r="C17" i="82"/>
  <c r="C18" i="82"/>
  <c r="C19" i="82"/>
  <c r="C20" i="82"/>
  <c r="C21" i="82"/>
  <c r="C22" i="82"/>
  <c r="C23" i="82"/>
  <c r="C24" i="82"/>
  <c r="C25" i="82"/>
  <c r="C26" i="82"/>
  <c r="C27" i="82"/>
  <c r="C28" i="82"/>
  <c r="C29" i="82"/>
  <c r="C30" i="82"/>
  <c r="C31" i="82"/>
  <c r="C32" i="82"/>
  <c r="C33" i="82"/>
  <c r="C34" i="82"/>
  <c r="C35" i="82"/>
  <c r="C36" i="82"/>
  <c r="C37" i="82"/>
  <c r="C38" i="82"/>
  <c r="C39" i="82"/>
  <c r="C40" i="82"/>
  <c r="C41" i="82"/>
  <c r="C42" i="82"/>
  <c r="C43" i="82"/>
  <c r="C44" i="82"/>
  <c r="C45" i="82"/>
  <c r="C46" i="82"/>
  <c r="C47" i="82"/>
  <c r="C48" i="82"/>
  <c r="C49" i="82"/>
  <c r="C50" i="82"/>
  <c r="C51" i="82"/>
  <c r="C52" i="82"/>
  <c r="C53" i="82"/>
  <c r="C54" i="82"/>
  <c r="C55" i="82"/>
  <c r="C56" i="82"/>
  <c r="C57" i="82"/>
  <c r="C58" i="82"/>
  <c r="C59" i="82"/>
  <c r="C60" i="82"/>
  <c r="C61" i="82"/>
  <c r="C62" i="82"/>
  <c r="C63" i="82"/>
  <c r="C64" i="82"/>
  <c r="C65" i="82"/>
  <c r="C66" i="82"/>
  <c r="C67" i="82"/>
  <c r="C68" i="82"/>
  <c r="C69" i="82"/>
  <c r="C70" i="82"/>
  <c r="C71" i="82"/>
  <c r="C72" i="82"/>
  <c r="C73" i="82"/>
  <c r="C74" i="82"/>
  <c r="C75" i="82"/>
  <c r="C76" i="82"/>
  <c r="C77" i="82"/>
  <c r="C78" i="82"/>
  <c r="C79" i="82"/>
  <c r="C80" i="82"/>
  <c r="C81" i="82"/>
  <c r="C82" i="82"/>
  <c r="C83" i="82"/>
  <c r="C84" i="82"/>
  <c r="C85" i="82"/>
  <c r="C86" i="82"/>
  <c r="C87" i="82"/>
  <c r="C88" i="82"/>
  <c r="C89" i="82"/>
  <c r="C90" i="82"/>
  <c r="C91" i="82"/>
  <c r="C92" i="82"/>
  <c r="C93" i="82"/>
  <c r="C94" i="82"/>
  <c r="C95" i="82"/>
  <c r="C96" i="82"/>
  <c r="C97" i="82"/>
  <c r="C98" i="82"/>
  <c r="C99" i="82"/>
  <c r="C100" i="82"/>
  <c r="C101" i="82"/>
  <c r="C102" i="82"/>
  <c r="C103" i="82"/>
  <c r="C104" i="82"/>
  <c r="C105" i="82"/>
  <c r="C106" i="82"/>
  <c r="C107" i="82"/>
  <c r="C108" i="82"/>
  <c r="C109" i="82"/>
  <c r="C110" i="82"/>
  <c r="C111" i="82"/>
  <c r="C112" i="82"/>
  <c r="C113" i="82"/>
  <c r="C114" i="82"/>
  <c r="C115" i="82"/>
  <c r="C116" i="82"/>
  <c r="C117" i="82"/>
  <c r="C118" i="82"/>
  <c r="C119" i="82"/>
  <c r="C120" i="82"/>
  <c r="C121" i="82"/>
  <c r="C122" i="82"/>
  <c r="C123" i="82"/>
  <c r="C124" i="82"/>
  <c r="C125" i="82"/>
  <c r="C126" i="82"/>
  <c r="C127" i="82"/>
  <c r="C128" i="82"/>
  <c r="C129" i="82"/>
  <c r="C130" i="82"/>
  <c r="C131" i="82"/>
  <c r="C132" i="82"/>
  <c r="C133" i="82"/>
  <c r="C134" i="82"/>
  <c r="C135" i="82"/>
  <c r="C136" i="82"/>
  <c r="C137" i="82"/>
  <c r="C138" i="82"/>
  <c r="C139" i="82"/>
  <c r="C140" i="82"/>
  <c r="C141" i="82"/>
  <c r="C142" i="82"/>
  <c r="C143" i="82"/>
  <c r="C144" i="82"/>
  <c r="C145" i="82"/>
  <c r="C146" i="82"/>
  <c r="C147" i="82"/>
  <c r="C148" i="82"/>
  <c r="C149" i="82"/>
  <c r="C150" i="82"/>
  <c r="C151" i="82"/>
  <c r="C152" i="82"/>
  <c r="C153" i="82"/>
  <c r="C154" i="82"/>
  <c r="C155" i="82"/>
  <c r="C156" i="82"/>
  <c r="C157" i="82"/>
  <c r="C158" i="82"/>
  <c r="C159" i="82"/>
  <c r="C160" i="82"/>
  <c r="C161" i="82"/>
  <c r="C162" i="82"/>
  <c r="C163" i="82"/>
  <c r="C164" i="82"/>
  <c r="C165" i="82"/>
  <c r="C166" i="82"/>
  <c r="C167" i="82"/>
  <c r="C168" i="82"/>
  <c r="C169" i="82"/>
  <c r="C170" i="82"/>
  <c r="C171" i="82"/>
  <c r="C172" i="82"/>
  <c r="C173" i="82"/>
  <c r="C174" i="82"/>
  <c r="C175" i="82"/>
  <c r="C176" i="82"/>
  <c r="C177" i="82"/>
  <c r="C178" i="82"/>
  <c r="C179" i="82"/>
  <c r="C180" i="82"/>
  <c r="C181" i="82"/>
  <c r="C182" i="82"/>
  <c r="C183" i="82"/>
  <c r="C184" i="82"/>
  <c r="C185" i="82"/>
  <c r="C186" i="82"/>
  <c r="C187" i="82"/>
  <c r="C188" i="82"/>
  <c r="C189" i="82"/>
  <c r="C190" i="82"/>
  <c r="C191" i="82"/>
  <c r="C192" i="82"/>
  <c r="C193" i="82"/>
  <c r="C194" i="82"/>
  <c r="C195" i="82"/>
  <c r="C196" i="82"/>
  <c r="C197" i="82"/>
  <c r="C198" i="82"/>
  <c r="C199" i="82"/>
  <c r="C200" i="82"/>
  <c r="C201" i="82"/>
  <c r="C202" i="82"/>
  <c r="C203" i="82"/>
  <c r="C204" i="82"/>
  <c r="C205" i="82"/>
  <c r="C206" i="82"/>
  <c r="C207" i="82"/>
  <c r="C208" i="82"/>
  <c r="C209" i="82"/>
  <c r="C210" i="82"/>
  <c r="C211" i="82"/>
  <c r="C212" i="82"/>
  <c r="C213" i="82"/>
  <c r="C214" i="82"/>
  <c r="C215" i="82"/>
  <c r="C216" i="82"/>
  <c r="C217" i="82"/>
  <c r="C218" i="82"/>
  <c r="C219" i="82"/>
  <c r="C220" i="82"/>
  <c r="C221" i="82"/>
  <c r="C222" i="82"/>
  <c r="C223" i="82"/>
  <c r="C224" i="82"/>
  <c r="C225" i="82"/>
  <c r="C226" i="82"/>
  <c r="C227" i="82"/>
  <c r="C228" i="82"/>
  <c r="C229" i="82"/>
  <c r="C230" i="82"/>
  <c r="C231" i="82"/>
  <c r="C232" i="82"/>
  <c r="C233" i="82"/>
  <c r="C234" i="82"/>
  <c r="C235" i="82"/>
  <c r="C236" i="82"/>
  <c r="C237" i="82"/>
  <c r="C238" i="82"/>
  <c r="C239" i="82"/>
  <c r="C240" i="82"/>
  <c r="C241" i="82"/>
  <c r="C242" i="82"/>
  <c r="C243" i="82"/>
  <c r="C244" i="82"/>
  <c r="C245" i="82"/>
  <c r="C246" i="82"/>
  <c r="C247" i="82"/>
  <c r="C248" i="82"/>
  <c r="C249" i="82"/>
  <c r="C250" i="82"/>
  <c r="C251" i="82"/>
  <c r="C252" i="82"/>
  <c r="C253" i="82"/>
  <c r="C254" i="82"/>
  <c r="C255" i="82"/>
  <c r="C256" i="82"/>
  <c r="C257" i="82"/>
  <c r="C258" i="82"/>
  <c r="C259" i="82"/>
  <c r="C260" i="82"/>
  <c r="C261" i="82"/>
  <c r="C262" i="82"/>
  <c r="C263" i="82"/>
  <c r="C264" i="82"/>
  <c r="C265" i="82"/>
  <c r="C266" i="82"/>
  <c r="C267" i="82"/>
  <c r="C268" i="82"/>
  <c r="C269" i="82"/>
  <c r="C270" i="82"/>
  <c r="C271" i="82"/>
  <c r="C272" i="82"/>
  <c r="C273" i="82"/>
  <c r="C274" i="82"/>
  <c r="C275" i="82"/>
  <c r="C276" i="82"/>
  <c r="C277" i="82"/>
  <c r="C278" i="82"/>
  <c r="C279" i="82"/>
  <c r="C280" i="82"/>
  <c r="C281" i="82"/>
  <c r="C282" i="82"/>
  <c r="C283" i="82"/>
  <c r="C284" i="82"/>
  <c r="C285" i="82"/>
  <c r="C286" i="82"/>
  <c r="C287" i="82"/>
  <c r="C288" i="82"/>
  <c r="C289" i="82"/>
  <c r="C290" i="82"/>
  <c r="C291" i="82"/>
  <c r="C292" i="82"/>
  <c r="C293" i="82"/>
  <c r="C294" i="82"/>
  <c r="C295" i="82"/>
  <c r="C296" i="82"/>
  <c r="C297" i="82"/>
  <c r="C298" i="82"/>
  <c r="C299" i="82"/>
  <c r="C300" i="82"/>
  <c r="C301" i="82"/>
  <c r="C302" i="82"/>
  <c r="C303" i="82"/>
  <c r="C304" i="82"/>
  <c r="C305" i="82"/>
  <c r="C306" i="82"/>
  <c r="C307" i="82"/>
  <c r="C308" i="82"/>
  <c r="C309" i="82"/>
  <c r="C310" i="82"/>
  <c r="C311" i="82"/>
  <c r="C312" i="82"/>
  <c r="C313" i="82"/>
  <c r="C314" i="82"/>
  <c r="C315" i="82"/>
  <c r="C316" i="82"/>
  <c r="C317" i="82"/>
  <c r="C318" i="82"/>
  <c r="C319" i="82"/>
  <c r="C320" i="82"/>
  <c r="C321" i="82"/>
  <c r="C322" i="82"/>
  <c r="C323" i="82"/>
  <c r="C324" i="82"/>
  <c r="C325" i="82"/>
  <c r="C326" i="82"/>
  <c r="C327" i="82"/>
  <c r="C328" i="82"/>
  <c r="C329" i="82"/>
  <c r="C330" i="82"/>
  <c r="C331" i="82"/>
  <c r="C332" i="82"/>
  <c r="C333" i="82"/>
  <c r="C334" i="82"/>
  <c r="C335" i="82"/>
  <c r="C336" i="82"/>
  <c r="C337" i="82"/>
  <c r="C338" i="82"/>
  <c r="C339" i="82"/>
  <c r="C340" i="82"/>
  <c r="C341" i="82"/>
  <c r="C342" i="82"/>
  <c r="C343" i="82"/>
  <c r="C344" i="82"/>
  <c r="C345" i="82"/>
  <c r="C346" i="82"/>
  <c r="C347" i="82"/>
  <c r="C348" i="82"/>
  <c r="C349" i="82"/>
  <c r="C350" i="82"/>
  <c r="C351" i="82"/>
  <c r="C352" i="82"/>
  <c r="C353" i="82"/>
  <c r="C354" i="82"/>
  <c r="C355" i="82"/>
  <c r="C356" i="82"/>
  <c r="C357" i="82"/>
  <c r="C358" i="82"/>
  <c r="C359" i="82"/>
  <c r="C360" i="82"/>
  <c r="C361" i="82"/>
  <c r="C362" i="82"/>
  <c r="C363" i="82"/>
  <c r="C364" i="82"/>
  <c r="C365" i="82"/>
  <c r="C366" i="82"/>
  <c r="C367" i="82"/>
  <c r="C368" i="82"/>
  <c r="C369" i="82"/>
  <c r="C370" i="82"/>
  <c r="C371" i="82"/>
  <c r="C372" i="82"/>
  <c r="C373" i="82"/>
  <c r="C374" i="82"/>
  <c r="C375" i="82"/>
  <c r="C376" i="82"/>
  <c r="C377" i="82"/>
  <c r="C378" i="82"/>
  <c r="C379" i="82"/>
  <c r="C380" i="82"/>
  <c r="C381" i="82"/>
  <c r="C382" i="82"/>
  <c r="C383" i="82"/>
  <c r="C384" i="82"/>
  <c r="C385" i="82"/>
  <c r="C386" i="82"/>
  <c r="C387" i="82"/>
  <c r="C388" i="82"/>
  <c r="C389" i="82"/>
  <c r="C390" i="82"/>
  <c r="C391" i="82"/>
  <c r="C392" i="82"/>
  <c r="C393" i="82"/>
  <c r="C394" i="82"/>
  <c r="C395" i="82"/>
  <c r="C396" i="82"/>
  <c r="C397" i="82"/>
  <c r="C398" i="82"/>
  <c r="C399" i="82"/>
  <c r="C400" i="82"/>
  <c r="C401" i="82"/>
  <c r="C402" i="82"/>
  <c r="C403" i="82"/>
  <c r="C404" i="82"/>
  <c r="C405" i="82"/>
  <c r="C406" i="82"/>
  <c r="C407" i="82"/>
  <c r="C408" i="82"/>
  <c r="C409" i="82"/>
  <c r="C410" i="82"/>
  <c r="C411" i="82"/>
  <c r="C412" i="82"/>
  <c r="C413" i="82"/>
  <c r="C414" i="82"/>
  <c r="C415" i="82"/>
  <c r="C416" i="82"/>
  <c r="C417" i="82"/>
  <c r="C418" i="82"/>
  <c r="C419" i="82"/>
  <c r="C420" i="82"/>
  <c r="C421" i="82"/>
  <c r="C422" i="82"/>
  <c r="C423" i="82"/>
  <c r="C424" i="82"/>
  <c r="C425" i="82"/>
  <c r="C426" i="82"/>
  <c r="C427" i="82"/>
  <c r="C428" i="82"/>
  <c r="C429" i="82"/>
  <c r="C430" i="82"/>
  <c r="C431" i="82"/>
  <c r="C432" i="82"/>
  <c r="C433" i="82"/>
  <c r="C434" i="82"/>
  <c r="C435" i="82"/>
  <c r="C436" i="82"/>
  <c r="C437" i="82"/>
  <c r="C438" i="82"/>
  <c r="C439" i="82"/>
  <c r="C440" i="82"/>
  <c r="C441" i="82"/>
  <c r="C442" i="82"/>
  <c r="C443" i="82"/>
  <c r="C444" i="82"/>
  <c r="C445" i="82"/>
  <c r="C446" i="82"/>
  <c r="C447" i="82"/>
  <c r="C448" i="82"/>
  <c r="C449" i="82"/>
  <c r="C450" i="82"/>
  <c r="C451" i="82"/>
  <c r="C452" i="82"/>
  <c r="C453" i="82"/>
  <c r="C454" i="82"/>
  <c r="C455" i="82"/>
  <c r="C456" i="82"/>
  <c r="C457" i="82"/>
  <c r="C458" i="82"/>
  <c r="C459" i="82"/>
  <c r="C460" i="82"/>
  <c r="C461" i="82"/>
  <c r="C462" i="82"/>
  <c r="C463" i="82"/>
  <c r="C464" i="82"/>
  <c r="C465" i="82"/>
  <c r="C466" i="82"/>
  <c r="C467" i="82"/>
  <c r="C468" i="82"/>
  <c r="C469" i="82"/>
  <c r="C470" i="82"/>
  <c r="C471" i="82"/>
  <c r="C472" i="82"/>
  <c r="C473" i="82"/>
  <c r="C474" i="82"/>
  <c r="C475" i="82"/>
  <c r="C476" i="82"/>
  <c r="C477" i="82"/>
  <c r="C478" i="82"/>
  <c r="C479" i="82"/>
  <c r="C480" i="82"/>
  <c r="C481" i="82"/>
  <c r="C482" i="82"/>
  <c r="C483" i="82"/>
  <c r="C484" i="82"/>
  <c r="C485" i="82"/>
  <c r="C486" i="82"/>
  <c r="C487" i="82"/>
  <c r="C488" i="82"/>
  <c r="C489" i="82"/>
  <c r="C490" i="82"/>
  <c r="C491" i="82"/>
  <c r="C492" i="82"/>
  <c r="C493" i="82"/>
  <c r="C494" i="82"/>
  <c r="C495" i="82"/>
  <c r="C496" i="82"/>
  <c r="C497" i="82"/>
  <c r="C498" i="82"/>
  <c r="C499" i="82"/>
  <c r="C500" i="82"/>
  <c r="C501" i="82"/>
  <c r="C502" i="82"/>
  <c r="C503" i="82"/>
  <c r="C504" i="82"/>
  <c r="C505" i="82"/>
  <c r="C506" i="82"/>
  <c r="C507" i="82"/>
  <c r="C508" i="82"/>
  <c r="C509" i="82"/>
  <c r="C510" i="82"/>
  <c r="C511" i="82"/>
  <c r="C512" i="82"/>
  <c r="C513" i="82"/>
  <c r="C514" i="82"/>
  <c r="C515" i="82"/>
  <c r="C516" i="82"/>
  <c r="C517" i="82"/>
  <c r="C518" i="82"/>
  <c r="C519" i="82"/>
  <c r="C520" i="82"/>
  <c r="C521" i="82"/>
  <c r="C522" i="82"/>
  <c r="C523" i="82"/>
  <c r="C524" i="82"/>
  <c r="C525" i="82"/>
  <c r="C526" i="82"/>
  <c r="C527" i="82"/>
  <c r="C528" i="82"/>
  <c r="C529" i="82"/>
  <c r="C530" i="82"/>
  <c r="C531" i="82"/>
  <c r="C532" i="82"/>
  <c r="C533" i="82"/>
  <c r="C534" i="82"/>
  <c r="C535" i="82"/>
  <c r="C536" i="82"/>
  <c r="C537" i="82"/>
  <c r="C538" i="82"/>
  <c r="C539" i="82"/>
  <c r="C540" i="82"/>
  <c r="C541" i="82"/>
  <c r="C542" i="82"/>
  <c r="C543" i="82"/>
  <c r="C544" i="82"/>
  <c r="C545" i="82"/>
  <c r="C546" i="82"/>
  <c r="C547" i="82"/>
  <c r="C548" i="82"/>
  <c r="C549" i="82"/>
  <c r="C550" i="82"/>
  <c r="C551" i="82"/>
  <c r="C552" i="82"/>
  <c r="C553" i="82"/>
  <c r="C554" i="82"/>
  <c r="C555" i="82"/>
  <c r="C556" i="82"/>
  <c r="C557" i="82"/>
  <c r="C558" i="82"/>
  <c r="C559" i="82"/>
  <c r="C560" i="82"/>
  <c r="C561" i="82"/>
  <c r="C562" i="82"/>
  <c r="C563" i="82"/>
  <c r="C564" i="82"/>
  <c r="C565" i="82"/>
  <c r="C566" i="82"/>
  <c r="C567" i="82"/>
  <c r="C568" i="82"/>
  <c r="C569" i="82"/>
  <c r="C570" i="82"/>
  <c r="C571" i="82"/>
  <c r="C572" i="82"/>
  <c r="C573" i="82"/>
  <c r="C574" i="82"/>
  <c r="C575" i="82"/>
  <c r="C576" i="82"/>
  <c r="C577" i="82"/>
  <c r="C578" i="82"/>
  <c r="C579" i="82"/>
  <c r="C580" i="82"/>
  <c r="C581" i="82"/>
  <c r="C582" i="82"/>
  <c r="C583" i="82"/>
  <c r="C584" i="82"/>
  <c r="C585" i="82"/>
  <c r="C586" i="82"/>
  <c r="C587" i="82"/>
  <c r="C588" i="82"/>
  <c r="C589" i="82"/>
  <c r="C590" i="82"/>
  <c r="C591" i="82"/>
  <c r="C592" i="82"/>
  <c r="C593" i="82"/>
  <c r="C594" i="82"/>
  <c r="C595" i="82"/>
  <c r="C596" i="82"/>
  <c r="C597" i="82"/>
  <c r="C598" i="82"/>
  <c r="C599" i="82"/>
  <c r="C600" i="82"/>
  <c r="C601" i="82"/>
  <c r="C602" i="82"/>
  <c r="C603" i="82"/>
  <c r="C604" i="82"/>
  <c r="C605" i="82"/>
  <c r="C606" i="82"/>
  <c r="C607" i="82"/>
  <c r="C608" i="82"/>
  <c r="C609" i="82"/>
  <c r="C610" i="82"/>
  <c r="C611" i="82"/>
  <c r="C612" i="82"/>
  <c r="C613" i="82"/>
  <c r="C614" i="82"/>
  <c r="C615" i="82"/>
  <c r="C616" i="82"/>
  <c r="C617" i="82"/>
  <c r="C618" i="82"/>
  <c r="C619" i="82"/>
  <c r="C620" i="82"/>
  <c r="C621" i="82"/>
  <c r="C622" i="82"/>
  <c r="C623" i="82"/>
  <c r="C624" i="82"/>
  <c r="C625" i="82"/>
  <c r="C626" i="82"/>
  <c r="C627" i="82"/>
  <c r="C628" i="82"/>
  <c r="C629" i="82"/>
  <c r="C630" i="82"/>
  <c r="C631" i="82"/>
  <c r="C632" i="82"/>
  <c r="C633" i="82"/>
  <c r="C634" i="82"/>
  <c r="C635" i="82"/>
  <c r="C636" i="82"/>
  <c r="C637" i="82"/>
  <c r="C638" i="82"/>
  <c r="C639" i="82"/>
  <c r="C640" i="82"/>
  <c r="C641" i="82"/>
  <c r="C642" i="82"/>
  <c r="C643" i="82"/>
  <c r="C644" i="82"/>
  <c r="C645" i="82"/>
  <c r="C646" i="82"/>
  <c r="C647" i="82"/>
  <c r="C648" i="82"/>
  <c r="C649" i="82"/>
  <c r="C650" i="82"/>
  <c r="C651" i="82"/>
  <c r="C652" i="82"/>
  <c r="C653" i="82"/>
  <c r="C654" i="82"/>
  <c r="C655" i="82"/>
  <c r="C656" i="82"/>
  <c r="C657" i="82"/>
  <c r="C658" i="82"/>
  <c r="C659" i="82"/>
  <c r="C660" i="82"/>
  <c r="C661" i="82"/>
  <c r="C662" i="82"/>
  <c r="C663" i="82"/>
  <c r="C664" i="82"/>
  <c r="C665" i="82"/>
  <c r="C666" i="82"/>
  <c r="C667" i="82"/>
  <c r="C668" i="82"/>
  <c r="C669" i="82"/>
  <c r="C670" i="82"/>
  <c r="C671" i="82"/>
  <c r="C672" i="82"/>
  <c r="C673" i="82"/>
  <c r="C674" i="82"/>
  <c r="C675" i="82"/>
  <c r="C676" i="82"/>
  <c r="C677" i="82"/>
  <c r="C678" i="82"/>
  <c r="C679" i="82"/>
  <c r="C680" i="82"/>
  <c r="C681" i="82"/>
  <c r="C682" i="82"/>
  <c r="C683" i="82"/>
  <c r="C684" i="82"/>
  <c r="C685" i="82"/>
  <c r="C686" i="82"/>
  <c r="C687" i="82"/>
  <c r="C688" i="82"/>
  <c r="C689" i="82"/>
  <c r="C690" i="82"/>
  <c r="C691" i="82"/>
  <c r="C692" i="82"/>
  <c r="C693" i="82"/>
  <c r="C694" i="82"/>
  <c r="C695" i="82"/>
  <c r="C696" i="82"/>
  <c r="C697" i="82"/>
  <c r="C698" i="82"/>
  <c r="C699" i="82"/>
  <c r="C700" i="82"/>
  <c r="C701" i="82"/>
  <c r="C702" i="82"/>
  <c r="C703" i="82"/>
  <c r="C704" i="82"/>
  <c r="C705" i="82"/>
  <c r="C706" i="82"/>
  <c r="C707" i="82"/>
  <c r="C708" i="82"/>
  <c r="C709" i="82"/>
  <c r="C710" i="82"/>
  <c r="C711" i="82"/>
  <c r="C712" i="82"/>
  <c r="C713" i="82"/>
  <c r="C714" i="82"/>
  <c r="C715" i="82"/>
  <c r="C716" i="82"/>
  <c r="C717" i="82"/>
  <c r="C718" i="82"/>
  <c r="C719" i="82"/>
  <c r="C720" i="82"/>
  <c r="C721" i="82"/>
  <c r="C722" i="82"/>
  <c r="C723" i="82"/>
  <c r="C724" i="82"/>
  <c r="C725" i="82"/>
  <c r="C726" i="82"/>
  <c r="C727" i="82"/>
  <c r="C728" i="82"/>
  <c r="C729" i="82"/>
  <c r="C730" i="82"/>
  <c r="C731" i="82"/>
  <c r="C732" i="82"/>
  <c r="C733" i="82"/>
  <c r="C734" i="82"/>
  <c r="C735" i="82"/>
  <c r="C736" i="82"/>
  <c r="C737" i="82"/>
  <c r="C738" i="82"/>
  <c r="C739" i="82"/>
  <c r="C740" i="82"/>
  <c r="C741" i="82"/>
  <c r="C742" i="82"/>
  <c r="C743" i="82"/>
  <c r="C744" i="82"/>
  <c r="C745" i="82"/>
  <c r="C746" i="82"/>
  <c r="C747" i="82"/>
  <c r="C748" i="82"/>
  <c r="C749" i="82"/>
  <c r="C750" i="82"/>
  <c r="C751" i="82"/>
  <c r="C752" i="82"/>
  <c r="C753" i="82"/>
  <c r="C754" i="82"/>
  <c r="C755" i="82"/>
  <c r="C756" i="82"/>
  <c r="C757" i="82"/>
  <c r="C758" i="82"/>
  <c r="C759" i="82"/>
  <c r="C760" i="82"/>
  <c r="C761" i="82"/>
  <c r="C762" i="82"/>
  <c r="C763" i="82"/>
  <c r="C764" i="82"/>
  <c r="C765" i="82"/>
  <c r="C766" i="82"/>
  <c r="C767" i="82"/>
  <c r="C768" i="82"/>
  <c r="C769" i="82"/>
  <c r="C770" i="82"/>
  <c r="C771" i="82"/>
  <c r="C772" i="82"/>
  <c r="C773" i="82"/>
  <c r="C774" i="82"/>
  <c r="C775" i="82"/>
  <c r="C776" i="82"/>
  <c r="C777" i="82"/>
  <c r="C778" i="82"/>
  <c r="C779" i="82"/>
  <c r="C780" i="82"/>
  <c r="C781" i="82"/>
  <c r="C782" i="82"/>
  <c r="C783" i="82"/>
  <c r="C784" i="82"/>
  <c r="C785" i="82"/>
  <c r="C786" i="82"/>
  <c r="C787" i="82"/>
  <c r="C788" i="82"/>
  <c r="C789" i="82"/>
  <c r="C790" i="82"/>
  <c r="C791" i="82"/>
  <c r="C792" i="82"/>
  <c r="C793" i="82"/>
  <c r="C794" i="82"/>
  <c r="C795" i="82"/>
  <c r="C796" i="82"/>
  <c r="C797" i="82"/>
  <c r="C798" i="82"/>
  <c r="C799" i="82"/>
  <c r="C800" i="82"/>
  <c r="C801" i="82"/>
  <c r="C802" i="82"/>
  <c r="C803" i="82"/>
  <c r="C804" i="82"/>
  <c r="C805" i="82"/>
  <c r="C806" i="82"/>
  <c r="C807" i="82"/>
  <c r="C808" i="82"/>
  <c r="C809" i="82"/>
  <c r="C810" i="82"/>
  <c r="C811" i="82"/>
  <c r="C812" i="82"/>
  <c r="C813" i="82"/>
  <c r="C814" i="82"/>
  <c r="C815" i="82"/>
  <c r="C816" i="82"/>
  <c r="C817" i="82"/>
  <c r="C818" i="82"/>
  <c r="C819" i="82"/>
  <c r="C820" i="82"/>
  <c r="C821" i="82"/>
  <c r="C822" i="82"/>
  <c r="C823" i="82"/>
  <c r="C824" i="82"/>
  <c r="C825" i="82"/>
  <c r="C826" i="82"/>
  <c r="C827" i="82"/>
  <c r="C828" i="82"/>
  <c r="C829" i="82"/>
  <c r="C830" i="82"/>
  <c r="C831" i="82"/>
  <c r="C832" i="82"/>
  <c r="C833" i="82"/>
  <c r="C834" i="82"/>
  <c r="C835" i="82"/>
  <c r="C836" i="82"/>
  <c r="C837" i="82"/>
  <c r="C838" i="82"/>
  <c r="C839" i="82"/>
  <c r="C840" i="82"/>
  <c r="C841" i="82"/>
  <c r="C842" i="82"/>
  <c r="C843" i="82"/>
  <c r="C844" i="82"/>
  <c r="C845" i="82"/>
  <c r="C846" i="82"/>
  <c r="C847" i="82"/>
  <c r="C848" i="82"/>
  <c r="C849" i="82"/>
  <c r="C850" i="82"/>
  <c r="C851" i="82"/>
  <c r="C852" i="82"/>
  <c r="C853" i="82"/>
  <c r="C854" i="82"/>
  <c r="C855" i="82"/>
  <c r="C856" i="82"/>
  <c r="C857" i="82"/>
  <c r="C858" i="82"/>
  <c r="C859" i="82"/>
  <c r="C860" i="82"/>
  <c r="C861" i="82"/>
  <c r="C862" i="82"/>
  <c r="C863" i="82"/>
  <c r="C864" i="82"/>
  <c r="C865" i="82"/>
  <c r="C866" i="82"/>
  <c r="C867" i="82"/>
  <c r="C868" i="82"/>
  <c r="C869" i="82"/>
  <c r="C870" i="82"/>
  <c r="C871" i="82"/>
  <c r="C872" i="82"/>
  <c r="C873" i="82"/>
  <c r="C874" i="82"/>
  <c r="C875" i="82"/>
  <c r="C876" i="82"/>
  <c r="C877" i="82"/>
  <c r="C878" i="82"/>
  <c r="C879" i="82"/>
  <c r="C880" i="82"/>
  <c r="C881" i="82"/>
  <c r="C882" i="82"/>
  <c r="C883" i="82"/>
  <c r="C884" i="82"/>
  <c r="C885" i="82"/>
  <c r="C886" i="82"/>
  <c r="C887" i="82"/>
  <c r="C888" i="82"/>
  <c r="C889" i="82"/>
  <c r="C890" i="82"/>
  <c r="C891" i="82"/>
  <c r="C892" i="82"/>
  <c r="C893" i="82"/>
  <c r="C894" i="82"/>
  <c r="C895" i="82"/>
  <c r="C896" i="82"/>
  <c r="C897" i="82"/>
  <c r="C898" i="82"/>
  <c r="C899" i="82"/>
  <c r="C900" i="82"/>
  <c r="C901" i="82"/>
  <c r="C902" i="82"/>
  <c r="C903" i="82"/>
  <c r="C904" i="82"/>
  <c r="C905" i="82"/>
  <c r="C906" i="82"/>
  <c r="C907" i="82"/>
  <c r="C908" i="82"/>
  <c r="C909" i="82"/>
  <c r="C910" i="82"/>
  <c r="C911" i="82"/>
  <c r="C912" i="82"/>
  <c r="C913" i="82"/>
  <c r="C914" i="82"/>
  <c r="C915" i="82"/>
  <c r="C916" i="82"/>
  <c r="C917" i="82"/>
  <c r="C918" i="82"/>
  <c r="C919" i="82"/>
  <c r="C920" i="82"/>
  <c r="C921" i="82"/>
  <c r="C922" i="82"/>
  <c r="C923" i="82"/>
  <c r="C924" i="82"/>
  <c r="C925" i="82"/>
  <c r="C926" i="82"/>
  <c r="C927" i="82"/>
  <c r="C928" i="82"/>
  <c r="C929" i="82"/>
  <c r="C930" i="82"/>
  <c r="C931" i="82"/>
  <c r="C932" i="82"/>
  <c r="C933" i="82"/>
  <c r="C934" i="82"/>
  <c r="C935" i="82"/>
  <c r="C936" i="82"/>
  <c r="C937" i="82"/>
  <c r="C938" i="82"/>
  <c r="C939" i="82"/>
  <c r="C940" i="82"/>
  <c r="C941" i="82"/>
  <c r="C942" i="82"/>
  <c r="C943" i="82"/>
  <c r="C944" i="82"/>
  <c r="C945" i="82"/>
  <c r="C946" i="82"/>
  <c r="C947" i="82"/>
  <c r="C948" i="82"/>
  <c r="C949" i="82"/>
  <c r="C950" i="82"/>
  <c r="C951" i="82"/>
  <c r="C952" i="82"/>
  <c r="C953" i="82"/>
  <c r="C954" i="82"/>
  <c r="C955" i="82"/>
  <c r="C956" i="82"/>
  <c r="C957" i="82"/>
  <c r="C958" i="82"/>
  <c r="C959" i="82"/>
  <c r="C960" i="82"/>
  <c r="C961" i="82"/>
  <c r="C962" i="82"/>
  <c r="C963" i="82"/>
  <c r="C964" i="82"/>
  <c r="C965" i="82"/>
  <c r="C966" i="82"/>
  <c r="C967" i="82"/>
  <c r="C968" i="82"/>
  <c r="C969" i="82"/>
  <c r="C970" i="82"/>
  <c r="C971" i="82"/>
  <c r="C972" i="82"/>
  <c r="C973" i="82"/>
  <c r="C974" i="82"/>
  <c r="C975" i="82"/>
  <c r="C976" i="82"/>
  <c r="C977" i="82"/>
  <c r="C978" i="82"/>
  <c r="C979" i="82"/>
  <c r="C980" i="82"/>
  <c r="C981" i="82"/>
  <c r="C982" i="82"/>
  <c r="C983" i="82"/>
  <c r="C984" i="82"/>
  <c r="C985" i="82"/>
  <c r="C986" i="82"/>
  <c r="C987" i="82"/>
  <c r="C988" i="82"/>
  <c r="C989" i="82"/>
  <c r="C990" i="82"/>
  <c r="C991" i="82"/>
  <c r="C992" i="82"/>
  <c r="C993" i="82"/>
  <c r="C994" i="82"/>
  <c r="C995" i="82"/>
  <c r="C996" i="82"/>
  <c r="C997" i="82"/>
  <c r="C998" i="82"/>
  <c r="C999" i="82"/>
  <c r="C1000" i="82"/>
  <c r="B1" i="82"/>
  <c r="B2" i="82"/>
  <c r="B3" i="82"/>
  <c r="B4" i="82"/>
  <c r="B5" i="82"/>
  <c r="B6" i="82"/>
  <c r="B7" i="82"/>
  <c r="B8" i="82"/>
  <c r="B9" i="82"/>
  <c r="B10" i="82"/>
  <c r="B11" i="82"/>
  <c r="B12" i="82"/>
  <c r="B13" i="82"/>
  <c r="B14" i="82"/>
  <c r="B15" i="82"/>
  <c r="B16" i="82"/>
  <c r="B17" i="82"/>
  <c r="B18" i="82"/>
  <c r="B19" i="82"/>
  <c r="B20" i="82"/>
  <c r="B21" i="82"/>
  <c r="B22" i="82"/>
  <c r="B23" i="82"/>
  <c r="B24" i="82"/>
  <c r="B25" i="82"/>
  <c r="B26" i="82"/>
  <c r="B27" i="82"/>
  <c r="B28" i="82"/>
  <c r="B29" i="82"/>
  <c r="B30" i="82"/>
  <c r="B31" i="82"/>
  <c r="B32" i="82"/>
  <c r="B33" i="82"/>
  <c r="B34" i="82"/>
  <c r="B35" i="82"/>
  <c r="B36" i="82"/>
  <c r="B37" i="82"/>
  <c r="B38" i="82"/>
  <c r="B39" i="82"/>
  <c r="B40" i="82"/>
  <c r="B41" i="82"/>
  <c r="B42" i="82"/>
  <c r="B43" i="82"/>
  <c r="B44" i="82"/>
  <c r="B45" i="82"/>
  <c r="B46" i="82"/>
  <c r="B47" i="82"/>
  <c r="B48" i="82"/>
  <c r="B49" i="82"/>
  <c r="B50" i="82"/>
  <c r="B51" i="82"/>
  <c r="B52" i="82"/>
  <c r="B53" i="82"/>
  <c r="B54" i="82"/>
  <c r="B55" i="82"/>
  <c r="B56" i="82"/>
  <c r="B57" i="82"/>
  <c r="B58" i="82"/>
  <c r="B59" i="82"/>
  <c r="B60" i="82"/>
  <c r="B61" i="82"/>
  <c r="B62" i="82"/>
  <c r="B63" i="82"/>
  <c r="B64" i="82"/>
  <c r="B65" i="82"/>
  <c r="B66" i="82"/>
  <c r="B67" i="82"/>
  <c r="B68" i="82"/>
  <c r="B69" i="82"/>
  <c r="B70" i="82"/>
  <c r="B71" i="82"/>
  <c r="B72" i="82"/>
  <c r="B73" i="82"/>
  <c r="B74" i="82"/>
  <c r="B75" i="82"/>
  <c r="B76" i="82"/>
  <c r="B77" i="82"/>
  <c r="B78" i="82"/>
  <c r="B79" i="82"/>
  <c r="B80" i="82"/>
  <c r="B81" i="82"/>
  <c r="B82" i="82"/>
  <c r="B83" i="82"/>
  <c r="B84" i="82"/>
  <c r="B85" i="82"/>
  <c r="B86" i="82"/>
  <c r="B87" i="82"/>
  <c r="B88" i="82"/>
  <c r="B89" i="82"/>
  <c r="B90" i="82"/>
  <c r="B91" i="82"/>
  <c r="B92" i="82"/>
  <c r="B93" i="82"/>
  <c r="B94" i="82"/>
  <c r="B95" i="82"/>
  <c r="B96" i="82"/>
  <c r="B97" i="82"/>
  <c r="B98" i="82"/>
  <c r="B99" i="82"/>
  <c r="B100" i="82"/>
  <c r="B101" i="82"/>
  <c r="B102" i="82"/>
  <c r="B103" i="82"/>
  <c r="B104" i="82"/>
  <c r="B105" i="82"/>
  <c r="B106" i="82"/>
  <c r="B107" i="82"/>
  <c r="B108" i="82"/>
  <c r="B109" i="82"/>
  <c r="B110" i="82"/>
  <c r="B111" i="82"/>
  <c r="B112" i="82"/>
  <c r="B113" i="82"/>
  <c r="B114" i="82"/>
  <c r="B115" i="82"/>
  <c r="B116" i="82"/>
  <c r="B117" i="82"/>
  <c r="B118" i="82"/>
  <c r="B119" i="82"/>
  <c r="B120" i="82"/>
  <c r="B121" i="82"/>
  <c r="B122" i="82"/>
  <c r="B123" i="82"/>
  <c r="B124" i="82"/>
  <c r="B125" i="82"/>
  <c r="B126" i="82"/>
  <c r="B127" i="82"/>
  <c r="B128" i="82"/>
  <c r="B129" i="82"/>
  <c r="B130" i="82"/>
  <c r="B131" i="82"/>
  <c r="B132" i="82"/>
  <c r="B133" i="82"/>
  <c r="B134" i="82"/>
  <c r="B135" i="82"/>
  <c r="B136" i="82"/>
  <c r="B137" i="82"/>
  <c r="B138" i="82"/>
  <c r="B139" i="82"/>
  <c r="B140" i="82"/>
  <c r="B141" i="82"/>
  <c r="B142" i="82"/>
  <c r="B143" i="82"/>
  <c r="B144" i="82"/>
  <c r="B145" i="82"/>
  <c r="B146" i="82"/>
  <c r="B147" i="82"/>
  <c r="B148" i="82"/>
  <c r="B149" i="82"/>
  <c r="B150" i="82"/>
  <c r="B151" i="82"/>
  <c r="B152" i="82"/>
  <c r="B153" i="82"/>
  <c r="B154" i="82"/>
  <c r="B155" i="82"/>
  <c r="B156" i="82"/>
  <c r="B157" i="82"/>
  <c r="B158" i="82"/>
  <c r="B159" i="82"/>
  <c r="B160" i="82"/>
  <c r="B161" i="82"/>
  <c r="B162" i="82"/>
  <c r="B163" i="82"/>
  <c r="B164" i="82"/>
  <c r="B165" i="82"/>
  <c r="B166" i="82"/>
  <c r="B167" i="82"/>
  <c r="B168" i="82"/>
  <c r="B169" i="82"/>
  <c r="B170" i="82"/>
  <c r="B171" i="82"/>
  <c r="B172" i="82"/>
  <c r="B173" i="82"/>
  <c r="B174" i="82"/>
  <c r="B175" i="82"/>
  <c r="B176" i="82"/>
  <c r="B177" i="82"/>
  <c r="B178" i="82"/>
  <c r="B179" i="82"/>
  <c r="B180" i="82"/>
  <c r="B181" i="82"/>
  <c r="B182" i="82"/>
  <c r="B183" i="82"/>
  <c r="B184" i="82"/>
  <c r="B185" i="82"/>
  <c r="B186" i="82"/>
  <c r="B187" i="82"/>
  <c r="B188" i="82"/>
  <c r="B189" i="82"/>
  <c r="B190" i="82"/>
  <c r="B191" i="82"/>
  <c r="B192" i="82"/>
  <c r="B193" i="82"/>
  <c r="B194" i="82"/>
  <c r="B195" i="82"/>
  <c r="B196" i="82"/>
  <c r="B197" i="82"/>
  <c r="B198" i="82"/>
  <c r="B199" i="82"/>
  <c r="B200" i="82"/>
  <c r="B201" i="82"/>
  <c r="B202" i="82"/>
  <c r="B203" i="82"/>
  <c r="B204" i="82"/>
  <c r="B205" i="82"/>
  <c r="B206" i="82"/>
  <c r="B207" i="82"/>
  <c r="B208" i="82"/>
  <c r="B209" i="82"/>
  <c r="B210" i="82"/>
  <c r="B211" i="82"/>
  <c r="B212" i="82"/>
  <c r="B213" i="82"/>
  <c r="B214" i="82"/>
  <c r="B215" i="82"/>
  <c r="B216" i="82"/>
  <c r="B217" i="82"/>
  <c r="B218" i="82"/>
  <c r="B219" i="82"/>
  <c r="B220" i="82"/>
  <c r="B221" i="82"/>
  <c r="B222" i="82"/>
  <c r="B223" i="82"/>
  <c r="B224" i="82"/>
  <c r="B225" i="82"/>
  <c r="B226" i="82"/>
  <c r="B227" i="82"/>
  <c r="B228" i="82"/>
  <c r="B229" i="82"/>
  <c r="B230" i="82"/>
  <c r="B231" i="82"/>
  <c r="B232" i="82"/>
  <c r="B233" i="82"/>
  <c r="B234" i="82"/>
  <c r="B235" i="82"/>
  <c r="B236" i="82"/>
  <c r="B237" i="82"/>
  <c r="B238" i="82"/>
  <c r="B239" i="82"/>
  <c r="B240" i="82"/>
  <c r="B241" i="82"/>
  <c r="B242" i="82"/>
  <c r="B243" i="82"/>
  <c r="B244" i="82"/>
  <c r="B245" i="82"/>
  <c r="B246" i="82"/>
  <c r="B247" i="82"/>
  <c r="B248" i="82"/>
  <c r="B249" i="82"/>
  <c r="B250" i="82"/>
  <c r="B251" i="82"/>
  <c r="B252" i="82"/>
  <c r="B253" i="82"/>
  <c r="B254" i="82"/>
  <c r="B255" i="82"/>
  <c r="B256" i="82"/>
  <c r="B257" i="82"/>
  <c r="B258" i="82"/>
  <c r="B259" i="82"/>
  <c r="B260" i="82"/>
  <c r="B261" i="82"/>
  <c r="B262" i="82"/>
  <c r="B263" i="82"/>
  <c r="B264" i="82"/>
  <c r="B265" i="82"/>
  <c r="B266" i="82"/>
  <c r="B267" i="82"/>
  <c r="B268" i="82"/>
  <c r="B269" i="82"/>
  <c r="B270" i="82"/>
  <c r="B271" i="82"/>
  <c r="B272" i="82"/>
  <c r="B273" i="82"/>
  <c r="B274" i="82"/>
  <c r="B275" i="82"/>
  <c r="B276" i="82"/>
  <c r="B277" i="82"/>
  <c r="B278" i="82"/>
  <c r="B279" i="82"/>
  <c r="B280" i="82"/>
  <c r="B281" i="82"/>
  <c r="B282" i="82"/>
  <c r="B283" i="82"/>
  <c r="B284" i="82"/>
  <c r="B285" i="82"/>
  <c r="B286" i="82"/>
  <c r="B287" i="82"/>
  <c r="B288" i="82"/>
  <c r="B289" i="82"/>
  <c r="B290" i="82"/>
  <c r="B291" i="82"/>
  <c r="B292" i="82"/>
  <c r="B293" i="82"/>
  <c r="B294" i="82"/>
  <c r="B295" i="82"/>
  <c r="B296" i="82"/>
  <c r="B297" i="82"/>
  <c r="B298" i="82"/>
  <c r="B299" i="82"/>
  <c r="B300" i="82"/>
  <c r="B301" i="82"/>
  <c r="B302" i="82"/>
  <c r="B303" i="82"/>
  <c r="B304" i="82"/>
  <c r="B305" i="82"/>
  <c r="B306" i="82"/>
  <c r="B307" i="82"/>
  <c r="B308" i="82"/>
  <c r="B309" i="82"/>
  <c r="B310" i="82"/>
  <c r="B311" i="82"/>
  <c r="B312" i="82"/>
  <c r="B313" i="82"/>
  <c r="B314" i="82"/>
  <c r="B315" i="82"/>
  <c r="B316" i="82"/>
  <c r="B317" i="82"/>
  <c r="B318" i="82"/>
  <c r="B319" i="82"/>
  <c r="B320" i="82"/>
  <c r="B321" i="82"/>
  <c r="B322" i="82"/>
  <c r="B323" i="82"/>
  <c r="B324" i="82"/>
  <c r="B325" i="82"/>
  <c r="B326" i="82"/>
  <c r="B327" i="82"/>
  <c r="B328" i="82"/>
  <c r="B329" i="82"/>
  <c r="B330" i="82"/>
  <c r="B331" i="82"/>
  <c r="B332" i="82"/>
  <c r="B333" i="82"/>
  <c r="B334" i="82"/>
  <c r="B335" i="82"/>
  <c r="B336" i="82"/>
  <c r="B337" i="82"/>
  <c r="B338" i="82"/>
  <c r="B339" i="82"/>
  <c r="B340" i="82"/>
  <c r="B341" i="82"/>
  <c r="B342" i="82"/>
  <c r="B343" i="82"/>
  <c r="B344" i="82"/>
  <c r="B345" i="82"/>
  <c r="B346" i="82"/>
  <c r="B347" i="82"/>
  <c r="B348" i="82"/>
  <c r="B349" i="82"/>
  <c r="B350" i="82"/>
  <c r="B351" i="82"/>
  <c r="B352" i="82"/>
  <c r="B353" i="82"/>
  <c r="B354" i="82"/>
  <c r="B355" i="82"/>
  <c r="B356" i="82"/>
  <c r="B357" i="82"/>
  <c r="B358" i="82"/>
  <c r="B359" i="82"/>
  <c r="B360" i="82"/>
  <c r="B361" i="82"/>
  <c r="B362" i="82"/>
  <c r="B363" i="82"/>
  <c r="B364" i="82"/>
  <c r="B365" i="82"/>
  <c r="B366" i="82"/>
  <c r="B367" i="82"/>
  <c r="B368" i="82"/>
  <c r="B369" i="82"/>
  <c r="B370" i="82"/>
  <c r="B371" i="82"/>
  <c r="B372" i="82"/>
  <c r="B373" i="82"/>
  <c r="B374" i="82"/>
  <c r="B375" i="82"/>
  <c r="B376" i="82"/>
  <c r="B377" i="82"/>
  <c r="B378" i="82"/>
  <c r="B379" i="82"/>
  <c r="B380" i="82"/>
  <c r="B381" i="82"/>
  <c r="B382" i="82"/>
  <c r="B383" i="82"/>
  <c r="B384" i="82"/>
  <c r="B385" i="82"/>
  <c r="B386" i="82"/>
  <c r="B387" i="82"/>
  <c r="B388" i="82"/>
  <c r="B389" i="82"/>
  <c r="B390" i="82"/>
  <c r="B391" i="82"/>
  <c r="B392" i="82"/>
  <c r="B393" i="82"/>
  <c r="B394" i="82"/>
  <c r="B395" i="82"/>
  <c r="B396" i="82"/>
  <c r="B397" i="82"/>
  <c r="B398" i="82"/>
  <c r="B399" i="82"/>
  <c r="B400" i="82"/>
  <c r="B401" i="82"/>
  <c r="B402" i="82"/>
  <c r="B403" i="82"/>
  <c r="B404" i="82"/>
  <c r="B405" i="82"/>
  <c r="B406" i="82"/>
  <c r="B407" i="82"/>
  <c r="B408" i="82"/>
  <c r="B409" i="82"/>
  <c r="B410" i="82"/>
  <c r="B411" i="82"/>
  <c r="B412" i="82"/>
  <c r="B413" i="82"/>
  <c r="B414" i="82"/>
  <c r="B415" i="82"/>
  <c r="B416" i="82"/>
  <c r="B417" i="82"/>
  <c r="B418" i="82"/>
  <c r="B419" i="82"/>
  <c r="B420" i="82"/>
  <c r="B421" i="82"/>
  <c r="B422" i="82"/>
  <c r="B423" i="82"/>
  <c r="B424" i="82"/>
  <c r="B425" i="82"/>
  <c r="B426" i="82"/>
  <c r="B427" i="82"/>
  <c r="B428" i="82"/>
  <c r="B429" i="82"/>
  <c r="B430" i="82"/>
  <c r="B431" i="82"/>
  <c r="B432" i="82"/>
  <c r="B433" i="82"/>
  <c r="B434" i="82"/>
  <c r="B435" i="82"/>
  <c r="B436" i="82"/>
  <c r="B437" i="82"/>
  <c r="B438" i="82"/>
  <c r="B439" i="82"/>
  <c r="B440" i="82"/>
  <c r="B441" i="82"/>
  <c r="B442" i="82"/>
  <c r="B443" i="82"/>
  <c r="B444" i="82"/>
  <c r="B445" i="82"/>
  <c r="B446" i="82"/>
  <c r="B447" i="82"/>
  <c r="B448" i="82"/>
  <c r="B449" i="82"/>
  <c r="B450" i="82"/>
  <c r="B451" i="82"/>
  <c r="B452" i="82"/>
  <c r="B453" i="82"/>
  <c r="B454" i="82"/>
  <c r="B455" i="82"/>
  <c r="B456" i="82"/>
  <c r="B457" i="82"/>
  <c r="B458" i="82"/>
  <c r="B459" i="82"/>
  <c r="B460" i="82"/>
  <c r="B461" i="82"/>
  <c r="B462" i="82"/>
  <c r="B463" i="82"/>
  <c r="B464" i="82"/>
  <c r="B465" i="82"/>
  <c r="B466" i="82"/>
  <c r="B467" i="82"/>
  <c r="B468" i="82"/>
  <c r="B469" i="82"/>
  <c r="B470" i="82"/>
  <c r="B471" i="82"/>
  <c r="B472" i="82"/>
  <c r="B473" i="82"/>
  <c r="B474" i="82"/>
  <c r="B475" i="82"/>
  <c r="B476" i="82"/>
  <c r="B477" i="82"/>
  <c r="B478" i="82"/>
  <c r="B479" i="82"/>
  <c r="B480" i="82"/>
  <c r="B481" i="82"/>
  <c r="B482" i="82"/>
  <c r="B483" i="82"/>
  <c r="B484" i="82"/>
  <c r="B485" i="82"/>
  <c r="B486" i="82"/>
  <c r="B487" i="82"/>
  <c r="B488" i="82"/>
  <c r="B489" i="82"/>
  <c r="B490" i="82"/>
  <c r="B491" i="82"/>
  <c r="B492" i="82"/>
  <c r="B493" i="82"/>
  <c r="B494" i="82"/>
  <c r="B495" i="82"/>
  <c r="B496" i="82"/>
  <c r="B497" i="82"/>
  <c r="B498" i="82"/>
  <c r="B499" i="82"/>
  <c r="B500" i="82"/>
  <c r="B501" i="82"/>
  <c r="B502" i="82"/>
  <c r="B503" i="82"/>
  <c r="B504" i="82"/>
  <c r="B505" i="82"/>
  <c r="B506" i="82"/>
  <c r="B507" i="82"/>
  <c r="B508" i="82"/>
  <c r="B509" i="82"/>
  <c r="B510" i="82"/>
  <c r="B511" i="82"/>
  <c r="B512" i="82"/>
  <c r="B513" i="82"/>
  <c r="B514" i="82"/>
  <c r="B515" i="82"/>
  <c r="B516" i="82"/>
  <c r="B517" i="82"/>
  <c r="B518" i="82"/>
  <c r="B519" i="82"/>
  <c r="B520" i="82"/>
  <c r="B521" i="82"/>
  <c r="B522" i="82"/>
  <c r="B523" i="82"/>
  <c r="B524" i="82"/>
  <c r="B525" i="82"/>
  <c r="B526" i="82"/>
  <c r="B527" i="82"/>
  <c r="B528" i="82"/>
  <c r="B529" i="82"/>
  <c r="B530" i="82"/>
  <c r="B531" i="82"/>
  <c r="B532" i="82"/>
  <c r="B533" i="82"/>
  <c r="B534" i="82"/>
  <c r="B535" i="82"/>
  <c r="B536" i="82"/>
  <c r="B537" i="82"/>
  <c r="B538" i="82"/>
  <c r="B539" i="82"/>
  <c r="B540" i="82"/>
  <c r="B541" i="82"/>
  <c r="B542" i="82"/>
  <c r="B543" i="82"/>
  <c r="B544" i="82"/>
  <c r="B545" i="82"/>
  <c r="B546" i="82"/>
  <c r="B547" i="82"/>
  <c r="B548" i="82"/>
  <c r="B549" i="82"/>
  <c r="B550" i="82"/>
  <c r="B551" i="82"/>
  <c r="B552" i="82"/>
  <c r="B553" i="82"/>
  <c r="B554" i="82"/>
  <c r="B555" i="82"/>
  <c r="B556" i="82"/>
  <c r="B557" i="82"/>
  <c r="B558" i="82"/>
  <c r="B559" i="82"/>
  <c r="B560" i="82"/>
  <c r="B561" i="82"/>
  <c r="B562" i="82"/>
  <c r="B563" i="82"/>
  <c r="B564" i="82"/>
  <c r="B565" i="82"/>
  <c r="B566" i="82"/>
  <c r="B567" i="82"/>
  <c r="B568" i="82"/>
  <c r="B569" i="82"/>
  <c r="B570" i="82"/>
  <c r="B571" i="82"/>
  <c r="B572" i="82"/>
  <c r="B573" i="82"/>
  <c r="B574" i="82"/>
  <c r="B575" i="82"/>
  <c r="B576" i="82"/>
  <c r="B577" i="82"/>
  <c r="B578" i="82"/>
  <c r="B579" i="82"/>
  <c r="B580" i="82"/>
  <c r="B581" i="82"/>
  <c r="B582" i="82"/>
  <c r="B583" i="82"/>
  <c r="B584" i="82"/>
  <c r="B585" i="82"/>
  <c r="B586" i="82"/>
  <c r="B587" i="82"/>
  <c r="B588" i="82"/>
  <c r="B589" i="82"/>
  <c r="B590" i="82"/>
  <c r="B591" i="82"/>
  <c r="B592" i="82"/>
  <c r="B593" i="82"/>
  <c r="B594" i="82"/>
  <c r="B595" i="82"/>
  <c r="B596" i="82"/>
  <c r="B597" i="82"/>
  <c r="B598" i="82"/>
  <c r="B599" i="82"/>
  <c r="B600" i="82"/>
  <c r="B601" i="82"/>
  <c r="B602" i="82"/>
  <c r="B603" i="82"/>
  <c r="B604" i="82"/>
  <c r="B605" i="82"/>
  <c r="B606" i="82"/>
  <c r="B607" i="82"/>
  <c r="B608" i="82"/>
  <c r="B609" i="82"/>
  <c r="B610" i="82"/>
  <c r="B611" i="82"/>
  <c r="B612" i="82"/>
  <c r="B613" i="82"/>
  <c r="B614" i="82"/>
  <c r="B615" i="82"/>
  <c r="B616" i="82"/>
  <c r="B617" i="82"/>
  <c r="B618" i="82"/>
  <c r="B619" i="82"/>
  <c r="B620" i="82"/>
  <c r="B621" i="82"/>
  <c r="B622" i="82"/>
  <c r="B623" i="82"/>
  <c r="B624" i="82"/>
  <c r="B625" i="82"/>
  <c r="B626" i="82"/>
  <c r="B627" i="82"/>
  <c r="B628" i="82"/>
  <c r="B629" i="82"/>
  <c r="B630" i="82"/>
  <c r="B631" i="82"/>
  <c r="B632" i="82"/>
  <c r="B633" i="82"/>
  <c r="B634" i="82"/>
  <c r="B635" i="82"/>
  <c r="B636" i="82"/>
  <c r="B637" i="82"/>
  <c r="B638" i="82"/>
  <c r="B639" i="82"/>
  <c r="B640" i="82"/>
  <c r="B641" i="82"/>
  <c r="B642" i="82"/>
  <c r="B643" i="82"/>
  <c r="B644" i="82"/>
  <c r="B645" i="82"/>
  <c r="B646" i="82"/>
  <c r="B647" i="82"/>
  <c r="B648" i="82"/>
  <c r="B649" i="82"/>
  <c r="B650" i="82"/>
  <c r="B651" i="82"/>
  <c r="B652" i="82"/>
  <c r="B653" i="82"/>
  <c r="B654" i="82"/>
  <c r="B655" i="82"/>
  <c r="B656" i="82"/>
  <c r="B657" i="82"/>
  <c r="B658" i="82"/>
  <c r="B659" i="82"/>
  <c r="B660" i="82"/>
  <c r="B661" i="82"/>
  <c r="B662" i="82"/>
  <c r="B663" i="82"/>
  <c r="B664" i="82"/>
  <c r="B665" i="82"/>
  <c r="B666" i="82"/>
  <c r="B667" i="82"/>
  <c r="B668" i="82"/>
  <c r="B669" i="82"/>
  <c r="B670" i="82"/>
  <c r="B671" i="82"/>
  <c r="B672" i="82"/>
  <c r="B673" i="82"/>
  <c r="B674" i="82"/>
  <c r="B675" i="82"/>
  <c r="B676" i="82"/>
  <c r="B677" i="82"/>
  <c r="B678" i="82"/>
  <c r="B679" i="82"/>
  <c r="B680" i="82"/>
  <c r="B681" i="82"/>
  <c r="B682" i="82"/>
  <c r="B683" i="82"/>
  <c r="B684" i="82"/>
  <c r="B685" i="82"/>
  <c r="B686" i="82"/>
  <c r="B687" i="82"/>
  <c r="B688" i="82"/>
  <c r="B689" i="82"/>
  <c r="B690" i="82"/>
  <c r="B691" i="82"/>
  <c r="B692" i="82"/>
  <c r="B693" i="82"/>
  <c r="B694" i="82"/>
  <c r="B695" i="82"/>
  <c r="B696" i="82"/>
  <c r="B697" i="82"/>
  <c r="B698" i="82"/>
  <c r="B699" i="82"/>
  <c r="B700" i="82"/>
  <c r="B701" i="82"/>
  <c r="B702" i="82"/>
  <c r="B703" i="82"/>
  <c r="B704" i="82"/>
  <c r="B705" i="82"/>
  <c r="B706" i="82"/>
  <c r="B707" i="82"/>
  <c r="B708" i="82"/>
  <c r="B709" i="82"/>
  <c r="B710" i="82"/>
  <c r="B711" i="82"/>
  <c r="B712" i="82"/>
  <c r="B713" i="82"/>
  <c r="B714" i="82"/>
  <c r="B715" i="82"/>
  <c r="B716" i="82"/>
  <c r="B717" i="82"/>
  <c r="B718" i="82"/>
  <c r="B719" i="82"/>
  <c r="B720" i="82"/>
  <c r="B721" i="82"/>
  <c r="B722" i="82"/>
  <c r="B723" i="82"/>
  <c r="B724" i="82"/>
  <c r="B725" i="82"/>
  <c r="B726" i="82"/>
  <c r="B727" i="82"/>
  <c r="B728" i="82"/>
  <c r="B729" i="82"/>
  <c r="B730" i="82"/>
  <c r="B731" i="82"/>
  <c r="B732" i="82"/>
  <c r="B733" i="82"/>
  <c r="B734" i="82"/>
  <c r="B735" i="82"/>
  <c r="B736" i="82"/>
  <c r="B737" i="82"/>
  <c r="B738" i="82"/>
  <c r="B739" i="82"/>
  <c r="B740" i="82"/>
  <c r="B741" i="82"/>
  <c r="B742" i="82"/>
  <c r="B743" i="82"/>
  <c r="B744" i="82"/>
  <c r="B745" i="82"/>
  <c r="B746" i="82"/>
  <c r="B747" i="82"/>
  <c r="B748" i="82"/>
  <c r="B749" i="82"/>
  <c r="B750" i="82"/>
  <c r="B751" i="82"/>
  <c r="B752" i="82"/>
  <c r="B753" i="82"/>
  <c r="B754" i="82"/>
  <c r="B755" i="82"/>
  <c r="B756" i="82"/>
  <c r="B757" i="82"/>
  <c r="B758" i="82"/>
  <c r="B759" i="82"/>
  <c r="B760" i="82"/>
  <c r="B761" i="82"/>
  <c r="B762" i="82"/>
  <c r="B763" i="82"/>
  <c r="B764" i="82"/>
  <c r="B765" i="82"/>
  <c r="B766" i="82"/>
  <c r="B767" i="82"/>
  <c r="B768" i="82"/>
  <c r="B769" i="82"/>
  <c r="B770" i="82"/>
  <c r="B771" i="82"/>
  <c r="B772" i="82"/>
  <c r="B773" i="82"/>
  <c r="B774" i="82"/>
  <c r="B775" i="82"/>
  <c r="B776" i="82"/>
  <c r="B777" i="82"/>
  <c r="B778" i="82"/>
  <c r="B779" i="82"/>
  <c r="B780" i="82"/>
  <c r="B781" i="82"/>
  <c r="B782" i="82"/>
  <c r="B783" i="82"/>
  <c r="B784" i="82"/>
  <c r="B785" i="82"/>
  <c r="B786" i="82"/>
  <c r="B787" i="82"/>
  <c r="B788" i="82"/>
  <c r="B789" i="82"/>
  <c r="B790" i="82"/>
  <c r="B791" i="82"/>
  <c r="B792" i="82"/>
  <c r="B793" i="82"/>
  <c r="B794" i="82"/>
  <c r="B795" i="82"/>
  <c r="B796" i="82"/>
  <c r="B797" i="82"/>
  <c r="B798" i="82"/>
  <c r="B799" i="82"/>
  <c r="B800" i="82"/>
  <c r="B801" i="82"/>
  <c r="B802" i="82"/>
  <c r="B803" i="82"/>
  <c r="B804" i="82"/>
  <c r="B805" i="82"/>
  <c r="B806" i="82"/>
  <c r="B807" i="82"/>
  <c r="B808" i="82"/>
  <c r="B809" i="82"/>
  <c r="B810" i="82"/>
  <c r="B811" i="82"/>
  <c r="B812" i="82"/>
  <c r="B813" i="82"/>
  <c r="B814" i="82"/>
  <c r="B815" i="82"/>
  <c r="B816" i="82"/>
  <c r="B817" i="82"/>
  <c r="B818" i="82"/>
  <c r="B819" i="82"/>
  <c r="B820" i="82"/>
  <c r="B821" i="82"/>
  <c r="B822" i="82"/>
  <c r="B823" i="82"/>
  <c r="B824" i="82"/>
  <c r="B825" i="82"/>
  <c r="B826" i="82"/>
  <c r="B827" i="82"/>
  <c r="B828" i="82"/>
  <c r="B829" i="82"/>
  <c r="B830" i="82"/>
  <c r="B831" i="82"/>
  <c r="B832" i="82"/>
  <c r="B833" i="82"/>
  <c r="B834" i="82"/>
  <c r="B835" i="82"/>
  <c r="B836" i="82"/>
  <c r="B837" i="82"/>
  <c r="B838" i="82"/>
  <c r="B839" i="82"/>
  <c r="B840" i="82"/>
  <c r="B841" i="82"/>
  <c r="B842" i="82"/>
  <c r="B843" i="82"/>
  <c r="B844" i="82"/>
  <c r="B845" i="82"/>
  <c r="B846" i="82"/>
  <c r="B847" i="82"/>
  <c r="B848" i="82"/>
  <c r="B849" i="82"/>
  <c r="B850" i="82"/>
  <c r="B851" i="82"/>
  <c r="B852" i="82"/>
  <c r="B853" i="82"/>
  <c r="B854" i="82"/>
  <c r="B855" i="82"/>
  <c r="B856" i="82"/>
  <c r="B857" i="82"/>
  <c r="B858" i="82"/>
  <c r="B859" i="82"/>
  <c r="B860" i="82"/>
  <c r="B861" i="82"/>
  <c r="B862" i="82"/>
  <c r="B863" i="82"/>
  <c r="B864" i="82"/>
  <c r="B865" i="82"/>
  <c r="B866" i="82"/>
  <c r="B867" i="82"/>
  <c r="B868" i="82"/>
  <c r="B869" i="82"/>
  <c r="B870" i="82"/>
  <c r="B871" i="82"/>
  <c r="B872" i="82"/>
  <c r="B873" i="82"/>
  <c r="B874" i="82"/>
  <c r="B875" i="82"/>
  <c r="B876" i="82"/>
  <c r="B877" i="82"/>
  <c r="B878" i="82"/>
  <c r="B879" i="82"/>
  <c r="B880" i="82"/>
  <c r="B881" i="82"/>
  <c r="B882" i="82"/>
  <c r="B883" i="82"/>
  <c r="B884" i="82"/>
  <c r="B885" i="82"/>
  <c r="B886" i="82"/>
  <c r="B887" i="82"/>
  <c r="B888" i="82"/>
  <c r="B889" i="82"/>
  <c r="B890" i="82"/>
  <c r="B891" i="82"/>
  <c r="B892" i="82"/>
  <c r="B893" i="82"/>
  <c r="B894" i="82"/>
  <c r="B895" i="82"/>
  <c r="B896" i="82"/>
  <c r="B897" i="82"/>
  <c r="B898" i="82"/>
  <c r="B899" i="82"/>
  <c r="B900" i="82"/>
  <c r="B901" i="82"/>
  <c r="B902" i="82"/>
  <c r="B903" i="82"/>
  <c r="B904" i="82"/>
  <c r="B905" i="82"/>
  <c r="B906" i="82"/>
  <c r="B907" i="82"/>
  <c r="B908" i="82"/>
  <c r="B909" i="82"/>
  <c r="B910" i="82"/>
  <c r="B911" i="82"/>
  <c r="B912" i="82"/>
  <c r="B913" i="82"/>
  <c r="B914" i="82"/>
  <c r="B915" i="82"/>
  <c r="B916" i="82"/>
  <c r="B917" i="82"/>
  <c r="B918" i="82"/>
  <c r="B919" i="82"/>
  <c r="B920" i="82"/>
  <c r="B921" i="82"/>
  <c r="B922" i="82"/>
  <c r="B923" i="82"/>
  <c r="B924" i="82"/>
  <c r="B925" i="82"/>
  <c r="B926" i="82"/>
  <c r="B927" i="82"/>
  <c r="B928" i="82"/>
  <c r="B929" i="82"/>
  <c r="B930" i="82"/>
  <c r="B931" i="82"/>
  <c r="B932" i="82"/>
  <c r="B933" i="82"/>
  <c r="B934" i="82"/>
  <c r="B935" i="82"/>
  <c r="B936" i="82"/>
  <c r="B937" i="82"/>
  <c r="B938" i="82"/>
  <c r="B939" i="82"/>
  <c r="B940" i="82"/>
  <c r="B941" i="82"/>
  <c r="B942" i="82"/>
  <c r="B943" i="82"/>
  <c r="B944" i="82"/>
  <c r="B945" i="82"/>
  <c r="B946" i="82"/>
  <c r="B947" i="82"/>
  <c r="B948" i="82"/>
  <c r="B949" i="82"/>
  <c r="B950" i="82"/>
  <c r="B951" i="82"/>
  <c r="B952" i="82"/>
  <c r="B953" i="82"/>
  <c r="B954" i="82"/>
  <c r="B955" i="82"/>
  <c r="B956" i="82"/>
  <c r="B957" i="82"/>
  <c r="B958" i="82"/>
  <c r="B959" i="82"/>
  <c r="B960" i="82"/>
  <c r="B961" i="82"/>
  <c r="B962" i="82"/>
  <c r="B963" i="82"/>
  <c r="B964" i="82"/>
  <c r="B965" i="82"/>
  <c r="B966" i="82"/>
  <c r="B967" i="82"/>
  <c r="B968" i="82"/>
  <c r="B969" i="82"/>
  <c r="B970" i="82"/>
  <c r="B971" i="82"/>
  <c r="B972" i="82"/>
  <c r="B973" i="82"/>
  <c r="B974" i="82"/>
  <c r="B975" i="82"/>
  <c r="B976" i="82"/>
  <c r="B977" i="82"/>
  <c r="B978" i="82"/>
  <c r="B979" i="82"/>
  <c r="B980" i="82"/>
  <c r="B981" i="82"/>
  <c r="B982" i="82"/>
  <c r="B983" i="82"/>
  <c r="B984" i="82"/>
  <c r="B985" i="82"/>
  <c r="B986" i="82"/>
  <c r="B987" i="82"/>
  <c r="B988" i="82"/>
  <c r="B989" i="82"/>
  <c r="B990" i="82"/>
  <c r="B991" i="82"/>
  <c r="B992" i="82"/>
  <c r="B993" i="82"/>
  <c r="B994" i="82"/>
  <c r="B995" i="82"/>
  <c r="B996" i="82"/>
  <c r="B997" i="82"/>
  <c r="B998" i="82"/>
  <c r="B999" i="82"/>
  <c r="B1000" i="82"/>
  <c r="X165" i="102"/>
  <c r="L361" i="102"/>
  <c r="T109" i="102"/>
  <c r="T499" i="102"/>
  <c r="AB390" i="102"/>
  <c r="P173" i="102"/>
  <c r="T341" i="102"/>
  <c r="L187" i="102"/>
  <c r="X450" i="102"/>
  <c r="AB27" i="102"/>
  <c r="X106" i="102"/>
  <c r="P19" i="102"/>
  <c r="X285" i="102"/>
  <c r="X146" i="102"/>
  <c r="H465" i="102"/>
  <c r="AB220" i="102"/>
  <c r="X244" i="102"/>
  <c r="L366" i="102"/>
  <c r="L439" i="102"/>
  <c r="X92" i="102"/>
  <c r="X312" i="102"/>
  <c r="AB214" i="102"/>
  <c r="T213" i="102"/>
  <c r="T186" i="102"/>
  <c r="AB102" i="102"/>
  <c r="AB56" i="102"/>
  <c r="AB155" i="102"/>
  <c r="L414" i="102"/>
  <c r="AB237" i="102"/>
  <c r="AB131" i="102"/>
  <c r="T477" i="102"/>
  <c r="X292" i="102"/>
  <c r="L278" i="102"/>
  <c r="H401" i="102"/>
  <c r="T236" i="102"/>
  <c r="P108" i="102"/>
  <c r="L43" i="102"/>
  <c r="L206" i="102"/>
  <c r="L445" i="102"/>
  <c r="AB383" i="102"/>
  <c r="AB199" i="102"/>
  <c r="AB401" i="102"/>
  <c r="L234" i="102"/>
  <c r="AB92" i="102"/>
  <c r="X176" i="102"/>
  <c r="X407" i="102"/>
  <c r="H337" i="102"/>
  <c r="T413" i="102"/>
  <c r="P326" i="102"/>
  <c r="L225" i="102"/>
  <c r="AB273" i="102"/>
  <c r="AB275" i="102"/>
  <c r="L169" i="102"/>
  <c r="X369" i="102"/>
  <c r="X85" i="102"/>
  <c r="AB482" i="102"/>
  <c r="H265" i="102"/>
  <c r="AB316" i="102"/>
  <c r="L197" i="102"/>
  <c r="L242" i="102"/>
  <c r="T21" i="102"/>
  <c r="X19" i="102"/>
  <c r="X10" i="102"/>
  <c r="AB85" i="102"/>
  <c r="AB301" i="102"/>
  <c r="P160" i="102"/>
  <c r="L158" i="102"/>
  <c r="T340" i="102"/>
  <c r="AB213" i="102"/>
  <c r="X44" i="102"/>
  <c r="X274" i="102"/>
  <c r="T29" i="102"/>
  <c r="L102" i="102"/>
  <c r="T32" i="102"/>
  <c r="L294" i="102"/>
  <c r="AB231" i="102"/>
  <c r="AB459" i="102"/>
  <c r="P28" i="102"/>
  <c r="X283" i="102"/>
  <c r="P246" i="102"/>
  <c r="X30" i="102"/>
  <c r="P313" i="102"/>
  <c r="AB428" i="102"/>
  <c r="X476" i="102"/>
  <c r="AB352" i="102"/>
  <c r="X228" i="102"/>
  <c r="X21" i="102"/>
  <c r="AB208" i="102"/>
  <c r="L354" i="102"/>
  <c r="T430" i="102"/>
  <c r="X479" i="102"/>
  <c r="P45" i="102"/>
  <c r="L340" i="102"/>
  <c r="L167" i="102"/>
  <c r="L316" i="102"/>
  <c r="X412" i="102"/>
  <c r="X306" i="102"/>
  <c r="P93" i="102"/>
  <c r="P391" i="102"/>
  <c r="X122" i="102"/>
  <c r="L51" i="102"/>
  <c r="T367" i="102"/>
  <c r="X361" i="102"/>
  <c r="X134" i="102"/>
  <c r="L8" i="102"/>
  <c r="P152" i="102"/>
  <c r="AB469" i="102"/>
  <c r="T57" i="102"/>
  <c r="X227" i="102"/>
  <c r="T286" i="102"/>
  <c r="X203" i="102"/>
  <c r="AB417" i="102"/>
  <c r="T16" i="102"/>
  <c r="X460" i="102"/>
  <c r="AB55" i="102"/>
  <c r="X370" i="102"/>
  <c r="L312" i="102"/>
  <c r="T217" i="102"/>
  <c r="AB418" i="102"/>
  <c r="X441" i="102"/>
  <c r="P267" i="102"/>
  <c r="AB162" i="102"/>
  <c r="X174" i="102"/>
  <c r="AB402" i="102"/>
  <c r="L385" i="102"/>
  <c r="T51" i="102"/>
  <c r="AB356" i="102"/>
  <c r="P263" i="102"/>
  <c r="P54" i="102"/>
  <c r="T476" i="102"/>
  <c r="L443" i="102"/>
  <c r="L409" i="102"/>
  <c r="T346" i="102"/>
  <c r="AB347" i="102"/>
  <c r="X94" i="102"/>
  <c r="X8" i="102"/>
  <c r="L325" i="102"/>
  <c r="X148" i="102"/>
  <c r="T350" i="102"/>
  <c r="X235" i="102"/>
  <c r="P118" i="102"/>
  <c r="X163" i="102"/>
  <c r="T282" i="102"/>
  <c r="AB455" i="102"/>
  <c r="L98" i="102"/>
  <c r="X166" i="102"/>
  <c r="X451" i="102"/>
  <c r="X367" i="102"/>
  <c r="X193" i="102"/>
  <c r="AB381" i="102"/>
  <c r="X80" i="102"/>
  <c r="T113" i="102"/>
  <c r="AB465" i="102"/>
  <c r="X45" i="102"/>
  <c r="AB272" i="102"/>
  <c r="T271" i="102"/>
  <c r="P381" i="102"/>
  <c r="AB373" i="102"/>
  <c r="P423" i="82"/>
  <c r="H331" i="102"/>
  <c r="AB288" i="102"/>
  <c r="T22" i="102"/>
  <c r="AB101" i="102"/>
  <c r="L233" i="102"/>
  <c r="AB182" i="102"/>
  <c r="P274" i="102"/>
  <c r="P110" i="102"/>
  <c r="P377" i="102"/>
  <c r="P104" i="102"/>
  <c r="H428" i="102"/>
  <c r="AB485" i="102"/>
  <c r="L1" i="102"/>
  <c r="P101" i="102"/>
  <c r="L31" i="102"/>
  <c r="T431" i="102"/>
  <c r="L95" i="102"/>
  <c r="AB230" i="102"/>
  <c r="AB216" i="102"/>
  <c r="X454" i="102"/>
  <c r="AB484" i="102"/>
  <c r="T400" i="102"/>
  <c r="P212" i="102"/>
  <c r="X104" i="102"/>
  <c r="AB57" i="102"/>
  <c r="X434" i="102"/>
  <c r="T496" i="102"/>
  <c r="P23" i="102"/>
  <c r="X438" i="102"/>
  <c r="L179" i="102"/>
  <c r="T376" i="102"/>
  <c r="L397" i="102"/>
  <c r="AB329" i="102"/>
  <c r="T226" i="102"/>
  <c r="X16" i="102"/>
  <c r="T237" i="102"/>
  <c r="AB19" i="102"/>
  <c r="AB454" i="102"/>
  <c r="P88" i="102"/>
  <c r="AB224" i="102"/>
  <c r="T427" i="102"/>
  <c r="AB14" i="102"/>
  <c r="X500" i="102"/>
  <c r="AB90" i="102"/>
  <c r="P279" i="102"/>
  <c r="AB276" i="102"/>
  <c r="T9" i="102"/>
  <c r="X381" i="102"/>
  <c r="T78" i="102"/>
  <c r="AB261" i="102"/>
  <c r="X93" i="102"/>
  <c r="P262" i="102"/>
  <c r="X271" i="102"/>
  <c r="P245" i="102"/>
  <c r="T232" i="102"/>
  <c r="AB318" i="102"/>
  <c r="L256" i="102"/>
  <c r="L107" i="102"/>
  <c r="AB268" i="102"/>
  <c r="X237" i="102"/>
  <c r="AB169" i="102"/>
  <c r="P90" i="102"/>
  <c r="AB355" i="102"/>
  <c r="AB226" i="102"/>
  <c r="AB488" i="102"/>
  <c r="T148" i="102"/>
  <c r="L486" i="102"/>
  <c r="AB16" i="102"/>
  <c r="P91" i="102"/>
  <c r="P209" i="102"/>
  <c r="AB130" i="102"/>
  <c r="P420" i="102"/>
  <c r="X253" i="102"/>
  <c r="AB170" i="102"/>
  <c r="T314" i="102"/>
  <c r="X414" i="102"/>
  <c r="L22" i="102"/>
  <c r="X487" i="102"/>
  <c r="T473" i="102"/>
  <c r="T150" i="102"/>
  <c r="AB490" i="102"/>
  <c r="L433" i="102"/>
  <c r="T418" i="102"/>
  <c r="AB21" i="102"/>
  <c r="T108" i="102"/>
  <c r="T414" i="102"/>
  <c r="P463" i="102"/>
  <c r="P207" i="102"/>
  <c r="AB443" i="102"/>
  <c r="P172" i="102"/>
  <c r="X484" i="102"/>
  <c r="T84" i="102"/>
  <c r="AB245" i="102"/>
  <c r="X375" i="102"/>
  <c r="AB233" i="102"/>
  <c r="AB496" i="102"/>
  <c r="AB333" i="102"/>
  <c r="P364" i="102"/>
  <c r="P291" i="102"/>
  <c r="AB326" i="102"/>
  <c r="P343" i="102"/>
  <c r="P37" i="102"/>
  <c r="X37" i="102"/>
  <c r="P292" i="102"/>
  <c r="AB117" i="102"/>
  <c r="L261" i="102"/>
  <c r="P424" i="102"/>
  <c r="L498" i="102"/>
  <c r="AB143" i="102"/>
  <c r="H452" i="102"/>
  <c r="AB435" i="102"/>
  <c r="AB345" i="102"/>
  <c r="P148" i="102"/>
  <c r="L30" i="102"/>
  <c r="T56" i="102"/>
  <c r="X133" i="102"/>
  <c r="AB466" i="102"/>
  <c r="X29" i="102"/>
  <c r="P472" i="102"/>
  <c r="P399" i="102"/>
  <c r="T451" i="102"/>
  <c r="AB32" i="102"/>
  <c r="AB12" i="102"/>
  <c r="X468" i="102"/>
  <c r="AB403" i="102"/>
  <c r="T34" i="102"/>
  <c r="AB38" i="102"/>
  <c r="X324" i="102"/>
  <c r="T361" i="102"/>
  <c r="X87" i="102"/>
  <c r="T83" i="102"/>
  <c r="P355" i="102"/>
  <c r="P224" i="102"/>
  <c r="AB235" i="102"/>
  <c r="P385" i="102"/>
  <c r="P340" i="102"/>
  <c r="X431" i="102"/>
  <c r="L159" i="102"/>
  <c r="L86" i="102"/>
  <c r="AB127" i="102"/>
  <c r="P217" i="102"/>
  <c r="AB26" i="102"/>
  <c r="AB302" i="102"/>
  <c r="T270" i="102"/>
  <c r="T91" i="102"/>
  <c r="L140" i="102"/>
  <c r="AB289" i="102"/>
  <c r="P412" i="102"/>
  <c r="X226" i="102"/>
  <c r="X403" i="102"/>
  <c r="P18" i="102"/>
  <c r="X90" i="102"/>
  <c r="L85" i="102"/>
  <c r="X6" i="102"/>
  <c r="X205" i="102"/>
  <c r="T364" i="102"/>
  <c r="L411" i="102"/>
  <c r="T158" i="102"/>
  <c r="H419" i="102"/>
  <c r="X114" i="102"/>
  <c r="P49" i="102"/>
  <c r="P323" i="82"/>
  <c r="P242" i="102"/>
  <c r="AB125" i="102"/>
  <c r="H346" i="102"/>
  <c r="AB145" i="102"/>
  <c r="P227" i="102"/>
  <c r="X160" i="102"/>
  <c r="T54" i="102"/>
  <c r="P413" i="102"/>
  <c r="L392" i="102"/>
  <c r="X275" i="102"/>
  <c r="X240" i="102"/>
  <c r="L297" i="102"/>
  <c r="T106" i="102"/>
  <c r="X437" i="102"/>
  <c r="P144" i="102"/>
  <c r="H393" i="102"/>
  <c r="AB246" i="102"/>
  <c r="AB190" i="102"/>
  <c r="P494" i="102"/>
  <c r="L378" i="102"/>
  <c r="H10" i="102"/>
  <c r="AB192" i="102"/>
  <c r="P349" i="102"/>
  <c r="AB259" i="102"/>
  <c r="T353" i="102"/>
  <c r="AB67" i="102"/>
  <c r="P325" i="102"/>
  <c r="L298" i="102"/>
  <c r="T39" i="102"/>
  <c r="P464" i="102"/>
  <c r="AB411" i="102"/>
  <c r="X47" i="102"/>
  <c r="X127" i="102"/>
  <c r="X199" i="102"/>
  <c r="AB139" i="102"/>
  <c r="X346" i="102"/>
  <c r="X372" i="102"/>
  <c r="T241" i="102"/>
  <c r="X387" i="102"/>
  <c r="P390" i="102"/>
  <c r="T192" i="102"/>
  <c r="X452" i="102"/>
  <c r="T93" i="102"/>
  <c r="AB256" i="102"/>
  <c r="T272" i="102"/>
  <c r="X418" i="102"/>
  <c r="X257" i="102"/>
  <c r="X410" i="102"/>
  <c r="T352" i="102"/>
  <c r="L367" i="102"/>
  <c r="L39" i="102"/>
  <c r="AB123" i="102"/>
  <c r="T25" i="102"/>
  <c r="P447" i="102"/>
  <c r="AB35" i="102"/>
  <c r="T420" i="102"/>
  <c r="AB421" i="102"/>
  <c r="T456" i="102"/>
  <c r="AB487" i="102"/>
  <c r="X259" i="102"/>
  <c r="AB379" i="102"/>
  <c r="T122" i="102"/>
  <c r="P284" i="102"/>
  <c r="P164" i="102"/>
  <c r="L248" i="102"/>
  <c r="L50" i="102"/>
  <c r="L196" i="102"/>
  <c r="AB99" i="102"/>
  <c r="L120" i="102"/>
  <c r="AB368" i="102"/>
  <c r="P273" i="102"/>
  <c r="P408" i="102"/>
  <c r="T225" i="102"/>
  <c r="AB458" i="102"/>
  <c r="L89" i="102"/>
  <c r="T215" i="102"/>
  <c r="X340" i="102"/>
  <c r="X201" i="102"/>
  <c r="P430" i="102"/>
  <c r="L396" i="102"/>
  <c r="AB98" i="102"/>
  <c r="L341" i="102"/>
  <c r="T229" i="102"/>
  <c r="X236" i="102"/>
  <c r="P83" i="102"/>
  <c r="T194" i="102"/>
  <c r="X380" i="102"/>
  <c r="AB432" i="102"/>
  <c r="X54" i="102"/>
  <c r="X470" i="102"/>
  <c r="P298" i="102"/>
  <c r="X279" i="102"/>
  <c r="L320" i="102"/>
  <c r="AB189" i="102"/>
  <c r="P257" i="102"/>
  <c r="X111" i="102"/>
  <c r="P353" i="102"/>
  <c r="AB270" i="102"/>
  <c r="L303" i="102"/>
  <c r="X13" i="102"/>
  <c r="L418" i="102"/>
  <c r="X11" i="102"/>
  <c r="T45" i="102"/>
  <c r="P137" i="102"/>
  <c r="X379" i="102"/>
  <c r="AB179" i="102"/>
  <c r="H457" i="102"/>
  <c r="T212" i="102"/>
  <c r="X183" i="102"/>
  <c r="L315" i="102"/>
  <c r="L286" i="102"/>
  <c r="P366" i="102"/>
  <c r="AB173" i="102"/>
  <c r="AB292" i="102"/>
  <c r="T276" i="102"/>
  <c r="AB229" i="102"/>
  <c r="T42" i="102"/>
  <c r="X118" i="102"/>
  <c r="T250" i="102"/>
  <c r="X288" i="102"/>
  <c r="X147" i="102"/>
  <c r="AB271" i="102"/>
  <c r="L379" i="102"/>
  <c r="AB384" i="102"/>
  <c r="P127" i="102"/>
  <c r="T89" i="102"/>
  <c r="P208" i="102"/>
  <c r="AB493" i="102"/>
  <c r="AB400" i="102"/>
  <c r="X59" i="102"/>
  <c r="P272" i="102"/>
  <c r="AB156" i="102"/>
  <c r="X190" i="102"/>
  <c r="AB483" i="102"/>
  <c r="AB148" i="102"/>
  <c r="L482" i="102"/>
  <c r="P337" i="102"/>
  <c r="X404" i="102"/>
  <c r="T81" i="102"/>
  <c r="X143" i="102"/>
  <c r="L359" i="102"/>
  <c r="AB404" i="102"/>
  <c r="X238" i="102"/>
  <c r="AB180" i="102"/>
  <c r="L487" i="102"/>
  <c r="L34" i="102"/>
  <c r="AB346" i="102"/>
  <c r="AB284" i="102"/>
  <c r="X182" i="102"/>
  <c r="P395" i="102"/>
  <c r="T312" i="102"/>
  <c r="AB419" i="102"/>
  <c r="T96" i="102"/>
  <c r="T440" i="102"/>
  <c r="X360" i="102"/>
  <c r="X458" i="102"/>
  <c r="H137" i="102"/>
  <c r="T380" i="102"/>
  <c r="L404" i="102"/>
  <c r="L260" i="102"/>
  <c r="AB45" i="102"/>
  <c r="AB474" i="102"/>
  <c r="L178" i="102"/>
  <c r="T306" i="102"/>
  <c r="P456" i="102"/>
  <c r="P99" i="102"/>
  <c r="X77" i="102"/>
  <c r="L4" i="102"/>
  <c r="AB468" i="102"/>
  <c r="P347" i="102"/>
  <c r="AB72" i="102"/>
  <c r="L226" i="102"/>
  <c r="X189" i="102"/>
  <c r="L216" i="102"/>
  <c r="P26" i="102"/>
  <c r="L311" i="102"/>
  <c r="P146" i="102"/>
  <c r="AB76" i="102"/>
  <c r="P73" i="102"/>
  <c r="AB328" i="102"/>
  <c r="T345" i="102"/>
  <c r="P459" i="102"/>
  <c r="X239" i="102"/>
  <c r="X212" i="102"/>
  <c r="L436" i="102"/>
  <c r="P441" i="102"/>
  <c r="T391" i="102"/>
  <c r="X307" i="102"/>
  <c r="AB337" i="102"/>
  <c r="L252" i="102"/>
  <c r="AB420" i="102"/>
  <c r="T290" i="102"/>
  <c r="AB363" i="102"/>
  <c r="AB151" i="102"/>
  <c r="AB305" i="102"/>
  <c r="AB350" i="102"/>
  <c r="T372" i="102"/>
  <c r="L449" i="102"/>
  <c r="X362" i="102"/>
  <c r="X459" i="102"/>
  <c r="AB360" i="102"/>
  <c r="L270" i="102"/>
  <c r="X314" i="102"/>
  <c r="X486" i="102"/>
  <c r="H26" i="102"/>
  <c r="X305" i="102"/>
  <c r="X492" i="102"/>
  <c r="L495" i="102"/>
  <c r="X428" i="102"/>
  <c r="T41" i="102"/>
  <c r="AB47" i="102"/>
  <c r="P216" i="102"/>
  <c r="T154" i="102"/>
  <c r="P296" i="102"/>
  <c r="L56" i="102"/>
  <c r="L322" i="102"/>
  <c r="AB437" i="102"/>
  <c r="AB434" i="102"/>
  <c r="P378" i="82"/>
  <c r="AB204" i="102"/>
  <c r="L106" i="102"/>
  <c r="L231" i="102"/>
  <c r="L295" i="102"/>
  <c r="L124" i="102"/>
  <c r="X443" i="102"/>
  <c r="X343" i="102"/>
  <c r="P210" i="102"/>
  <c r="P228" i="102"/>
  <c r="X456" i="102"/>
  <c r="P73" i="82"/>
  <c r="T92" i="102"/>
  <c r="X5" i="102"/>
  <c r="T463" i="102"/>
  <c r="L369" i="102"/>
  <c r="X248" i="102"/>
  <c r="X89" i="102"/>
  <c r="X46" i="102"/>
  <c r="L384" i="102"/>
  <c r="X76" i="102"/>
  <c r="H446" i="102"/>
  <c r="P253" i="102"/>
  <c r="T206" i="102"/>
  <c r="AB433" i="102"/>
  <c r="P71" i="102"/>
  <c r="AB470" i="102"/>
  <c r="AB11" i="102"/>
  <c r="T332" i="102"/>
  <c r="T88" i="102"/>
  <c r="T177" i="102"/>
  <c r="AB84" i="102"/>
  <c r="T370" i="102"/>
  <c r="T491" i="102"/>
  <c r="X229" i="102"/>
  <c r="T221" i="102"/>
  <c r="AB264" i="102"/>
  <c r="P11" i="102"/>
  <c r="X208" i="102"/>
  <c r="L331" i="102"/>
  <c r="X144" i="102"/>
  <c r="T207" i="102"/>
  <c r="X63" i="102"/>
  <c r="X469" i="102"/>
  <c r="T320" i="102"/>
  <c r="T284" i="102"/>
  <c r="T72" i="102"/>
  <c r="T170" i="102"/>
  <c r="X216" i="102"/>
  <c r="X440" i="102"/>
  <c r="AB278" i="102"/>
  <c r="P285" i="102"/>
  <c r="T334" i="102"/>
  <c r="L42" i="102"/>
  <c r="L14" i="102"/>
  <c r="AB446" i="102"/>
  <c r="X390" i="102"/>
  <c r="X26" i="102"/>
  <c r="X186" i="102"/>
  <c r="AB312" i="102"/>
  <c r="AB75" i="102"/>
  <c r="T249" i="102"/>
  <c r="P10" i="102"/>
  <c r="X447" i="102"/>
  <c r="T209" i="102"/>
  <c r="T147" i="102"/>
  <c r="H193" i="102"/>
  <c r="T100" i="102"/>
  <c r="X159" i="102"/>
  <c r="AB232" i="102"/>
  <c r="X115" i="102"/>
  <c r="T127" i="102"/>
  <c r="AB244" i="102"/>
  <c r="X152" i="102"/>
  <c r="P129" i="102"/>
  <c r="AB364" i="102"/>
  <c r="AB87" i="102"/>
  <c r="P218" i="102"/>
  <c r="X254" i="102"/>
  <c r="AB317" i="102"/>
  <c r="X425" i="102"/>
  <c r="X341" i="102"/>
  <c r="T44" i="102"/>
  <c r="L150" i="102"/>
  <c r="X155" i="102"/>
  <c r="T97" i="102"/>
  <c r="X137" i="102"/>
  <c r="P143" i="102"/>
  <c r="X141" i="102"/>
  <c r="L417" i="102"/>
  <c r="X430" i="102"/>
  <c r="X411" i="102"/>
  <c r="P229" i="102"/>
  <c r="AB39" i="102"/>
  <c r="P471" i="102"/>
  <c r="AB492" i="102"/>
  <c r="X117" i="102"/>
  <c r="X464" i="102"/>
  <c r="T33" i="102"/>
  <c r="T223" i="102"/>
  <c r="H335" i="102"/>
  <c r="AB344" i="102"/>
  <c r="X453" i="102"/>
  <c r="T157" i="102"/>
  <c r="X332" i="102"/>
  <c r="L122" i="102"/>
  <c r="L314" i="102"/>
  <c r="AB7" i="102"/>
  <c r="X294" i="102"/>
  <c r="T169" i="102"/>
  <c r="X339" i="102"/>
  <c r="AB253" i="102"/>
  <c r="L425" i="102"/>
  <c r="X337" i="102"/>
  <c r="P465" i="102"/>
  <c r="T12" i="102"/>
  <c r="X355" i="102"/>
  <c r="P135" i="102"/>
  <c r="T101" i="102"/>
  <c r="AB491" i="102"/>
  <c r="X99" i="102"/>
  <c r="P44" i="102"/>
  <c r="P233" i="102"/>
  <c r="AB147" i="102"/>
  <c r="AB340" i="102"/>
  <c r="X58" i="102"/>
  <c r="P29" i="102"/>
  <c r="P32" i="102"/>
  <c r="AB248" i="102"/>
  <c r="L353" i="102"/>
  <c r="P163" i="102"/>
  <c r="H424" i="102"/>
  <c r="T362" i="102"/>
  <c r="X222" i="102"/>
  <c r="L94" i="102"/>
  <c r="AB121" i="102"/>
  <c r="AB495" i="102"/>
  <c r="L420" i="102"/>
  <c r="X145" i="102"/>
  <c r="AB323" i="102"/>
  <c r="X220" i="102"/>
  <c r="X262" i="102"/>
  <c r="AB174" i="102"/>
  <c r="T305" i="102"/>
  <c r="L427" i="102"/>
  <c r="X231" i="102"/>
  <c r="P16" i="102"/>
  <c r="L205" i="102"/>
  <c r="L448" i="102"/>
  <c r="L141" i="102"/>
  <c r="H443" i="102"/>
  <c r="L251" i="102"/>
  <c r="X211" i="102"/>
  <c r="X66" i="102"/>
  <c r="L323" i="102"/>
  <c r="T313" i="102"/>
  <c r="AB136" i="102"/>
  <c r="X480" i="102"/>
  <c r="AB128" i="102"/>
  <c r="P57" i="102"/>
  <c r="P130" i="102"/>
  <c r="X333" i="102"/>
  <c r="X20" i="102"/>
  <c r="P215" i="102"/>
  <c r="X55" i="102"/>
  <c r="X28" i="102"/>
  <c r="AB438" i="102"/>
  <c r="L362" i="102"/>
  <c r="P219" i="102"/>
  <c r="X378" i="102"/>
  <c r="AB152" i="102"/>
  <c r="X138" i="102"/>
  <c r="AB240" i="102"/>
  <c r="AB310" i="102"/>
  <c r="L136" i="102"/>
  <c r="X280" i="102"/>
  <c r="AB106" i="102"/>
  <c r="L116" i="102"/>
  <c r="AB313" i="102"/>
  <c r="AB371" i="102"/>
  <c r="X477" i="102"/>
  <c r="T480" i="102"/>
  <c r="T408" i="102"/>
  <c r="X374" i="102"/>
  <c r="AB40" i="102"/>
  <c r="AB457" i="102"/>
  <c r="AB439" i="102"/>
  <c r="X167" i="102"/>
  <c r="X161" i="102"/>
  <c r="AB476" i="102"/>
  <c r="X17" i="102"/>
  <c r="X420" i="102"/>
  <c r="AB94" i="102"/>
  <c r="T255" i="102"/>
  <c r="L307" i="102"/>
  <c r="T248" i="102"/>
  <c r="T347" i="102"/>
  <c r="H220" i="102"/>
  <c r="L395" i="102"/>
  <c r="X302" i="102"/>
  <c r="X194" i="102"/>
  <c r="P165" i="102"/>
  <c r="AB188" i="102"/>
  <c r="AB161" i="102"/>
  <c r="T475" i="102"/>
  <c r="T155" i="102"/>
  <c r="T489" i="102"/>
  <c r="P310" i="102"/>
  <c r="P275" i="102"/>
  <c r="X128" i="102"/>
  <c r="X217" i="102"/>
  <c r="H301" i="102"/>
  <c r="AB149" i="102"/>
  <c r="X181" i="102"/>
  <c r="T490" i="102"/>
  <c r="T368" i="102"/>
  <c r="X265" i="102"/>
  <c r="L499" i="102"/>
  <c r="AB243" i="102"/>
  <c r="H98" i="102"/>
  <c r="L47" i="102"/>
  <c r="P376" i="102"/>
  <c r="P168" i="102"/>
  <c r="P322" i="102"/>
  <c r="X156" i="102"/>
  <c r="T409" i="102"/>
  <c r="T441" i="102"/>
  <c r="L387" i="102"/>
  <c r="T183" i="102"/>
  <c r="T356" i="102"/>
  <c r="X219" i="102"/>
  <c r="L253" i="102"/>
  <c r="P400" i="102"/>
  <c r="L103" i="102"/>
  <c r="L470" i="102"/>
  <c r="AB166" i="102"/>
  <c r="AB52" i="102"/>
  <c r="AB320" i="102"/>
  <c r="H81" i="102"/>
  <c r="L25" i="102"/>
  <c r="X483" i="102"/>
  <c r="P457" i="102"/>
  <c r="X475" i="102"/>
  <c r="AB89" i="102"/>
  <c r="P373" i="102"/>
  <c r="T239" i="102"/>
  <c r="P360" i="102"/>
  <c r="AB297" i="102"/>
  <c r="P237" i="102"/>
  <c r="AB377" i="102"/>
  <c r="P440" i="82"/>
  <c r="H392" i="102"/>
  <c r="P309" i="102"/>
  <c r="AB396" i="102"/>
  <c r="T265" i="102"/>
  <c r="X1" i="102"/>
  <c r="AB473" i="102"/>
  <c r="X427" i="102"/>
  <c r="H425" i="102"/>
  <c r="P193" i="102"/>
  <c r="L497" i="102"/>
  <c r="X286" i="102"/>
  <c r="AB467" i="102"/>
  <c r="X270" i="102"/>
  <c r="X495" i="102"/>
  <c r="X338" i="102"/>
  <c r="AB324" i="102"/>
  <c r="H292" i="102"/>
  <c r="P407" i="102"/>
  <c r="X12" i="102"/>
  <c r="H321" i="102"/>
  <c r="H406" i="102"/>
  <c r="T166" i="102"/>
  <c r="X383" i="102"/>
  <c r="X282" i="102"/>
  <c r="P307" i="102"/>
  <c r="L358" i="102"/>
  <c r="P300" i="102"/>
  <c r="AB258" i="102"/>
  <c r="AB41" i="102"/>
  <c r="AB500" i="102"/>
  <c r="X368" i="102"/>
  <c r="X33" i="102"/>
  <c r="X408" i="102"/>
  <c r="X318" i="102"/>
  <c r="H259" i="102"/>
  <c r="T99" i="102"/>
  <c r="T37" i="102"/>
  <c r="X423" i="102"/>
  <c r="P331" i="102"/>
  <c r="X316" i="102"/>
  <c r="X433" i="102"/>
  <c r="X463" i="102"/>
  <c r="X233" i="102"/>
  <c r="T299" i="102"/>
  <c r="P145" i="102"/>
  <c r="T292" i="102"/>
  <c r="AB294" i="102"/>
  <c r="L406" i="102"/>
  <c r="L491" i="102"/>
  <c r="T142" i="102"/>
  <c r="AB283" i="102"/>
  <c r="P327" i="102"/>
  <c r="L413" i="102"/>
  <c r="AB158" i="102"/>
  <c r="X71" i="102"/>
  <c r="AB425" i="102"/>
  <c r="X416" i="102"/>
  <c r="T94" i="102"/>
  <c r="X493" i="102"/>
  <c r="AB308" i="102"/>
  <c r="X317" i="102"/>
  <c r="X315" i="102"/>
  <c r="AB451" i="102"/>
  <c r="T172" i="102"/>
  <c r="T138" i="102"/>
  <c r="H314" i="102"/>
  <c r="X86" i="102"/>
  <c r="T469" i="102"/>
  <c r="X230" i="102"/>
  <c r="L78" i="102"/>
  <c r="AB321" i="102"/>
  <c r="X462" i="102"/>
  <c r="L60" i="102"/>
  <c r="X179" i="102"/>
  <c r="AB8" i="102"/>
  <c r="X435" i="102"/>
  <c r="P221" i="102"/>
  <c r="L478" i="102"/>
  <c r="X140" i="102"/>
  <c r="AB4" i="102"/>
  <c r="H468" i="102"/>
  <c r="L372" i="102"/>
  <c r="T7" i="102"/>
  <c r="AB299" i="102"/>
  <c r="X276" i="102"/>
  <c r="T355" i="102"/>
  <c r="T222" i="102"/>
  <c r="AB63" i="102"/>
  <c r="T399" i="102"/>
  <c r="T482" i="102"/>
  <c r="T173" i="102"/>
  <c r="T14" i="102"/>
  <c r="X389" i="102"/>
  <c r="AB61" i="102"/>
  <c r="P15" i="102"/>
  <c r="P352" i="102"/>
  <c r="X488" i="102"/>
  <c r="L133" i="102"/>
  <c r="L195" i="102"/>
  <c r="X326" i="102"/>
  <c r="X485" i="102"/>
  <c r="L289" i="102"/>
  <c r="T378" i="102"/>
  <c r="P63" i="102"/>
  <c r="AB178" i="102"/>
  <c r="T358" i="102"/>
  <c r="P449" i="102"/>
  <c r="P493" i="102"/>
  <c r="L370" i="102"/>
  <c r="H129" i="102"/>
  <c r="P232" i="102"/>
  <c r="AB429" i="102"/>
  <c r="X135" i="102"/>
  <c r="X14" i="102"/>
  <c r="P157" i="102"/>
  <c r="X388" i="102"/>
  <c r="X297" i="102"/>
  <c r="AB442" i="102"/>
  <c r="L235" i="102"/>
  <c r="L214" i="102"/>
  <c r="AB202" i="102"/>
  <c r="X478" i="102"/>
  <c r="X497" i="102"/>
  <c r="T371" i="102"/>
  <c r="X170" i="102"/>
  <c r="AB112" i="102"/>
  <c r="AB100" i="102"/>
  <c r="L13" i="102"/>
  <c r="T478" i="102"/>
  <c r="T498" i="102"/>
  <c r="AB124" i="102"/>
  <c r="AB475" i="102"/>
  <c r="P17" i="102"/>
  <c r="AB195" i="102"/>
  <c r="P387" i="82"/>
  <c r="X96" i="102"/>
  <c r="X319" i="102"/>
  <c r="X494" i="102"/>
  <c r="AB348" i="102"/>
  <c r="P198" i="102"/>
  <c r="AB293" i="102"/>
  <c r="P181" i="102"/>
  <c r="AB50" i="102"/>
  <c r="AB306" i="102"/>
  <c r="X51" i="102"/>
  <c r="T479" i="102"/>
  <c r="AB309" i="102"/>
  <c r="P282" i="102"/>
  <c r="T242" i="102"/>
  <c r="L469" i="102"/>
  <c r="X347" i="102"/>
  <c r="T410" i="102"/>
  <c r="T73" i="102"/>
  <c r="T120" i="102"/>
  <c r="P84" i="102"/>
  <c r="L328" i="102"/>
  <c r="X125" i="102"/>
  <c r="P24" i="102"/>
  <c r="X353" i="102"/>
  <c r="AB126" i="102"/>
  <c r="X442" i="102"/>
  <c r="T27" i="102"/>
  <c r="AB78" i="102"/>
  <c r="L153" i="102"/>
  <c r="AB69" i="102"/>
  <c r="T300" i="102"/>
  <c r="X202" i="102"/>
  <c r="T344" i="102"/>
  <c r="P1" i="102"/>
  <c r="AB327" i="102"/>
  <c r="AB241" i="102"/>
  <c r="T307" i="102"/>
  <c r="H381" i="102"/>
  <c r="L175" i="102"/>
  <c r="L21" i="102"/>
  <c r="X72" i="102"/>
  <c r="H453" i="102"/>
  <c r="AB322" i="102"/>
  <c r="L132" i="102"/>
  <c r="T17" i="102"/>
  <c r="T403" i="102"/>
  <c r="X320" i="102"/>
  <c r="X60" i="102"/>
  <c r="X352" i="102"/>
  <c r="T86" i="102"/>
  <c r="AB298" i="102"/>
  <c r="H434" i="102"/>
  <c r="T455" i="102"/>
  <c r="X53" i="102"/>
  <c r="T38" i="102"/>
  <c r="X195" i="102"/>
  <c r="X277" i="102"/>
  <c r="X461" i="102"/>
  <c r="AB274" i="102"/>
  <c r="L186" i="102"/>
  <c r="AB13" i="102"/>
  <c r="X309" i="102"/>
  <c r="X112" i="102"/>
  <c r="T90" i="102"/>
  <c r="T227" i="102"/>
  <c r="P75" i="102"/>
  <c r="P301" i="102"/>
  <c r="X356" i="102"/>
  <c r="P258" i="102"/>
  <c r="X252" i="102"/>
  <c r="X75" i="102"/>
  <c r="P374" i="102"/>
  <c r="AB10" i="102"/>
  <c r="AB254" i="102"/>
  <c r="X466" i="102"/>
  <c r="X67" i="102"/>
  <c r="T297" i="102"/>
  <c r="X70" i="102"/>
  <c r="X328" i="102"/>
  <c r="X245" i="102"/>
  <c r="AB83" i="102"/>
  <c r="AB20" i="102"/>
  <c r="P348" i="102"/>
  <c r="X429" i="102"/>
  <c r="L114" i="102"/>
  <c r="P288" i="102"/>
  <c r="P191" i="102"/>
  <c r="L166" i="102"/>
  <c r="P194" i="102"/>
  <c r="P195" i="102"/>
  <c r="L300" i="102"/>
  <c r="AB489" i="102"/>
  <c r="X100" i="102"/>
  <c r="AB37" i="102"/>
  <c r="T301" i="102"/>
  <c r="AB54" i="102"/>
  <c r="L402" i="102"/>
  <c r="P491" i="102"/>
  <c r="H64" i="102"/>
  <c r="P409" i="82"/>
  <c r="X432" i="102"/>
  <c r="P485" i="102"/>
  <c r="T201" i="102"/>
  <c r="X153" i="102"/>
  <c r="T330" i="102"/>
  <c r="T107" i="102"/>
  <c r="L29" i="102"/>
  <c r="AB18" i="102"/>
  <c r="T146" i="102"/>
  <c r="AB206" i="102"/>
  <c r="X377" i="102"/>
  <c r="P92" i="102"/>
  <c r="X419" i="102"/>
  <c r="AB239" i="102"/>
  <c r="AB212" i="102"/>
  <c r="X472" i="102"/>
  <c r="X91" i="102"/>
  <c r="AB393" i="102"/>
  <c r="T105" i="102"/>
  <c r="P477" i="102"/>
  <c r="L161" i="102"/>
  <c r="AB184" i="102"/>
  <c r="L204" i="102"/>
  <c r="T369" i="102"/>
  <c r="T149" i="102"/>
  <c r="T278" i="102"/>
  <c r="X200" i="102"/>
  <c r="P190" i="102"/>
  <c r="P410" i="102"/>
  <c r="P324" i="102"/>
  <c r="X417" i="102"/>
  <c r="P66" i="102"/>
  <c r="P386" i="102"/>
  <c r="L97" i="102"/>
  <c r="AB249" i="102"/>
  <c r="L324" i="102"/>
  <c r="AB218" i="102"/>
  <c r="X445" i="102"/>
  <c r="AB447" i="102"/>
  <c r="AB359" i="102"/>
  <c r="X38" i="102"/>
  <c r="AB140" i="102"/>
  <c r="AB444" i="102"/>
  <c r="T348" i="102"/>
  <c r="L184" i="102"/>
  <c r="H487" i="102"/>
  <c r="P35" i="102"/>
  <c r="P338" i="102"/>
  <c r="AB471" i="102"/>
  <c r="X52" i="102"/>
  <c r="X310" i="102"/>
  <c r="X496" i="102"/>
  <c r="H145" i="102"/>
  <c r="AB228" i="102"/>
  <c r="H15" i="102"/>
  <c r="P50" i="82"/>
  <c r="H358" i="102"/>
  <c r="H177" i="102"/>
  <c r="X173" i="102"/>
  <c r="X256" i="102"/>
  <c r="X168" i="102"/>
  <c r="L11" i="102"/>
  <c r="T218" i="102"/>
  <c r="AB295" i="102"/>
  <c r="L494" i="102"/>
  <c r="L138" i="102"/>
  <c r="P42" i="82"/>
  <c r="H463" i="102"/>
  <c r="X188" i="102"/>
  <c r="L345" i="102"/>
  <c r="T102" i="102"/>
  <c r="X455" i="102"/>
  <c r="X373" i="102"/>
  <c r="L53" i="102"/>
  <c r="H53" i="102"/>
  <c r="AB191" i="102"/>
  <c r="L368" i="102"/>
  <c r="X354" i="102"/>
  <c r="P302" i="102"/>
  <c r="L332" i="102"/>
  <c r="AB23" i="102"/>
  <c r="L365" i="102"/>
  <c r="L67" i="102"/>
  <c r="P20" i="102"/>
  <c r="T156" i="102"/>
  <c r="T199" i="102"/>
  <c r="T407" i="102"/>
  <c r="AB266" i="102"/>
  <c r="X263" i="102"/>
  <c r="AB392" i="102"/>
  <c r="X206" i="102"/>
  <c r="AB410" i="102"/>
  <c r="AB119" i="102"/>
  <c r="AB269" i="102"/>
  <c r="AB81" i="102"/>
  <c r="AB460" i="102"/>
  <c r="P254" i="102"/>
  <c r="T165" i="102"/>
  <c r="X157" i="102"/>
  <c r="P156" i="102"/>
  <c r="P6" i="102"/>
  <c r="P121" i="102"/>
  <c r="L485" i="102"/>
  <c r="L452" i="102"/>
  <c r="X399" i="102"/>
  <c r="P139" i="102"/>
  <c r="P362" i="82"/>
  <c r="P185" i="102"/>
  <c r="X110" i="102"/>
  <c r="X406" i="102"/>
  <c r="T115" i="102"/>
  <c r="L222" i="102"/>
  <c r="AB281" i="102"/>
  <c r="L422" i="102"/>
  <c r="AB17" i="102"/>
  <c r="X83" i="102"/>
  <c r="T230" i="102"/>
  <c r="AB331" i="102"/>
  <c r="AB201" i="102"/>
  <c r="X296" i="102"/>
  <c r="P74" i="102"/>
  <c r="L189" i="102"/>
  <c r="P36" i="102"/>
  <c r="L111" i="102"/>
  <c r="X218" i="102"/>
  <c r="T289" i="102"/>
  <c r="AB159" i="102"/>
  <c r="X300" i="102"/>
  <c r="P304" i="102"/>
  <c r="L269" i="102"/>
  <c r="T143" i="102"/>
  <c r="AB65" i="102"/>
  <c r="L389" i="102"/>
  <c r="X151" i="102"/>
  <c r="AB391" i="102"/>
  <c r="L68" i="102"/>
  <c r="L468" i="102"/>
  <c r="T251" i="102"/>
  <c r="H121" i="102"/>
  <c r="P454" i="102"/>
  <c r="P244" i="102"/>
  <c r="T471" i="102"/>
  <c r="AB349" i="102"/>
  <c r="L84" i="102"/>
  <c r="T398" i="102"/>
  <c r="L299" i="102"/>
  <c r="AB49" i="102"/>
  <c r="H454" i="102"/>
  <c r="H371" i="102"/>
  <c r="T18" i="102"/>
  <c r="P423" i="102"/>
  <c r="X150" i="102"/>
  <c r="X84" i="102"/>
  <c r="AB215" i="102"/>
  <c r="T428" i="102"/>
  <c r="X342" i="102"/>
  <c r="P458" i="102"/>
  <c r="X82" i="102"/>
  <c r="AB341" i="102"/>
  <c r="X107" i="102"/>
  <c r="X113" i="102"/>
  <c r="X169" i="102"/>
  <c r="AB267" i="102"/>
  <c r="AB388" i="102"/>
  <c r="T288" i="102"/>
  <c r="X79" i="102"/>
  <c r="L405" i="102"/>
  <c r="T460" i="102"/>
  <c r="AB494" i="102"/>
  <c r="P27" i="102"/>
  <c r="AB280" i="102"/>
  <c r="T429" i="102"/>
  <c r="P317" i="102"/>
  <c r="T470" i="102"/>
  <c r="H257" i="102"/>
  <c r="AB480" i="102"/>
  <c r="P370" i="82"/>
  <c r="P299" i="102"/>
  <c r="P119" i="102"/>
  <c r="L12" i="102"/>
  <c r="AB358" i="102"/>
  <c r="X272" i="102"/>
  <c r="L188" i="102"/>
  <c r="H340" i="102"/>
  <c r="P271" i="102"/>
  <c r="AB30" i="102"/>
  <c r="X436" i="102"/>
  <c r="P403" i="102"/>
  <c r="T384" i="102"/>
  <c r="T291" i="102"/>
  <c r="AB165" i="102"/>
  <c r="P289" i="102"/>
  <c r="X489" i="102"/>
  <c r="P177" i="102"/>
  <c r="T468" i="102"/>
  <c r="T161" i="102"/>
  <c r="AB369" i="102"/>
  <c r="P495" i="82"/>
  <c r="H66" i="102"/>
  <c r="AB376" i="102"/>
  <c r="L305" i="102"/>
  <c r="P474" i="102"/>
  <c r="H95" i="102"/>
  <c r="H6" i="102"/>
  <c r="H474" i="102"/>
  <c r="AB46" i="102"/>
  <c r="X482" i="102"/>
  <c r="P484" i="102"/>
  <c r="AB172" i="102"/>
  <c r="L453" i="102"/>
  <c r="T385" i="102"/>
  <c r="T47" i="102"/>
  <c r="P236" i="102"/>
  <c r="X149" i="102"/>
  <c r="X62" i="102"/>
  <c r="T281" i="102"/>
  <c r="L375" i="102"/>
  <c r="P372" i="102"/>
  <c r="X221" i="102"/>
  <c r="X142" i="102"/>
  <c r="T273" i="102"/>
  <c r="T363" i="102"/>
  <c r="X291" i="102"/>
  <c r="L306" i="102"/>
  <c r="X41" i="102"/>
  <c r="AB203" i="102"/>
  <c r="AB416" i="102"/>
  <c r="X132" i="102"/>
  <c r="AB372" i="102"/>
  <c r="P365" i="102"/>
  <c r="P335" i="102"/>
  <c r="X232" i="102"/>
  <c r="X365" i="102"/>
  <c r="T442" i="102"/>
  <c r="X207" i="102"/>
  <c r="AB374" i="102"/>
  <c r="T283" i="102"/>
  <c r="X335" i="102"/>
  <c r="P203" i="102"/>
  <c r="P339" i="102"/>
  <c r="AB79" i="102"/>
  <c r="X224" i="102"/>
  <c r="L55" i="102"/>
  <c r="AB103" i="102"/>
  <c r="L131" i="102"/>
  <c r="T211" i="102"/>
  <c r="T231" i="102"/>
  <c r="X491" i="102"/>
  <c r="P79" i="102"/>
  <c r="X191" i="102"/>
  <c r="T140" i="102"/>
  <c r="L481" i="102"/>
  <c r="T134" i="102"/>
  <c r="X449" i="102"/>
  <c r="T1" i="102"/>
  <c r="L451" i="102"/>
  <c r="T35" i="102"/>
  <c r="X357" i="102"/>
  <c r="H370" i="102"/>
  <c r="X327" i="102"/>
  <c r="T293" i="102"/>
  <c r="AB118" i="102"/>
  <c r="X49" i="102"/>
  <c r="X439" i="102"/>
  <c r="L400" i="102"/>
  <c r="P62" i="102"/>
  <c r="AB111" i="102"/>
  <c r="L101" i="102"/>
  <c r="H270" i="102"/>
  <c r="P7" i="82"/>
  <c r="H497" i="102"/>
  <c r="L144" i="102"/>
  <c r="T497" i="102"/>
  <c r="T26" i="102"/>
  <c r="T31" i="102"/>
  <c r="L456" i="102"/>
  <c r="P342" i="82"/>
  <c r="H150" i="102"/>
  <c r="AB456" i="102"/>
  <c r="X385" i="102"/>
  <c r="T210" i="102"/>
  <c r="L426" i="102"/>
  <c r="L220" i="102"/>
  <c r="AB144" i="102"/>
  <c r="AB279" i="102"/>
  <c r="X180" i="102"/>
  <c r="AB110" i="102"/>
  <c r="P455" i="102"/>
  <c r="H489" i="102"/>
  <c r="AB176" i="102"/>
  <c r="X32" i="102"/>
  <c r="P68" i="102"/>
  <c r="L309" i="102"/>
  <c r="L58" i="102"/>
  <c r="P126" i="102"/>
  <c r="T263" i="102"/>
  <c r="AB5" i="102"/>
  <c r="T404" i="102"/>
  <c r="L273" i="102"/>
  <c r="H418" i="102"/>
  <c r="P4" i="82"/>
  <c r="AB389" i="102"/>
  <c r="T500" i="102"/>
  <c r="P388" i="102"/>
  <c r="AB386" i="102"/>
  <c r="H40" i="102"/>
  <c r="T280" i="102"/>
  <c r="AB171" i="102"/>
  <c r="P473" i="82"/>
  <c r="X64" i="102"/>
  <c r="L350" i="102"/>
  <c r="T484" i="102"/>
  <c r="H70" i="102"/>
  <c r="P139" i="82"/>
  <c r="AB362" i="102"/>
  <c r="P86" i="102"/>
  <c r="T258" i="102"/>
  <c r="L277" i="102"/>
  <c r="X246" i="102"/>
  <c r="AB498" i="102"/>
  <c r="AB478" i="102"/>
  <c r="P155" i="102"/>
  <c r="P134" i="102"/>
  <c r="L393" i="102"/>
  <c r="L123" i="102"/>
  <c r="H57" i="102"/>
  <c r="AB15" i="102"/>
  <c r="X123" i="102"/>
  <c r="X396" i="102"/>
  <c r="AB33" i="102"/>
  <c r="AB3" i="102"/>
  <c r="H442" i="102"/>
  <c r="P342" i="102"/>
  <c r="AB242" i="102"/>
  <c r="AB91" i="102"/>
  <c r="X392" i="102"/>
  <c r="X323" i="102"/>
  <c r="AB339" i="102"/>
  <c r="H34" i="102"/>
  <c r="P328" i="102"/>
  <c r="X50" i="102"/>
  <c r="P473" i="102"/>
  <c r="L36" i="102"/>
  <c r="T69" i="102"/>
  <c r="P277" i="102"/>
  <c r="L44" i="102"/>
  <c r="H398" i="102"/>
  <c r="H324" i="102"/>
  <c r="L259" i="102"/>
  <c r="AB407" i="102"/>
  <c r="L440" i="102"/>
  <c r="X209" i="102"/>
  <c r="L239" i="102"/>
  <c r="T256" i="102"/>
  <c r="T233" i="102"/>
  <c r="P421" i="102"/>
  <c r="X273" i="102"/>
  <c r="AB236" i="102"/>
  <c r="AB463" i="102"/>
  <c r="P438" i="102"/>
  <c r="AB430" i="102"/>
  <c r="H382" i="102"/>
  <c r="X264" i="102"/>
  <c r="P315" i="102"/>
  <c r="L349" i="102"/>
  <c r="P235" i="102"/>
  <c r="L243" i="102"/>
  <c r="L460" i="102"/>
  <c r="P375" i="82"/>
  <c r="X350" i="102"/>
  <c r="P401" i="102"/>
  <c r="P492" i="102"/>
  <c r="P330" i="102"/>
  <c r="L290" i="102"/>
  <c r="AB113" i="102"/>
  <c r="AB36" i="102"/>
  <c r="X364" i="102"/>
  <c r="H388" i="102"/>
  <c r="X321" i="102"/>
  <c r="P283" i="102"/>
  <c r="P476" i="102"/>
  <c r="AB183" i="102"/>
  <c r="X329" i="102"/>
  <c r="L363" i="102"/>
  <c r="AB287" i="102"/>
  <c r="L317" i="102"/>
  <c r="T268" i="102"/>
  <c r="T58" i="102"/>
  <c r="AB109" i="102"/>
  <c r="AB423" i="102"/>
  <c r="P346" i="102"/>
  <c r="L488" i="102"/>
  <c r="AB74" i="102"/>
  <c r="AB282" i="102"/>
  <c r="T20" i="102"/>
  <c r="P62" i="82"/>
  <c r="P306" i="102"/>
  <c r="L100" i="102"/>
  <c r="AB336" i="102"/>
  <c r="P383" i="102"/>
  <c r="T411" i="102"/>
  <c r="T80" i="102"/>
  <c r="T151" i="102"/>
  <c r="AB334" i="102"/>
  <c r="H59" i="102"/>
  <c r="T179" i="102"/>
  <c r="AB303" i="102"/>
  <c r="L33" i="102"/>
  <c r="L423" i="102"/>
  <c r="L333" i="102"/>
  <c r="P147" i="102"/>
  <c r="T191" i="102"/>
  <c r="X465" i="102"/>
  <c r="X171" i="102"/>
  <c r="T167" i="102"/>
  <c r="AB257" i="102"/>
  <c r="X214" i="102"/>
  <c r="P286" i="102"/>
  <c r="P446" i="102"/>
  <c r="AB265" i="102"/>
  <c r="L351" i="102"/>
  <c r="H311" i="102"/>
  <c r="P483" i="102"/>
  <c r="P356" i="102"/>
  <c r="L462" i="102"/>
  <c r="H448" i="102"/>
  <c r="L59" i="102"/>
  <c r="H318" i="102"/>
  <c r="AB22" i="102"/>
  <c r="H498" i="102"/>
  <c r="AB82" i="102"/>
  <c r="P270" i="102"/>
  <c r="X210" i="102"/>
  <c r="T492" i="102"/>
  <c r="P182" i="102"/>
  <c r="P386" i="82"/>
  <c r="AB120" i="102"/>
  <c r="H209" i="102"/>
  <c r="AB211" i="102"/>
  <c r="T76" i="102"/>
  <c r="P266" i="102"/>
  <c r="AB25" i="102"/>
  <c r="X57" i="102"/>
  <c r="T474" i="102"/>
  <c r="P154" i="102"/>
  <c r="X260" i="102"/>
  <c r="AB60" i="102"/>
  <c r="T396" i="102"/>
  <c r="AB42" i="102"/>
  <c r="AB164" i="102"/>
  <c r="X204" i="102"/>
  <c r="T405" i="102"/>
  <c r="X268" i="102"/>
  <c r="AB361" i="102"/>
  <c r="T298" i="102"/>
  <c r="X136" i="102"/>
  <c r="AB163" i="102"/>
  <c r="P318" i="102"/>
  <c r="X162" i="102"/>
  <c r="X23" i="102"/>
  <c r="AB424" i="102"/>
  <c r="H369" i="102"/>
  <c r="AB96" i="102"/>
  <c r="T459" i="102"/>
  <c r="AB205" i="102"/>
  <c r="T461" i="102"/>
  <c r="X382" i="102"/>
  <c r="T285" i="102"/>
  <c r="H334" i="102"/>
  <c r="P5" i="102"/>
  <c r="T417" i="102"/>
  <c r="X348" i="102"/>
  <c r="AB105" i="102"/>
  <c r="X119" i="102"/>
  <c r="AB222" i="102"/>
  <c r="AB431" i="102"/>
  <c r="P167" i="82"/>
  <c r="L217" i="102"/>
  <c r="P450" i="102"/>
  <c r="X366" i="102"/>
  <c r="P341" i="82"/>
  <c r="X4" i="102"/>
  <c r="H18" i="102"/>
  <c r="T123" i="102"/>
  <c r="P287" i="102"/>
  <c r="AB300" i="102"/>
  <c r="L275" i="102"/>
  <c r="L115" i="102"/>
  <c r="P29" i="82"/>
  <c r="AB304" i="102"/>
  <c r="P428" i="102"/>
  <c r="L435" i="102"/>
  <c r="L313" i="102"/>
  <c r="L164" i="102"/>
  <c r="L88" i="102"/>
  <c r="AB380" i="102"/>
  <c r="H471" i="102"/>
  <c r="X27" i="102"/>
  <c r="P220" i="102"/>
  <c r="H349" i="102"/>
  <c r="P393" i="102"/>
  <c r="P344" i="102"/>
  <c r="L337" i="102"/>
  <c r="L429" i="102"/>
  <c r="T110" i="102"/>
  <c r="L457" i="102"/>
  <c r="T309" i="102"/>
  <c r="P77" i="102"/>
  <c r="H189" i="102"/>
  <c r="H355" i="102"/>
  <c r="H1" i="102"/>
  <c r="AB365" i="102"/>
  <c r="T462" i="102"/>
  <c r="X426" i="102"/>
  <c r="H22" i="102"/>
  <c r="P490" i="102"/>
  <c r="L173" i="102"/>
  <c r="H38" i="102"/>
  <c r="P402" i="102"/>
  <c r="H322" i="102"/>
  <c r="AB238" i="102"/>
  <c r="L41" i="102"/>
  <c r="H402" i="102"/>
  <c r="P359" i="102"/>
  <c r="P81" i="102"/>
  <c r="AB436" i="102"/>
  <c r="L347" i="102"/>
  <c r="H352" i="102"/>
  <c r="X391" i="102"/>
  <c r="P390" i="82"/>
  <c r="X266" i="102"/>
  <c r="L72" i="102"/>
  <c r="T447" i="102"/>
  <c r="P329" i="102"/>
  <c r="AB221" i="102"/>
  <c r="T224" i="102"/>
  <c r="P201" i="102"/>
  <c r="P477" i="82"/>
  <c r="AB71" i="102"/>
  <c r="P13" i="82"/>
  <c r="P130" i="82"/>
  <c r="X35" i="102"/>
  <c r="P40" i="102"/>
  <c r="T49" i="102"/>
  <c r="AB255" i="102"/>
  <c r="H399" i="102"/>
  <c r="L490" i="102"/>
  <c r="P308" i="102"/>
  <c r="P22" i="102"/>
  <c r="T52" i="102"/>
  <c r="T336" i="102"/>
  <c r="P175" i="82"/>
  <c r="T28" i="102"/>
  <c r="X358" i="102"/>
  <c r="T257" i="102"/>
  <c r="L52" i="102"/>
  <c r="AB405" i="102"/>
  <c r="X473" i="102"/>
  <c r="AB263" i="102"/>
  <c r="H9" i="102"/>
  <c r="P38" i="102"/>
  <c r="T386" i="102"/>
  <c r="X124" i="102"/>
  <c r="X154" i="102"/>
  <c r="T187" i="102"/>
  <c r="AB53" i="102"/>
  <c r="AB409" i="102"/>
  <c r="P10" i="82"/>
  <c r="L77" i="102"/>
  <c r="X313" i="102"/>
  <c r="T486" i="102"/>
  <c r="H192" i="102"/>
  <c r="AB445" i="102"/>
  <c r="H266" i="102"/>
  <c r="AB64" i="102"/>
  <c r="H75" i="102"/>
  <c r="X457" i="102"/>
  <c r="H275" i="102"/>
  <c r="H77" i="102"/>
  <c r="T185" i="102"/>
  <c r="T310" i="102"/>
  <c r="P259" i="102"/>
  <c r="T164" i="102"/>
  <c r="AB408" i="102"/>
  <c r="AB307" i="102"/>
  <c r="X402" i="102"/>
  <c r="P280" i="102"/>
  <c r="P53" i="102"/>
  <c r="L327" i="102"/>
  <c r="AB250" i="102"/>
  <c r="P475" i="102"/>
  <c r="L76" i="102"/>
  <c r="L430" i="102"/>
  <c r="AB134" i="102"/>
  <c r="P329" i="82"/>
  <c r="AB187" i="102"/>
  <c r="H375" i="102"/>
  <c r="X68" i="102"/>
  <c r="L463" i="102"/>
  <c r="P148" i="82"/>
  <c r="H277" i="102"/>
  <c r="X15" i="102"/>
  <c r="P211" i="102"/>
  <c r="AB464" i="102"/>
  <c r="AB207" i="102"/>
  <c r="P100" i="102"/>
  <c r="X81" i="102"/>
  <c r="T163" i="102"/>
  <c r="X74" i="102"/>
  <c r="T85" i="102"/>
  <c r="P82" i="102"/>
  <c r="P427" i="102"/>
  <c r="L268" i="102"/>
  <c r="P363" i="102"/>
  <c r="T174" i="102"/>
  <c r="P467" i="102"/>
  <c r="T335" i="102"/>
  <c r="L70" i="102"/>
  <c r="AB382" i="102"/>
  <c r="X258" i="102"/>
  <c r="T159" i="102"/>
  <c r="AB338" i="102"/>
  <c r="AB6" i="102"/>
  <c r="P199" i="102"/>
  <c r="P320" i="102"/>
  <c r="H263" i="102"/>
  <c r="T425" i="102"/>
  <c r="L182" i="102"/>
  <c r="X261" i="102"/>
  <c r="P138" i="102"/>
  <c r="AB177" i="102"/>
  <c r="X213" i="102"/>
  <c r="T3" i="102"/>
  <c r="H391" i="102"/>
  <c r="T485" i="102"/>
  <c r="T261" i="102"/>
  <c r="L472" i="102"/>
  <c r="T262" i="102"/>
  <c r="T483" i="102"/>
  <c r="L192" i="102"/>
  <c r="L477" i="102"/>
  <c r="X225" i="102"/>
  <c r="P39" i="102"/>
  <c r="L3" i="102"/>
  <c r="AB24" i="102"/>
  <c r="AB217" i="102"/>
  <c r="T19" i="102"/>
  <c r="P444" i="82"/>
  <c r="P345" i="102"/>
  <c r="P94" i="102"/>
  <c r="X498" i="102"/>
  <c r="AB43" i="102"/>
  <c r="P117" i="102"/>
  <c r="L177" i="102"/>
  <c r="L357" i="102"/>
  <c r="AB34" i="102"/>
  <c r="P293" i="102"/>
  <c r="P241" i="102"/>
  <c r="P389" i="102"/>
  <c r="P375" i="102"/>
  <c r="P21" i="102"/>
  <c r="H288" i="102"/>
  <c r="L156" i="102"/>
  <c r="H235" i="102"/>
  <c r="H143" i="102"/>
  <c r="T436" i="102"/>
  <c r="H451" i="102"/>
  <c r="X242" i="102"/>
  <c r="L90" i="102"/>
  <c r="H31" i="102"/>
  <c r="H486" i="102"/>
  <c r="H327" i="102"/>
  <c r="P248" i="82"/>
  <c r="P114" i="102"/>
  <c r="P453" i="102"/>
  <c r="H336" i="102"/>
  <c r="T70" i="102"/>
  <c r="L154" i="102"/>
  <c r="L18" i="102"/>
  <c r="X61" i="102"/>
  <c r="L17" i="102"/>
  <c r="P243" i="102"/>
  <c r="P250" i="102"/>
  <c r="T333" i="102"/>
  <c r="AB351" i="102"/>
  <c r="H248" i="102"/>
  <c r="H86" i="102"/>
  <c r="P461" i="82"/>
  <c r="AB385" i="102"/>
  <c r="L386" i="102"/>
  <c r="H80" i="102"/>
  <c r="H155" i="102"/>
  <c r="H187" i="102"/>
  <c r="H499" i="102"/>
  <c r="L364" i="102"/>
  <c r="L496" i="102"/>
  <c r="L213" i="102"/>
  <c r="X384" i="102"/>
  <c r="H2" i="102"/>
  <c r="AB395" i="102"/>
  <c r="H120" i="102"/>
  <c r="AB440" i="102"/>
  <c r="P456" i="82"/>
  <c r="P70" i="82"/>
  <c r="P250" i="82"/>
  <c r="P303" i="82"/>
  <c r="H160" i="102"/>
  <c r="T317" i="102"/>
  <c r="H429" i="102"/>
  <c r="H483" i="102"/>
  <c r="H115" i="102"/>
  <c r="T98" i="102"/>
  <c r="H307" i="102"/>
  <c r="T395" i="102"/>
  <c r="X398" i="102"/>
  <c r="H274" i="102"/>
  <c r="H290" i="102"/>
  <c r="T198" i="102"/>
  <c r="H29" i="102"/>
  <c r="H494" i="102"/>
  <c r="P494" i="82"/>
  <c r="L148" i="102"/>
  <c r="L65" i="102"/>
  <c r="H174" i="102"/>
  <c r="H262" i="102"/>
  <c r="H159" i="102"/>
  <c r="H74" i="102"/>
  <c r="P496" i="102"/>
  <c r="L105" i="102"/>
  <c r="X395" i="102"/>
  <c r="AB200" i="102"/>
  <c r="AB138" i="102"/>
  <c r="AB234" i="102"/>
  <c r="AB186" i="102"/>
  <c r="T415" i="102"/>
  <c r="L334" i="102"/>
  <c r="AB311" i="102"/>
  <c r="X184" i="102"/>
  <c r="L421" i="102"/>
  <c r="P260" i="102"/>
  <c r="L81" i="102"/>
  <c r="AB62" i="102"/>
  <c r="AB66" i="102"/>
  <c r="P249" i="102"/>
  <c r="X311" i="102"/>
  <c r="H32" i="102"/>
  <c r="T259" i="102"/>
  <c r="H23" i="102"/>
  <c r="X175" i="102"/>
  <c r="P411" i="102"/>
  <c r="L119" i="102"/>
  <c r="P384" i="102"/>
  <c r="H308" i="102"/>
  <c r="AB343" i="102"/>
  <c r="L293" i="102"/>
  <c r="H116" i="102"/>
  <c r="AB357" i="102"/>
  <c r="X102" i="102"/>
  <c r="X405" i="102"/>
  <c r="H201" i="102"/>
  <c r="AB146" i="102"/>
  <c r="H202" i="102"/>
  <c r="H299" i="102"/>
  <c r="H459" i="102"/>
  <c r="L7" i="102"/>
  <c r="AB73" i="102"/>
  <c r="T64" i="102"/>
  <c r="L49" i="102"/>
  <c r="P21" i="82"/>
  <c r="L245" i="102"/>
  <c r="T339" i="102"/>
  <c r="T175" i="102"/>
  <c r="T219" i="102"/>
  <c r="X105" i="102"/>
  <c r="H87" i="102"/>
  <c r="L441" i="102"/>
  <c r="H41" i="102"/>
  <c r="X255" i="102"/>
  <c r="H470" i="102"/>
  <c r="AB247" i="102"/>
  <c r="T200" i="102"/>
  <c r="P314" i="102"/>
  <c r="H104" i="102"/>
  <c r="X251" i="102"/>
  <c r="X65" i="102"/>
  <c r="P353" i="82"/>
  <c r="L180" i="102"/>
  <c r="X401" i="102"/>
  <c r="T467" i="102"/>
  <c r="AB107" i="102"/>
  <c r="T145" i="102"/>
  <c r="T214" i="102"/>
  <c r="AB387" i="102"/>
  <c r="X293" i="102"/>
  <c r="L447" i="102"/>
  <c r="H407" i="102"/>
  <c r="H68" i="102"/>
  <c r="AB97" i="102"/>
  <c r="P357" i="102"/>
  <c r="T365" i="102"/>
  <c r="P14" i="82"/>
  <c r="T116" i="102"/>
  <c r="P319" i="102"/>
  <c r="P436" i="102"/>
  <c r="X18" i="102"/>
  <c r="AB394" i="102"/>
  <c r="T423" i="102"/>
  <c r="T193" i="102"/>
  <c r="T342" i="102"/>
  <c r="H395" i="102"/>
  <c r="H49" i="102"/>
  <c r="X120" i="102"/>
  <c r="X298" i="102"/>
  <c r="X331" i="102"/>
  <c r="L162" i="102"/>
  <c r="H389" i="102"/>
  <c r="H437" i="102"/>
  <c r="H366" i="102"/>
  <c r="H17" i="102"/>
  <c r="X131" i="102"/>
  <c r="P445" i="102"/>
  <c r="AB422" i="102"/>
  <c r="P465" i="82"/>
  <c r="P462" i="102"/>
  <c r="T135" i="102"/>
  <c r="H73" i="102"/>
  <c r="P297" i="102"/>
  <c r="AB448" i="102"/>
  <c r="L399" i="102"/>
  <c r="T316" i="102"/>
  <c r="T95" i="102"/>
  <c r="P72" i="82"/>
  <c r="T445" i="102"/>
  <c r="AB93" i="102"/>
  <c r="L250" i="102"/>
  <c r="H385" i="102"/>
  <c r="P450" i="82"/>
  <c r="P498" i="102"/>
  <c r="T168" i="102"/>
  <c r="P379" i="102"/>
  <c r="P448" i="82"/>
  <c r="P214" i="82"/>
  <c r="L281" i="102"/>
  <c r="H182" i="102"/>
  <c r="H271" i="102"/>
  <c r="P383" i="82"/>
  <c r="H421" i="102"/>
  <c r="T24" i="102"/>
  <c r="H488" i="102"/>
  <c r="L381" i="102"/>
  <c r="L431" i="102"/>
  <c r="P61" i="102"/>
  <c r="H162" i="102"/>
  <c r="P268" i="82"/>
  <c r="L191" i="102"/>
  <c r="P478" i="102"/>
  <c r="H298" i="102"/>
  <c r="H163" i="102"/>
  <c r="H25" i="102"/>
  <c r="P7" i="102"/>
  <c r="T53" i="102"/>
  <c r="P65" i="82"/>
  <c r="H387" i="102"/>
  <c r="P442" i="102"/>
  <c r="P22" i="82"/>
  <c r="H432" i="102"/>
  <c r="H131" i="102"/>
  <c r="P325" i="82"/>
  <c r="L79" i="102"/>
  <c r="H5" i="102"/>
  <c r="AB115" i="102"/>
  <c r="P174" i="102"/>
  <c r="P2" i="102"/>
  <c r="T439" i="102"/>
  <c r="H178" i="102"/>
  <c r="H236" i="102"/>
  <c r="P213" i="82"/>
  <c r="H433" i="102"/>
  <c r="L383" i="102"/>
  <c r="P25" i="82"/>
  <c r="AB196" i="102"/>
  <c r="T202" i="102"/>
  <c r="P397" i="82"/>
  <c r="AB210" i="102"/>
  <c r="L54" i="102"/>
  <c r="AB193" i="102"/>
  <c r="P33" i="102"/>
  <c r="L412" i="102"/>
  <c r="P30" i="82"/>
  <c r="P389" i="82"/>
  <c r="H250" i="102"/>
  <c r="P398" i="102"/>
  <c r="X116" i="102"/>
  <c r="X192" i="102"/>
  <c r="P481" i="82"/>
  <c r="L432" i="102"/>
  <c r="X56" i="102"/>
  <c r="L265" i="102"/>
  <c r="H363" i="102"/>
  <c r="P349" i="82"/>
  <c r="P6" i="82"/>
  <c r="T466" i="102"/>
  <c r="T381" i="102"/>
  <c r="L266" i="102"/>
  <c r="H46" i="102"/>
  <c r="H197" i="102"/>
  <c r="T277" i="102"/>
  <c r="X249" i="102"/>
  <c r="P120" i="82"/>
  <c r="H156" i="102"/>
  <c r="H338" i="102"/>
  <c r="P306" i="82"/>
  <c r="P498" i="82"/>
  <c r="P266" i="82"/>
  <c r="L121" i="102"/>
  <c r="P175" i="102"/>
  <c r="P403" i="82"/>
  <c r="L373" i="102"/>
  <c r="T302" i="102"/>
  <c r="L292" i="102"/>
  <c r="P80" i="82"/>
  <c r="T457" i="102"/>
  <c r="P323" i="102"/>
  <c r="L152" i="102"/>
  <c r="P25" i="102"/>
  <c r="T323" i="102"/>
  <c r="AB28" i="102"/>
  <c r="L210" i="102"/>
  <c r="H176" i="102"/>
  <c r="T458" i="102"/>
  <c r="T318" i="102"/>
  <c r="H386" i="102"/>
  <c r="P272" i="82"/>
  <c r="T79" i="102"/>
  <c r="P191" i="82"/>
  <c r="X409" i="102"/>
  <c r="T184" i="102"/>
  <c r="P437" i="82"/>
  <c r="P161" i="102"/>
  <c r="P225" i="82"/>
  <c r="P307" i="82"/>
  <c r="P264" i="82"/>
  <c r="H175" i="102"/>
  <c r="L130" i="102"/>
  <c r="AB181" i="102"/>
  <c r="X9" i="102"/>
  <c r="X400" i="102"/>
  <c r="P461" i="102"/>
  <c r="AB499" i="102"/>
  <c r="P404" i="102"/>
  <c r="T357" i="102"/>
  <c r="H329" i="102"/>
  <c r="L371" i="102"/>
  <c r="L465" i="102"/>
  <c r="T481" i="102"/>
  <c r="H14" i="102"/>
  <c r="X196" i="102"/>
  <c r="P70" i="102"/>
  <c r="H413" i="102"/>
  <c r="P470" i="102"/>
  <c r="AB415" i="102"/>
  <c r="T50" i="102"/>
  <c r="L464" i="102"/>
  <c r="AB413" i="102"/>
  <c r="AB414" i="102"/>
  <c r="H409" i="102"/>
  <c r="AB481" i="102"/>
  <c r="AB399" i="102"/>
  <c r="X78" i="102"/>
  <c r="P487" i="102"/>
  <c r="H280" i="102"/>
  <c r="L16" i="102"/>
  <c r="P316" i="102"/>
  <c r="AB167" i="102"/>
  <c r="AB223" i="102"/>
  <c r="T243" i="102"/>
  <c r="T111" i="102"/>
  <c r="P437" i="102"/>
  <c r="L382" i="102"/>
  <c r="H390" i="102"/>
  <c r="X172" i="102"/>
  <c r="X108" i="102"/>
  <c r="L63" i="102"/>
  <c r="T162" i="102"/>
  <c r="X376" i="102"/>
  <c r="H500" i="102"/>
  <c r="T295" i="102"/>
  <c r="T8" i="102"/>
  <c r="X187" i="102"/>
  <c r="X287" i="102"/>
  <c r="T62" i="102"/>
  <c r="L10" i="102"/>
  <c r="H353" i="102"/>
  <c r="AB354" i="102"/>
  <c r="AB1" i="102"/>
  <c r="AB325" i="102"/>
  <c r="X345" i="102"/>
  <c r="X247" i="102"/>
  <c r="P361" i="102"/>
  <c r="P458" i="82"/>
  <c r="P434" i="102"/>
  <c r="H50" i="102"/>
  <c r="L247" i="102"/>
  <c r="X481" i="102"/>
  <c r="H240" i="102"/>
  <c r="L459" i="102"/>
  <c r="L46" i="102"/>
  <c r="P406" i="102"/>
  <c r="AB68" i="102"/>
  <c r="L75" i="102"/>
  <c r="X267" i="102"/>
  <c r="L5" i="102"/>
  <c r="H89" i="102"/>
  <c r="H397" i="102"/>
  <c r="H447" i="102"/>
  <c r="H444" i="102"/>
  <c r="P281" i="82"/>
  <c r="P433" i="102"/>
  <c r="T274" i="102"/>
  <c r="AB209" i="102"/>
  <c r="P392" i="102"/>
  <c r="P321" i="102"/>
  <c r="H133" i="102"/>
  <c r="H11" i="102"/>
  <c r="P56" i="82"/>
  <c r="T160" i="102"/>
  <c r="AB461" i="102"/>
  <c r="AB86" i="102"/>
  <c r="L475" i="102"/>
  <c r="L38" i="102"/>
  <c r="P51" i="82"/>
  <c r="X39" i="102"/>
  <c r="L134" i="102"/>
  <c r="AB135" i="102"/>
  <c r="H37" i="102"/>
  <c r="L476" i="102"/>
  <c r="H345" i="102"/>
  <c r="P170" i="82"/>
  <c r="T152" i="102"/>
  <c r="H153" i="102"/>
  <c r="T264" i="102"/>
  <c r="X471" i="102"/>
  <c r="P495" i="102"/>
  <c r="P69" i="82"/>
  <c r="T2" i="102"/>
  <c r="T435" i="102"/>
  <c r="P86" i="82"/>
  <c r="AB185" i="102"/>
  <c r="H112" i="102"/>
  <c r="P286" i="82"/>
  <c r="T390" i="102"/>
  <c r="AB353" i="102"/>
  <c r="P414" i="102"/>
  <c r="P425" i="102"/>
  <c r="P85" i="102"/>
  <c r="T432" i="102"/>
  <c r="H361" i="102"/>
  <c r="L232" i="102"/>
  <c r="H142" i="102"/>
  <c r="L190" i="102"/>
  <c r="T131" i="102"/>
  <c r="H495" i="102"/>
  <c r="T178" i="102"/>
  <c r="T434" i="102"/>
  <c r="AB133" i="102"/>
  <c r="P460" i="102"/>
  <c r="H440" i="102"/>
  <c r="P55" i="102"/>
  <c r="P247" i="82"/>
  <c r="X130" i="102"/>
  <c r="X7" i="102"/>
  <c r="X444" i="102"/>
  <c r="AB319" i="102"/>
  <c r="X223" i="102"/>
  <c r="T114" i="102"/>
  <c r="T487" i="102"/>
  <c r="H449" i="102"/>
  <c r="X198" i="102"/>
  <c r="P382" i="102"/>
  <c r="P464" i="82"/>
  <c r="AB77" i="102"/>
  <c r="X284" i="102"/>
  <c r="H97" i="102"/>
  <c r="AB412" i="102"/>
  <c r="L308" i="102"/>
  <c r="H211" i="102"/>
  <c r="X215" i="102"/>
  <c r="P69" i="102"/>
  <c r="P59" i="82"/>
  <c r="T424" i="102"/>
  <c r="AB332" i="102"/>
  <c r="H294" i="102"/>
  <c r="X109" i="102"/>
  <c r="T392" i="102"/>
  <c r="H21" i="102"/>
  <c r="L398" i="102"/>
  <c r="AB497" i="102"/>
  <c r="H404" i="102"/>
  <c r="H462" i="102"/>
  <c r="X88" i="102"/>
  <c r="L108" i="102"/>
  <c r="L244" i="102"/>
  <c r="L446" i="102"/>
  <c r="H225" i="102"/>
  <c r="L484" i="102"/>
  <c r="T189" i="102"/>
  <c r="AB427" i="102"/>
  <c r="X422" i="102"/>
  <c r="AB290" i="102"/>
  <c r="L128" i="102"/>
  <c r="L356" i="102"/>
  <c r="X250" i="102"/>
  <c r="L280" i="102"/>
  <c r="H347" i="102"/>
  <c r="P269" i="102"/>
  <c r="T422" i="102"/>
  <c r="X325" i="102"/>
  <c r="H477" i="102"/>
  <c r="P103" i="102"/>
  <c r="AB194" i="102"/>
  <c r="P336" i="102"/>
  <c r="X301" i="102"/>
  <c r="AB450" i="102"/>
  <c r="P392" i="82"/>
  <c r="H7" i="102"/>
  <c r="T421" i="102"/>
  <c r="P395" i="82"/>
  <c r="L137" i="102"/>
  <c r="P406" i="82"/>
  <c r="P226" i="102"/>
  <c r="T129" i="102"/>
  <c r="L35" i="102"/>
  <c r="P184" i="102"/>
  <c r="X42" i="102"/>
  <c r="P448" i="102"/>
  <c r="H185" i="102"/>
  <c r="P151" i="102"/>
  <c r="L157" i="102"/>
  <c r="AB114" i="102"/>
  <c r="P76" i="82"/>
  <c r="H148" i="102"/>
  <c r="H332" i="102"/>
  <c r="X295" i="102"/>
  <c r="P64" i="82"/>
  <c r="X304" i="102"/>
  <c r="H283" i="102"/>
  <c r="X73" i="102"/>
  <c r="X490" i="102"/>
  <c r="H435" i="102"/>
  <c r="L415" i="102"/>
  <c r="L318" i="102"/>
  <c r="L227" i="102"/>
  <c r="L330" i="102"/>
  <c r="P467" i="82"/>
  <c r="P378" i="102"/>
  <c r="L458" i="102"/>
  <c r="T303" i="102"/>
  <c r="P8" i="102"/>
  <c r="L416" i="102"/>
  <c r="L454" i="102"/>
  <c r="P141" i="82"/>
  <c r="T448" i="102"/>
  <c r="L15" i="102"/>
  <c r="L255" i="102"/>
  <c r="AB154" i="102"/>
  <c r="P499" i="82"/>
  <c r="X397" i="102"/>
  <c r="AB132" i="102"/>
  <c r="L434" i="102"/>
  <c r="L64" i="102"/>
  <c r="P419" i="102"/>
  <c r="T354" i="102"/>
  <c r="T275" i="102"/>
  <c r="X371" i="102"/>
  <c r="AB426" i="102"/>
  <c r="AB157" i="102"/>
  <c r="L342" i="102"/>
  <c r="L473" i="102"/>
  <c r="X415" i="102"/>
  <c r="P60" i="102"/>
  <c r="AB80" i="102"/>
  <c r="T133" i="102"/>
  <c r="T419" i="102"/>
  <c r="T176" i="102"/>
  <c r="X349" i="102"/>
  <c r="H273" i="102"/>
  <c r="X336" i="102"/>
  <c r="T181" i="102"/>
  <c r="P202" i="102"/>
  <c r="X48" i="102"/>
  <c r="P429" i="102"/>
  <c r="AB104" i="102"/>
  <c r="AB168" i="102"/>
  <c r="T228" i="102"/>
  <c r="H36" i="102"/>
  <c r="P264" i="102"/>
  <c r="P184" i="82"/>
  <c r="L264" i="102"/>
  <c r="P233" i="82"/>
  <c r="L142" i="102"/>
  <c r="H439" i="102"/>
  <c r="P460" i="82"/>
  <c r="T304" i="102"/>
  <c r="T124" i="102"/>
  <c r="P80" i="102"/>
  <c r="T137" i="102"/>
  <c r="P265" i="102"/>
  <c r="L241" i="102"/>
  <c r="P489" i="102"/>
  <c r="P393" i="82"/>
  <c r="X308" i="102"/>
  <c r="AB286" i="102"/>
  <c r="H364" i="102"/>
  <c r="X97" i="102"/>
  <c r="T36" i="102"/>
  <c r="L61" i="102"/>
  <c r="H229" i="102"/>
  <c r="AB296" i="102"/>
  <c r="X139" i="102"/>
  <c r="L125" i="102"/>
  <c r="T329" i="102"/>
  <c r="L442" i="102"/>
  <c r="X467" i="102"/>
  <c r="L388" i="102"/>
  <c r="T235" i="102"/>
  <c r="P417" i="102"/>
  <c r="AB51" i="102"/>
  <c r="P234" i="102"/>
  <c r="H92" i="102"/>
  <c r="P496" i="82"/>
  <c r="P376" i="82"/>
  <c r="H289" i="102"/>
  <c r="H24" i="102"/>
  <c r="AB198" i="102"/>
  <c r="P497" i="82"/>
  <c r="P449" i="82"/>
  <c r="L410" i="102"/>
  <c r="L444" i="102"/>
  <c r="P68" i="82"/>
  <c r="L183" i="102"/>
  <c r="L69" i="102"/>
  <c r="P77" i="82"/>
  <c r="H431" i="102"/>
  <c r="H394" i="102"/>
  <c r="H403" i="102"/>
  <c r="X178" i="102"/>
  <c r="L424" i="102"/>
  <c r="P452" i="102"/>
  <c r="T450" i="102"/>
  <c r="L62" i="102"/>
  <c r="H356" i="102"/>
  <c r="P482" i="102"/>
  <c r="AB378" i="102"/>
  <c r="H69" i="102"/>
  <c r="P20" i="82"/>
  <c r="P488" i="102"/>
  <c r="T118" i="102"/>
  <c r="T246" i="102"/>
  <c r="H420" i="102"/>
  <c r="H423" i="102"/>
  <c r="P60" i="82"/>
  <c r="P479" i="102"/>
  <c r="X269" i="102"/>
  <c r="P466" i="102"/>
  <c r="T321" i="102"/>
  <c r="P447" i="82"/>
  <c r="P200" i="102"/>
  <c r="T296" i="102"/>
  <c r="T412" i="102"/>
  <c r="P153" i="102"/>
  <c r="H315" i="102"/>
  <c r="H206" i="102"/>
  <c r="P305" i="102"/>
  <c r="T23" i="102"/>
  <c r="P46" i="102"/>
  <c r="P186" i="102"/>
  <c r="L28" i="102"/>
  <c r="P124" i="102"/>
  <c r="L408" i="102"/>
  <c r="P63" i="82"/>
  <c r="H496" i="102"/>
  <c r="H118" i="102"/>
  <c r="P145" i="82"/>
  <c r="H326" i="102"/>
  <c r="H28" i="102"/>
  <c r="P166" i="102"/>
  <c r="P166" i="82"/>
  <c r="H351" i="102"/>
  <c r="P319" i="82"/>
  <c r="H165" i="102"/>
  <c r="P179" i="102"/>
  <c r="T68" i="102"/>
  <c r="P358" i="102"/>
  <c r="P373" i="82"/>
  <c r="T406" i="102"/>
  <c r="H51" i="102"/>
  <c r="P188" i="102"/>
  <c r="P3" i="102"/>
  <c r="T121" i="102"/>
  <c r="L437" i="102"/>
  <c r="P176" i="102"/>
  <c r="T374" i="102"/>
  <c r="T65" i="102"/>
  <c r="X421" i="102"/>
  <c r="AB277" i="102"/>
  <c r="AB175" i="102"/>
  <c r="P106" i="102"/>
  <c r="P201" i="82"/>
  <c r="P85" i="82"/>
  <c r="H30" i="102"/>
  <c r="T153" i="102"/>
  <c r="H379" i="102"/>
  <c r="P426" i="102"/>
  <c r="L201" i="102"/>
  <c r="P468" i="82"/>
  <c r="P109" i="102"/>
  <c r="P443" i="102"/>
  <c r="H384" i="102"/>
  <c r="P75" i="82"/>
  <c r="T220" i="102"/>
  <c r="T195" i="102"/>
  <c r="P78" i="102"/>
  <c r="T326" i="102"/>
  <c r="P137" i="82"/>
  <c r="H378" i="102"/>
  <c r="P2" i="82"/>
  <c r="T416" i="102"/>
  <c r="L310" i="102"/>
  <c r="P65" i="102"/>
  <c r="H136" i="102"/>
  <c r="AB291" i="102"/>
  <c r="X330" i="102"/>
  <c r="P97" i="102"/>
  <c r="X446" i="102"/>
  <c r="P225" i="102"/>
  <c r="T375" i="102"/>
  <c r="L403" i="102"/>
  <c r="L218" i="102"/>
  <c r="P333" i="102"/>
  <c r="AB2" i="102"/>
  <c r="X164" i="102"/>
  <c r="H374" i="102"/>
  <c r="H58" i="102"/>
  <c r="P265" i="82"/>
  <c r="P95" i="102"/>
  <c r="H233" i="102"/>
  <c r="P262" i="82"/>
  <c r="P221" i="82"/>
  <c r="L20" i="102"/>
  <c r="P32" i="82"/>
  <c r="AB342" i="102"/>
  <c r="P292" i="82"/>
  <c r="P238" i="102"/>
  <c r="P232" i="82"/>
  <c r="H300" i="102"/>
  <c r="L109" i="102"/>
  <c r="H286" i="102"/>
  <c r="H200" i="102"/>
  <c r="P287" i="82"/>
  <c r="AB251" i="102"/>
  <c r="P1" i="82"/>
  <c r="X40" i="102"/>
  <c r="L461" i="102"/>
  <c r="AB29" i="102"/>
  <c r="X363" i="102"/>
  <c r="L66" i="102"/>
  <c r="T252" i="102"/>
  <c r="X413" i="102"/>
  <c r="L113" i="102"/>
  <c r="T240" i="102"/>
  <c r="P128" i="102"/>
  <c r="H427" i="102"/>
  <c r="T401" i="102"/>
  <c r="L480" i="102"/>
  <c r="AB116" i="102"/>
  <c r="L45" i="102"/>
  <c r="P418" i="102"/>
  <c r="L319" i="102"/>
  <c r="H94" i="102"/>
  <c r="H39" i="102"/>
  <c r="H362" i="102"/>
  <c r="H108" i="102"/>
  <c r="P98" i="102"/>
  <c r="H45" i="102"/>
  <c r="X31" i="102"/>
  <c r="AB58" i="102"/>
  <c r="P367" i="102"/>
  <c r="P93" i="82"/>
  <c r="P27" i="82"/>
  <c r="P112" i="102"/>
  <c r="H114" i="102"/>
  <c r="P87" i="102"/>
  <c r="L27" i="102"/>
  <c r="L240" i="102"/>
  <c r="H96" i="102"/>
  <c r="P144" i="82"/>
  <c r="X177" i="102"/>
  <c r="H380" i="102"/>
  <c r="L338" i="102"/>
  <c r="P213" i="102"/>
  <c r="AB367" i="102"/>
  <c r="T196" i="102"/>
  <c r="H170" i="102"/>
  <c r="P147" i="82"/>
  <c r="H405" i="102"/>
  <c r="T397" i="102"/>
  <c r="P172" i="82"/>
  <c r="AB449" i="102"/>
  <c r="P226" i="82"/>
  <c r="H278" i="102"/>
  <c r="P13" i="102"/>
  <c r="P451" i="82"/>
  <c r="P182" i="82"/>
  <c r="T269" i="102"/>
  <c r="T322" i="102"/>
  <c r="P157" i="82"/>
  <c r="H304" i="102"/>
  <c r="P230" i="102"/>
  <c r="P140" i="102"/>
  <c r="H458" i="102"/>
  <c r="H411" i="102"/>
  <c r="L302" i="102"/>
  <c r="L96" i="102"/>
  <c r="P45" i="82"/>
  <c r="L208" i="102"/>
  <c r="L212" i="102"/>
  <c r="P367" i="82"/>
  <c r="L99" i="102"/>
  <c r="P259" i="82"/>
  <c r="P96" i="82"/>
  <c r="H296" i="102"/>
  <c r="T171" i="102"/>
  <c r="X34" i="102"/>
  <c r="H221" i="102"/>
  <c r="H412" i="102"/>
  <c r="P486" i="102"/>
  <c r="P36" i="82"/>
  <c r="P305" i="82"/>
  <c r="P236" i="82"/>
  <c r="T359" i="102"/>
  <c r="T4" i="102"/>
  <c r="H52" i="102"/>
  <c r="P334" i="102"/>
  <c r="P486" i="82"/>
  <c r="P444" i="102"/>
  <c r="P35" i="82"/>
  <c r="L143" i="102"/>
  <c r="P79" i="82"/>
  <c r="H476" i="102"/>
  <c r="P340" i="82"/>
  <c r="P111" i="82"/>
  <c r="T11" i="102"/>
  <c r="L127" i="102"/>
  <c r="P415" i="102"/>
  <c r="X185" i="102"/>
  <c r="P150" i="82"/>
  <c r="H479" i="102"/>
  <c r="T40" i="102"/>
  <c r="T446" i="102"/>
  <c r="X101" i="102"/>
  <c r="X289" i="102"/>
  <c r="T66" i="102"/>
  <c r="L483" i="102"/>
  <c r="P426" i="82"/>
  <c r="P337" i="82"/>
  <c r="H208" i="102"/>
  <c r="P240" i="102"/>
  <c r="X281" i="102"/>
  <c r="H400" i="102"/>
  <c r="AB252" i="102"/>
  <c r="P371" i="82"/>
  <c r="T87" i="102"/>
  <c r="L126" i="102"/>
  <c r="L118" i="102"/>
  <c r="P281" i="102"/>
  <c r="L174" i="102"/>
  <c r="P417" i="82"/>
  <c r="H430" i="102"/>
  <c r="P192" i="82"/>
  <c r="L23" i="102"/>
  <c r="AB285" i="102"/>
  <c r="P11" i="82"/>
  <c r="T67" i="102"/>
  <c r="H72" i="102"/>
  <c r="H130" i="102"/>
  <c r="H408" i="102"/>
  <c r="H33" i="102"/>
  <c r="X129" i="102"/>
  <c r="P51" i="102"/>
  <c r="H158" i="102"/>
  <c r="H359" i="102"/>
  <c r="H461" i="102"/>
  <c r="P439" i="82"/>
  <c r="P497" i="102"/>
  <c r="AB366" i="102"/>
  <c r="P111" i="102"/>
  <c r="P183" i="82"/>
  <c r="T452" i="102"/>
  <c r="X351" i="102"/>
  <c r="P276" i="82"/>
  <c r="P384" i="82"/>
  <c r="P53" i="82"/>
  <c r="P500" i="82"/>
  <c r="AB314" i="102"/>
  <c r="P171" i="82"/>
  <c r="L249" i="102"/>
  <c r="H82" i="102"/>
  <c r="T433" i="102"/>
  <c r="H293" i="102"/>
  <c r="H330" i="102"/>
  <c r="H205" i="102"/>
  <c r="H244" i="102"/>
  <c r="H475" i="102"/>
  <c r="P341" i="102"/>
  <c r="T373" i="102"/>
  <c r="P258" i="82"/>
  <c r="P178" i="102"/>
  <c r="H376" i="102"/>
  <c r="P270" i="82"/>
  <c r="P152" i="82"/>
  <c r="P116" i="82"/>
  <c r="P301" i="82"/>
  <c r="L194" i="102"/>
  <c r="H306" i="102"/>
  <c r="AB95" i="102"/>
  <c r="AB375" i="102"/>
  <c r="P159" i="102"/>
  <c r="X344" i="102"/>
  <c r="P387" i="102"/>
  <c r="H460" i="102"/>
  <c r="P413" i="82"/>
  <c r="P422" i="82"/>
  <c r="H478" i="102"/>
  <c r="P327" i="82"/>
  <c r="T351" i="102"/>
  <c r="AB59" i="102"/>
  <c r="T141" i="102"/>
  <c r="P178" i="82"/>
  <c r="AB370" i="102"/>
  <c r="T260" i="102"/>
  <c r="L407" i="102"/>
  <c r="H144" i="102"/>
  <c r="AB453" i="102"/>
  <c r="L376" i="102"/>
  <c r="H84" i="102"/>
  <c r="L474" i="102"/>
  <c r="X241" i="102"/>
  <c r="H124" i="102"/>
  <c r="H106" i="102"/>
  <c r="P414" i="82"/>
  <c r="P380" i="82"/>
  <c r="H268" i="102"/>
  <c r="H101" i="102"/>
  <c r="P255" i="82"/>
  <c r="T46" i="102"/>
  <c r="T377" i="102"/>
  <c r="X394" i="102"/>
  <c r="AB122" i="102"/>
  <c r="H231" i="102"/>
  <c r="H127" i="102"/>
  <c r="L489" i="102"/>
  <c r="P8" i="82"/>
  <c r="P452" i="82"/>
  <c r="P76" i="102"/>
  <c r="L32" i="102"/>
  <c r="P404" i="82"/>
  <c r="T394" i="102"/>
  <c r="H473" i="102"/>
  <c r="H246" i="102"/>
  <c r="H466" i="102"/>
  <c r="P115" i="102"/>
  <c r="H354" i="102"/>
  <c r="H62" i="102"/>
  <c r="AB44" i="102"/>
  <c r="P64" i="102"/>
  <c r="P314" i="82"/>
  <c r="L285" i="102"/>
  <c r="H138" i="102"/>
  <c r="AB479" i="102"/>
  <c r="L57" i="102"/>
  <c r="AB153" i="102"/>
  <c r="T238" i="102"/>
  <c r="L346" i="102"/>
  <c r="T343" i="102"/>
  <c r="P273" i="82"/>
  <c r="X98" i="102"/>
  <c r="L301" i="102"/>
  <c r="H35" i="102"/>
  <c r="P492" i="82"/>
  <c r="T132" i="102"/>
  <c r="P352" i="82"/>
  <c r="P229" i="82"/>
  <c r="L185" i="102"/>
  <c r="P179" i="82"/>
  <c r="P280" i="82"/>
  <c r="H195" i="102"/>
  <c r="P33" i="82"/>
  <c r="H44" i="102"/>
  <c r="P445" i="82"/>
  <c r="L135" i="102"/>
  <c r="P355" i="82"/>
  <c r="H305" i="102"/>
  <c r="L83" i="102"/>
  <c r="X448" i="102"/>
  <c r="P136" i="102"/>
  <c r="P434" i="82"/>
  <c r="H110" i="102"/>
  <c r="L2" i="102"/>
  <c r="P372" i="82"/>
  <c r="P261" i="102"/>
  <c r="H173" i="102"/>
  <c r="P120" i="102"/>
  <c r="X386" i="102"/>
  <c r="P132" i="102"/>
  <c r="P203" i="82"/>
  <c r="P431" i="82"/>
  <c r="H485" i="102"/>
  <c r="P315" i="82"/>
  <c r="P415" i="82"/>
  <c r="H93" i="102"/>
  <c r="P275" i="82"/>
  <c r="P31" i="102"/>
  <c r="P351" i="102"/>
  <c r="P3" i="82"/>
  <c r="P235" i="82"/>
  <c r="T325" i="102"/>
  <c r="P186" i="82"/>
  <c r="P362" i="102"/>
  <c r="P116" i="102"/>
  <c r="P431" i="102"/>
  <c r="H83" i="102"/>
  <c r="T136" i="102"/>
  <c r="H341" i="102"/>
  <c r="P331" i="82"/>
  <c r="P194" i="82"/>
  <c r="P472" i="82"/>
  <c r="T331" i="102"/>
  <c r="T389" i="102"/>
  <c r="P350" i="82"/>
  <c r="P454" i="82"/>
  <c r="T488" i="102"/>
  <c r="P177" i="82"/>
  <c r="T244" i="102"/>
  <c r="P282" i="82"/>
  <c r="P230" i="82"/>
  <c r="L344" i="102"/>
  <c r="P49" i="82"/>
  <c r="L288" i="102"/>
  <c r="L37" i="102"/>
  <c r="L236" i="102"/>
  <c r="P369" i="102"/>
  <c r="P136" i="82"/>
  <c r="P92" i="82"/>
  <c r="L181" i="102"/>
  <c r="X197" i="102"/>
  <c r="X121" i="102"/>
  <c r="H373" i="102"/>
  <c r="P122" i="102"/>
  <c r="L40" i="102"/>
  <c r="P220" i="82"/>
  <c r="AB108" i="102"/>
  <c r="L149" i="102"/>
  <c r="P167" i="102"/>
  <c r="L450" i="102"/>
  <c r="P158" i="102"/>
  <c r="L329" i="102"/>
  <c r="P459" i="82"/>
  <c r="H125" i="102"/>
  <c r="H333" i="102"/>
  <c r="H309" i="102"/>
  <c r="AB219" i="102"/>
  <c r="P379" i="82"/>
  <c r="H365" i="102"/>
  <c r="T472" i="102"/>
  <c r="L321" i="102"/>
  <c r="P81" i="82"/>
  <c r="L374" i="102"/>
  <c r="P56" i="102"/>
  <c r="T494" i="102"/>
  <c r="AB160" i="102"/>
  <c r="L87" i="102"/>
  <c r="T125" i="102"/>
  <c r="AB330" i="102"/>
  <c r="P398" i="82"/>
  <c r="AB262" i="102"/>
  <c r="L257" i="102"/>
  <c r="X103" i="102"/>
  <c r="H360" i="102"/>
  <c r="T197" i="102"/>
  <c r="L377" i="102"/>
  <c r="P52" i="102"/>
  <c r="H60" i="102"/>
  <c r="H198" i="102"/>
  <c r="L230" i="102"/>
  <c r="H161" i="102"/>
  <c r="H151" i="102"/>
  <c r="P470" i="82"/>
  <c r="P261" i="82"/>
  <c r="H367" i="102"/>
  <c r="P227" i="82"/>
  <c r="L219" i="102"/>
  <c r="P491" i="82"/>
  <c r="P47" i="102"/>
  <c r="AB315" i="102"/>
  <c r="X25" i="102"/>
  <c r="P183" i="102"/>
  <c r="AB48" i="102"/>
  <c r="H317" i="102"/>
  <c r="H102" i="102"/>
  <c r="P74" i="82"/>
  <c r="P222" i="82"/>
  <c r="T464" i="102"/>
  <c r="L428" i="102"/>
  <c r="X234" i="102"/>
  <c r="H328" i="102"/>
  <c r="H126" i="102"/>
  <c r="P283" i="82"/>
  <c r="P253" i="82"/>
  <c r="P15" i="82"/>
  <c r="P244" i="82"/>
  <c r="P151" i="82"/>
  <c r="H111" i="102"/>
  <c r="X95" i="102"/>
  <c r="H199" i="102"/>
  <c r="L237" i="102"/>
  <c r="X24" i="102"/>
  <c r="P469" i="82"/>
  <c r="P211" i="82"/>
  <c r="P67" i="82"/>
  <c r="P38" i="82"/>
  <c r="P149" i="102"/>
  <c r="H186" i="102"/>
  <c r="H284" i="102"/>
  <c r="T279" i="102"/>
  <c r="P432" i="102"/>
  <c r="H122" i="102"/>
  <c r="L26" i="102"/>
  <c r="P336" i="82"/>
  <c r="H167" i="102"/>
  <c r="P55" i="82"/>
  <c r="T393" i="102"/>
  <c r="L223" i="102"/>
  <c r="P131" i="102"/>
  <c r="T234" i="102"/>
  <c r="P350" i="102"/>
  <c r="H481" i="102"/>
  <c r="L380" i="102"/>
  <c r="P480" i="102"/>
  <c r="H310" i="102"/>
  <c r="L117" i="102"/>
  <c r="H166" i="102"/>
  <c r="T253" i="102"/>
  <c r="AB9" i="102"/>
  <c r="P260" i="82"/>
  <c r="H128" i="102"/>
  <c r="P316" i="82"/>
  <c r="P251" i="102"/>
  <c r="T204" i="102"/>
  <c r="H43" i="102"/>
  <c r="AB335" i="102"/>
  <c r="H416" i="102"/>
  <c r="H103" i="102"/>
  <c r="P16" i="82"/>
  <c r="AB225" i="102"/>
  <c r="L200" i="102"/>
  <c r="P59" i="102"/>
  <c r="H180" i="102"/>
  <c r="H492" i="102"/>
  <c r="P96" i="102"/>
  <c r="T328" i="102"/>
  <c r="H61" i="102"/>
  <c r="H243" i="102"/>
  <c r="L163" i="102"/>
  <c r="P133" i="82"/>
  <c r="X474" i="102"/>
  <c r="L160" i="102"/>
  <c r="X393" i="102"/>
  <c r="P469" i="102"/>
  <c r="H71" i="102"/>
  <c r="P231" i="102"/>
  <c r="H78" i="102"/>
  <c r="P364" i="82"/>
  <c r="P248" i="102"/>
  <c r="P441" i="82"/>
  <c r="H291" i="102"/>
  <c r="P237" i="82"/>
  <c r="L284" i="102"/>
  <c r="T366" i="102"/>
  <c r="P101" i="82"/>
  <c r="P107" i="82"/>
  <c r="H179" i="102"/>
  <c r="P277" i="82"/>
  <c r="H303" i="102"/>
  <c r="P122" i="82"/>
  <c r="X303" i="102"/>
  <c r="H249" i="102"/>
  <c r="T77" i="102"/>
  <c r="L147" i="102"/>
  <c r="L263" i="102"/>
  <c r="X359" i="102"/>
  <c r="P141" i="102"/>
  <c r="T324" i="102"/>
  <c r="T126" i="102"/>
  <c r="T443" i="102"/>
  <c r="L207" i="102"/>
  <c r="P228" i="82"/>
  <c r="T383" i="102"/>
  <c r="H279" i="102"/>
  <c r="AB398" i="102"/>
  <c r="H140" i="102"/>
  <c r="H383" i="102"/>
  <c r="L80" i="102"/>
  <c r="T311" i="102"/>
  <c r="P118" i="82"/>
  <c r="T205" i="102"/>
  <c r="T254" i="102"/>
  <c r="T208" i="102"/>
  <c r="L279" i="102"/>
  <c r="H134" i="102"/>
  <c r="P468" i="102"/>
  <c r="AB441" i="102"/>
  <c r="H455" i="102"/>
  <c r="H12" i="102"/>
  <c r="H230" i="102"/>
  <c r="H8" i="102"/>
  <c r="H422" i="102"/>
  <c r="T266" i="102"/>
  <c r="X278" i="102"/>
  <c r="P44" i="82"/>
  <c r="P154" i="82"/>
  <c r="H191" i="102"/>
  <c r="P346" i="82"/>
  <c r="P202" i="82"/>
  <c r="X22" i="102"/>
  <c r="P267" i="82"/>
  <c r="P123" i="102"/>
  <c r="P170" i="102"/>
  <c r="H320" i="102"/>
  <c r="P499" i="102"/>
  <c r="H228" i="102"/>
  <c r="P433" i="82"/>
  <c r="P326" i="82"/>
  <c r="P409" i="102"/>
  <c r="L48" i="102"/>
  <c r="H117" i="102"/>
  <c r="H348" i="102"/>
  <c r="H482" i="102"/>
  <c r="T337" i="102"/>
  <c r="P400" i="82"/>
  <c r="P438" i="82"/>
  <c r="H282" i="102"/>
  <c r="H54" i="102"/>
  <c r="P9" i="82"/>
  <c r="H107" i="102"/>
  <c r="P335" i="82"/>
  <c r="H247" i="102"/>
  <c r="H91" i="102"/>
  <c r="AB142" i="102"/>
  <c r="H325" i="102"/>
  <c r="P249" i="82"/>
  <c r="P440" i="102"/>
  <c r="P58" i="102"/>
  <c r="P369" i="82"/>
  <c r="T319" i="102"/>
  <c r="H414" i="102"/>
  <c r="P114" i="82"/>
  <c r="T104" i="102"/>
  <c r="H63" i="102"/>
  <c r="H396" i="102"/>
  <c r="P478" i="82"/>
  <c r="P127" i="82"/>
  <c r="L145" i="102"/>
  <c r="P313" i="82"/>
  <c r="H450" i="102"/>
  <c r="T493" i="102"/>
  <c r="H251" i="102"/>
  <c r="P90" i="82"/>
  <c r="L198" i="102"/>
  <c r="P332" i="82"/>
  <c r="P192" i="102"/>
  <c r="P66" i="82"/>
  <c r="P391" i="82"/>
  <c r="H281" i="102"/>
  <c r="T190" i="102"/>
  <c r="L500" i="102"/>
  <c r="P348" i="82"/>
  <c r="X243" i="102"/>
  <c r="P84" i="82"/>
  <c r="H350" i="102"/>
  <c r="H245" i="102"/>
  <c r="P484" i="82"/>
  <c r="P223" i="82"/>
  <c r="P162" i="102"/>
  <c r="P358" i="82"/>
  <c r="P317" i="82"/>
  <c r="P377" i="82"/>
  <c r="P125" i="102"/>
  <c r="H203" i="102"/>
  <c r="H255" i="102"/>
  <c r="P105" i="102"/>
  <c r="P209" i="82"/>
  <c r="T75" i="102"/>
  <c r="L360" i="102"/>
  <c r="L258" i="102"/>
  <c r="L155" i="102"/>
  <c r="L466" i="102"/>
  <c r="P224" i="82"/>
  <c r="L254" i="102"/>
  <c r="H212" i="102"/>
  <c r="P462" i="82"/>
  <c r="P332" i="102"/>
  <c r="P160" i="82"/>
  <c r="H264" i="102"/>
  <c r="P483" i="82"/>
  <c r="P427" i="82"/>
  <c r="P106" i="82"/>
  <c r="H258" i="102"/>
  <c r="P402" i="82"/>
  <c r="P87" i="82"/>
  <c r="P47" i="82"/>
  <c r="P397" i="102"/>
  <c r="P290" i="82"/>
  <c r="P308" i="82"/>
  <c r="P435" i="102"/>
  <c r="P165" i="82"/>
  <c r="P318" i="82"/>
  <c r="P428" i="82"/>
  <c r="P407" i="82"/>
  <c r="T55" i="102"/>
  <c r="T315" i="102"/>
  <c r="H215" i="102"/>
  <c r="P419" i="82"/>
  <c r="P382" i="82"/>
  <c r="T6" i="102"/>
  <c r="P102" i="82"/>
  <c r="H168" i="102"/>
  <c r="P351" i="82"/>
  <c r="P206" i="102"/>
  <c r="P156" i="82"/>
  <c r="P251" i="82"/>
  <c r="AB406" i="102"/>
  <c r="H438" i="102"/>
  <c r="L391" i="102"/>
  <c r="X126" i="102"/>
  <c r="H217" i="102"/>
  <c r="P361" i="82"/>
  <c r="AB486" i="102"/>
  <c r="AB150" i="102"/>
  <c r="H181" i="102"/>
  <c r="P26" i="82"/>
  <c r="H472" i="102"/>
  <c r="H48" i="102"/>
  <c r="P113" i="82"/>
  <c r="P94" i="82"/>
  <c r="P17" i="82"/>
  <c r="P354" i="82"/>
  <c r="P121" i="82"/>
  <c r="P30" i="102"/>
  <c r="L335" i="102"/>
  <c r="H222" i="102"/>
  <c r="P140" i="82"/>
  <c r="X334" i="102"/>
  <c r="P254" i="82"/>
  <c r="H339" i="102"/>
  <c r="P252" i="102"/>
  <c r="L271" i="102"/>
  <c r="T308" i="102"/>
  <c r="L467" i="102"/>
  <c r="P278" i="102"/>
  <c r="P489" i="82"/>
  <c r="H316" i="102"/>
  <c r="P288" i="82"/>
  <c r="P78" i="82"/>
  <c r="L110" i="102"/>
  <c r="H241" i="102"/>
  <c r="H19" i="102"/>
  <c r="H426" i="102"/>
  <c r="P205" i="102"/>
  <c r="H223" i="102"/>
  <c r="P435" i="82"/>
  <c r="P429" i="82"/>
  <c r="P284" i="82"/>
  <c r="H27" i="102"/>
  <c r="H119" i="102"/>
  <c r="H319" i="102"/>
  <c r="H149" i="102"/>
  <c r="T426" i="102"/>
  <c r="P463" i="82"/>
  <c r="H123" i="102"/>
  <c r="P311" i="82"/>
  <c r="P150" i="102"/>
  <c r="H99" i="102"/>
  <c r="L262" i="102"/>
  <c r="P155" i="82"/>
  <c r="H113" i="102"/>
  <c r="H4" i="102"/>
  <c r="P210" i="82"/>
  <c r="H204" i="102"/>
  <c r="P57" i="82"/>
  <c r="P310" i="82"/>
  <c r="H260" i="102"/>
  <c r="P173" i="82"/>
  <c r="P200" i="82"/>
  <c r="H141" i="102"/>
  <c r="T402" i="102"/>
  <c r="P343" i="82"/>
  <c r="P198" i="82"/>
  <c r="P97" i="82"/>
  <c r="P108" i="82"/>
  <c r="H76" i="102"/>
  <c r="H213" i="102"/>
  <c r="X2" i="102"/>
  <c r="P158" i="82"/>
  <c r="P110" i="82"/>
  <c r="P181" i="82"/>
  <c r="P12" i="102"/>
  <c r="AB88" i="102"/>
  <c r="L282" i="102"/>
  <c r="P31" i="82"/>
  <c r="X424" i="102"/>
  <c r="P212" i="82"/>
  <c r="AB227" i="102"/>
  <c r="X3" i="102"/>
  <c r="H55" i="102"/>
  <c r="L146" i="102"/>
  <c r="P263" i="82"/>
  <c r="P187" i="82"/>
  <c r="P239" i="82"/>
  <c r="T30" i="102"/>
  <c r="T449" i="102"/>
  <c r="H65" i="102"/>
  <c r="P500" i="102"/>
  <c r="L74" i="102"/>
  <c r="P451" i="102"/>
  <c r="H169" i="102"/>
  <c r="P256" i="102"/>
  <c r="T5" i="102"/>
  <c r="P371" i="102"/>
  <c r="H109" i="102"/>
  <c r="P339" i="82"/>
  <c r="H287" i="102"/>
  <c r="H272" i="102"/>
  <c r="H13" i="102"/>
  <c r="L224" i="102"/>
  <c r="T360" i="102"/>
  <c r="T388" i="102"/>
  <c r="H227" i="102"/>
  <c r="P168" i="82"/>
  <c r="L165" i="102"/>
  <c r="P142" i="102"/>
  <c r="P39" i="82"/>
  <c r="AB477" i="102"/>
  <c r="H219" i="102"/>
  <c r="AB31" i="102"/>
  <c r="T82" i="102"/>
  <c r="L492" i="102"/>
  <c r="T444" i="102"/>
  <c r="T188" i="102"/>
  <c r="P411" i="82"/>
  <c r="P124" i="82"/>
  <c r="P412" i="82"/>
  <c r="P268" i="102"/>
  <c r="P18" i="82"/>
  <c r="T465" i="102"/>
  <c r="P396" i="82"/>
  <c r="P185" i="82"/>
  <c r="P89" i="82"/>
  <c r="T10" i="102"/>
  <c r="T117" i="102"/>
  <c r="P385" i="82"/>
  <c r="P401" i="82"/>
  <c r="P457" i="82"/>
  <c r="P193" i="82"/>
  <c r="L82" i="102"/>
  <c r="P217" i="82"/>
  <c r="T103" i="102"/>
  <c r="H436" i="102"/>
  <c r="P219" i="82"/>
  <c r="H323" i="102"/>
  <c r="H132" i="102"/>
  <c r="H16" i="102"/>
  <c r="P207" i="82"/>
  <c r="L129" i="102"/>
  <c r="P176" i="82"/>
  <c r="P290" i="102"/>
  <c r="L479" i="102"/>
  <c r="H154" i="102"/>
  <c r="P256" i="82"/>
  <c r="P180" i="102"/>
  <c r="P300" i="82"/>
  <c r="X299" i="102"/>
  <c r="P381" i="82"/>
  <c r="T128" i="102"/>
  <c r="H267" i="102"/>
  <c r="H135" i="102"/>
  <c r="P303" i="102"/>
  <c r="T48" i="102"/>
  <c r="T247" i="102"/>
  <c r="X69" i="102"/>
  <c r="AB397" i="102"/>
  <c r="L291" i="102"/>
  <c r="H276" i="102"/>
  <c r="P222" i="102"/>
  <c r="P180" i="82"/>
  <c r="L228" i="102"/>
  <c r="T382" i="102"/>
  <c r="H238" i="102"/>
  <c r="H79" i="102"/>
  <c r="P112" i="82"/>
  <c r="P294" i="82"/>
  <c r="T338" i="102"/>
  <c r="P333" i="82"/>
  <c r="H105" i="102"/>
  <c r="P424" i="82"/>
  <c r="P134" i="82"/>
  <c r="P269" i="82"/>
  <c r="P119" i="82"/>
  <c r="H493" i="102"/>
  <c r="T61" i="102"/>
  <c r="L176" i="102"/>
  <c r="H269" i="102"/>
  <c r="H469" i="102"/>
  <c r="P42" i="102"/>
  <c r="AB197" i="102"/>
  <c r="L352" i="102"/>
  <c r="P380" i="102"/>
  <c r="T15" i="102"/>
  <c r="T294" i="102"/>
  <c r="P162" i="82"/>
  <c r="T59" i="102"/>
  <c r="T180" i="102"/>
  <c r="H410" i="102"/>
  <c r="P72" i="102"/>
  <c r="P480" i="82"/>
  <c r="L92" i="102"/>
  <c r="P216" i="82"/>
  <c r="P479" i="82"/>
  <c r="T119" i="102"/>
  <c r="P410" i="82"/>
  <c r="L287" i="102"/>
  <c r="H210" i="102"/>
  <c r="P109" i="82"/>
  <c r="P455" i="82"/>
  <c r="P320" i="82"/>
  <c r="H377" i="102"/>
  <c r="P43" i="102"/>
  <c r="L203" i="102"/>
  <c r="P105" i="82"/>
  <c r="H464" i="102"/>
  <c r="P344" i="82"/>
  <c r="P196" i="82"/>
  <c r="P330" i="82"/>
  <c r="T387" i="102"/>
  <c r="P488" i="82"/>
  <c r="H261" i="102"/>
  <c r="P12" i="82"/>
  <c r="H285" i="102"/>
  <c r="P171" i="102"/>
  <c r="P103" i="82"/>
  <c r="P231" i="82"/>
  <c r="P493" i="82"/>
  <c r="L336" i="102"/>
  <c r="P205" i="82"/>
  <c r="P189" i="102"/>
  <c r="P218" i="82"/>
  <c r="H67" i="102"/>
  <c r="P430" i="82"/>
  <c r="P107" i="102"/>
  <c r="P245" i="82"/>
  <c r="H147" i="102"/>
  <c r="T203" i="102"/>
  <c r="T144" i="102"/>
  <c r="AB137" i="102"/>
  <c r="P405" i="82"/>
  <c r="H357" i="102"/>
  <c r="L171" i="102"/>
  <c r="P188" i="82"/>
  <c r="L24" i="102"/>
  <c r="P208" i="82"/>
  <c r="AB472" i="102"/>
  <c r="H441" i="102"/>
  <c r="H467" i="102"/>
  <c r="H164" i="102"/>
  <c r="P126" i="82"/>
  <c r="P370" i="102"/>
  <c r="AB141" i="102"/>
  <c r="T13" i="102"/>
  <c r="X158" i="102"/>
  <c r="T349" i="102"/>
  <c r="X43" i="102"/>
  <c r="P374" i="82"/>
  <c r="L209" i="102"/>
  <c r="P41" i="102"/>
  <c r="P257" i="82"/>
  <c r="P357" i="82"/>
  <c r="H490" i="102"/>
  <c r="H152" i="102"/>
  <c r="P4" i="102"/>
  <c r="P117" i="82"/>
  <c r="P197" i="82"/>
  <c r="L348" i="102"/>
  <c r="P9" i="102"/>
  <c r="P481" i="102"/>
  <c r="P50" i="102"/>
  <c r="P432" i="82"/>
  <c r="L438" i="102"/>
  <c r="P190" i="82"/>
  <c r="P279" i="82"/>
  <c r="P408" i="82"/>
  <c r="H302" i="102"/>
  <c r="L394" i="102"/>
  <c r="P243" i="82"/>
  <c r="L304" i="102"/>
  <c r="L274" i="102"/>
  <c r="H56" i="102"/>
  <c r="P196" i="102"/>
  <c r="P5" i="82"/>
  <c r="L276" i="102"/>
  <c r="T245" i="102"/>
  <c r="P239" i="102"/>
  <c r="P52" i="82"/>
  <c r="H183" i="102"/>
  <c r="P443" i="82"/>
  <c r="L343" i="102"/>
  <c r="P436" i="82"/>
  <c r="H190" i="102"/>
  <c r="T216" i="102"/>
  <c r="P312" i="82"/>
  <c r="P104" i="82"/>
  <c r="P345" i="82"/>
  <c r="P295" i="102"/>
  <c r="H85" i="102"/>
  <c r="L296" i="102"/>
  <c r="T74" i="102"/>
  <c r="H252" i="102"/>
  <c r="P356" i="82"/>
  <c r="P115" i="82"/>
  <c r="P311" i="102"/>
  <c r="P299" i="82"/>
  <c r="H297" i="102"/>
  <c r="T437" i="102"/>
  <c r="L73" i="102"/>
  <c r="P487" i="82"/>
  <c r="L202" i="102"/>
  <c r="P466" i="82"/>
  <c r="P146" i="82"/>
  <c r="L238" i="102"/>
  <c r="P48" i="102"/>
  <c r="T287" i="102"/>
  <c r="P354" i="102"/>
  <c r="X36" i="102"/>
  <c r="P276" i="102"/>
  <c r="P67" i="102"/>
  <c r="H184" i="102"/>
  <c r="L9" i="102"/>
  <c r="H234" i="102"/>
  <c r="L211" i="102"/>
  <c r="P439" i="102"/>
  <c r="L104" i="102"/>
  <c r="P421" i="82"/>
  <c r="P133" i="102"/>
  <c r="H88" i="102"/>
  <c r="P195" i="82"/>
  <c r="T379" i="102"/>
  <c r="L112" i="102"/>
  <c r="P485" i="82"/>
  <c r="P482" i="82"/>
  <c r="P278" i="82"/>
  <c r="P113" i="102"/>
  <c r="P359" i="82"/>
  <c r="L172" i="102"/>
  <c r="P289" i="82"/>
  <c r="P163" i="82"/>
  <c r="P187" i="102"/>
  <c r="P125" i="82"/>
  <c r="H445" i="102"/>
  <c r="H343" i="102"/>
  <c r="H226" i="102"/>
  <c r="L168" i="102"/>
  <c r="T182" i="102"/>
  <c r="P214" i="102"/>
  <c r="P132" i="82"/>
  <c r="P206" i="82"/>
  <c r="P238" i="82"/>
  <c r="P291" i="82"/>
  <c r="P475" i="82"/>
  <c r="L6" i="102"/>
  <c r="P82" i="82"/>
  <c r="P142" i="82"/>
  <c r="P304" i="82"/>
  <c r="H90" i="102"/>
  <c r="P153" i="82"/>
  <c r="H368" i="102"/>
  <c r="P312" i="102"/>
  <c r="P255" i="102"/>
  <c r="H456" i="102"/>
  <c r="P43" i="82"/>
  <c r="P24" i="82"/>
  <c r="P321" i="82"/>
  <c r="P41" i="82"/>
  <c r="P100" i="82"/>
  <c r="P295" i="82"/>
  <c r="P89" i="102"/>
  <c r="H194" i="102"/>
  <c r="P394" i="82"/>
  <c r="L93" i="102"/>
  <c r="P396" i="102"/>
  <c r="L199" i="102"/>
  <c r="H242" i="102"/>
  <c r="P37" i="82"/>
  <c r="T60" i="102"/>
  <c r="P474" i="82"/>
  <c r="AB129" i="102"/>
  <c r="P161" i="82"/>
  <c r="H417" i="102"/>
  <c r="P223" i="102"/>
  <c r="P123" i="82"/>
  <c r="H42" i="102"/>
  <c r="P174" i="82"/>
  <c r="P285" i="82"/>
  <c r="P131" i="82"/>
  <c r="L339" i="102"/>
  <c r="T130" i="102"/>
  <c r="P422" i="102"/>
  <c r="P14" i="102"/>
  <c r="AB70" i="102"/>
  <c r="P416" i="102"/>
  <c r="H218" i="102"/>
  <c r="P95" i="82"/>
  <c r="L272" i="102"/>
  <c r="T495" i="102"/>
  <c r="H214" i="102"/>
  <c r="P234" i="82"/>
  <c r="H491" i="102"/>
  <c r="P169" i="82"/>
  <c r="P274" i="82"/>
  <c r="L419" i="102"/>
  <c r="L170" i="102"/>
  <c r="P247" i="102"/>
  <c r="P294" i="102"/>
  <c r="H157" i="102"/>
  <c r="H3" i="102"/>
  <c r="H344" i="102"/>
  <c r="L390" i="102"/>
  <c r="P204" i="102"/>
  <c r="H484" i="102"/>
  <c r="P61" i="82"/>
  <c r="L229" i="102"/>
  <c r="P347" i="82"/>
  <c r="P252" i="82"/>
  <c r="L19" i="102"/>
  <c r="H171" i="102"/>
  <c r="AB462" i="102"/>
  <c r="P297" i="82"/>
  <c r="P102" i="102"/>
  <c r="X322" i="102"/>
  <c r="P135" i="82"/>
  <c r="P98" i="82"/>
  <c r="P54" i="82"/>
  <c r="P471" i="82"/>
  <c r="P88" i="82"/>
  <c r="T267" i="102"/>
  <c r="L151" i="102"/>
  <c r="P99" i="82"/>
  <c r="P91" i="82"/>
  <c r="P366" i="82"/>
  <c r="L326" i="102"/>
  <c r="P71" i="82"/>
  <c r="P28" i="82"/>
  <c r="P46" i="82"/>
  <c r="P143" i="82"/>
  <c r="T63" i="102"/>
  <c r="P48" i="82"/>
  <c r="L139" i="102"/>
  <c r="P365" i="82"/>
  <c r="H216" i="102"/>
  <c r="P138" i="82"/>
  <c r="X290" i="102"/>
  <c r="P189" i="82"/>
  <c r="T454" i="102"/>
  <c r="P296" i="82"/>
  <c r="H342" i="102"/>
  <c r="H224" i="102"/>
  <c r="P418" i="82"/>
  <c r="P271" i="82"/>
  <c r="P204" i="82"/>
  <c r="P293" i="82"/>
  <c r="P324" i="82"/>
  <c r="P442" i="82"/>
  <c r="H20" i="102"/>
  <c r="P149" i="82"/>
  <c r="P246" i="82"/>
  <c r="P241" i="82"/>
  <c r="P34" i="82"/>
  <c r="P416" i="82"/>
  <c r="P368" i="82"/>
  <c r="P240" i="82"/>
  <c r="L91" i="102"/>
  <c r="P405" i="102"/>
  <c r="P453" i="82"/>
  <c r="T139" i="102"/>
  <c r="H415" i="102"/>
  <c r="P242" i="82"/>
  <c r="T43" i="102"/>
  <c r="P298" i="82"/>
  <c r="P322" i="82"/>
  <c r="H188" i="102"/>
  <c r="P34" i="102"/>
  <c r="P363" i="82"/>
  <c r="L455" i="102"/>
  <c r="L193" i="102"/>
  <c r="P328" i="82"/>
  <c r="T112" i="102"/>
  <c r="P58" i="82"/>
  <c r="P302" i="82"/>
  <c r="H237" i="102"/>
  <c r="P394" i="102"/>
  <c r="L215" i="102"/>
  <c r="H253" i="102"/>
  <c r="L401" i="102"/>
  <c r="AB452" i="102"/>
  <c r="H100" i="102"/>
  <c r="P334" i="82"/>
  <c r="P360" i="82"/>
  <c r="P159" i="82"/>
  <c r="L267" i="102"/>
  <c r="T327" i="102"/>
  <c r="P215" i="82"/>
  <c r="H139" i="102"/>
  <c r="P476" i="82"/>
  <c r="L71" i="102"/>
  <c r="L221" i="102"/>
  <c r="P199" i="82"/>
  <c r="P338" i="82"/>
  <c r="P40" i="82"/>
  <c r="H313" i="102"/>
  <c r="P425" i="82"/>
  <c r="P388" i="82"/>
  <c r="H207" i="102"/>
  <c r="L246" i="102"/>
  <c r="H196" i="102"/>
  <c r="AB260" i="102"/>
  <c r="P490" i="82"/>
  <c r="P197" i="102"/>
  <c r="P128" i="82"/>
  <c r="P446" i="82"/>
  <c r="H254" i="102"/>
  <c r="H372" i="102"/>
  <c r="P19" i="82"/>
  <c r="L355" i="102"/>
  <c r="T453" i="102"/>
  <c r="P368" i="102"/>
  <c r="H172" i="102"/>
  <c r="H312" i="102"/>
  <c r="H295" i="102"/>
  <c r="P420" i="82"/>
  <c r="L493" i="102"/>
  <c r="H232" i="102"/>
  <c r="L283" i="102"/>
  <c r="P129" i="82"/>
  <c r="T438" i="102"/>
  <c r="P164" i="82"/>
  <c r="T71" i="102"/>
  <c r="X499" i="102"/>
  <c r="P399" i="82"/>
  <c r="P23" i="82"/>
  <c r="H256" i="102"/>
  <c r="H239" i="102"/>
  <c r="P169" i="102"/>
  <c r="H47" i="102"/>
  <c r="P83" i="82"/>
  <c r="H480" i="102"/>
  <c r="H146" i="102"/>
  <c r="P309" i="82"/>
  <c r="L471" i="102"/>
  <c r="L417" i="82"/>
  <c r="L999" i="82"/>
  <c r="D272" i="82"/>
  <c r="D251" i="82"/>
  <c r="L487" i="82"/>
  <c r="L328" i="82"/>
  <c r="D738" i="82"/>
  <c r="L469" i="82"/>
  <c r="L823" i="82"/>
  <c r="D13" i="82"/>
  <c r="L331" i="82"/>
  <c r="D1" i="82"/>
  <c r="D637" i="82"/>
  <c r="D696" i="82"/>
  <c r="L580" i="82"/>
  <c r="L740" i="82"/>
  <c r="D75" i="82"/>
  <c r="D458" i="82"/>
  <c r="L212" i="82"/>
  <c r="L796" i="82"/>
  <c r="D847" i="82"/>
  <c r="D380" i="82"/>
  <c r="L192" i="82"/>
  <c r="D478" i="82"/>
  <c r="L718" i="82"/>
  <c r="L989" i="82"/>
  <c r="L10" i="82"/>
  <c r="L367" i="82"/>
  <c r="L223" i="82"/>
  <c r="D220" i="82"/>
  <c r="D677" i="82"/>
  <c r="D777" i="82"/>
  <c r="L70" i="82"/>
  <c r="L360" i="82"/>
  <c r="L940" i="82"/>
  <c r="L411" i="82"/>
  <c r="D235" i="82"/>
  <c r="L377" i="82"/>
  <c r="D826" i="82"/>
  <c r="L452" i="82"/>
  <c r="D226" i="82"/>
  <c r="D995" i="82"/>
  <c r="L82" i="82"/>
  <c r="L93" i="82"/>
  <c r="D975" i="82"/>
  <c r="L494" i="82"/>
  <c r="L183" i="82"/>
  <c r="L803" i="82"/>
  <c r="L145" i="82"/>
  <c r="L78" i="82"/>
  <c r="L774" i="82"/>
  <c r="D240" i="82"/>
  <c r="D597" i="82"/>
  <c r="L574" i="82"/>
  <c r="D131" i="82"/>
  <c r="D498" i="82"/>
  <c r="D821" i="82"/>
  <c r="L330" i="82"/>
  <c r="L325" i="82"/>
  <c r="D621" i="82"/>
  <c r="L3" i="82"/>
  <c r="L442" i="82"/>
  <c r="D45" i="82"/>
  <c r="L588" i="82"/>
  <c r="L982" i="82"/>
  <c r="D734" i="82"/>
  <c r="L431" i="82"/>
  <c r="L655" i="82"/>
  <c r="D267" i="82"/>
  <c r="D115" i="82"/>
  <c r="L645" i="82"/>
  <c r="D20" i="82"/>
  <c r="D490" i="82"/>
  <c r="D260" i="82"/>
  <c r="L250" i="82"/>
  <c r="D308" i="82"/>
  <c r="L828" i="82"/>
  <c r="D555" i="82"/>
  <c r="L830" i="82"/>
  <c r="D255" i="82"/>
  <c r="D351" i="82"/>
  <c r="D86" i="82"/>
  <c r="D668" i="82"/>
  <c r="D263" i="82"/>
  <c r="D968" i="82"/>
  <c r="D787" i="82"/>
  <c r="L519" i="82"/>
  <c r="L87" i="82"/>
  <c r="D250" i="82"/>
  <c r="L20" i="82"/>
  <c r="D497" i="82"/>
  <c r="D724" i="82"/>
  <c r="L422" i="82"/>
  <c r="L786" i="82"/>
  <c r="D717" i="82"/>
  <c r="L909" i="82"/>
  <c r="D748" i="82"/>
  <c r="L418" i="82"/>
  <c r="D788" i="82"/>
  <c r="D359" i="82"/>
  <c r="L424" i="82"/>
  <c r="D544" i="82"/>
  <c r="L643" i="82"/>
  <c r="L157" i="82"/>
  <c r="L806" i="82"/>
  <c r="L129" i="82"/>
  <c r="L818" i="82"/>
  <c r="L885" i="82"/>
  <c r="D560" i="82"/>
  <c r="D460" i="82"/>
  <c r="L218" i="82"/>
  <c r="D97" i="82"/>
  <c r="L443" i="82"/>
  <c r="D218" i="82"/>
  <c r="L568" i="82"/>
  <c r="D194" i="82"/>
  <c r="L809" i="82"/>
  <c r="D156" i="82"/>
  <c r="D335" i="82"/>
  <c r="D602" i="82"/>
  <c r="L176" i="82"/>
  <c r="L594" i="82"/>
  <c r="D985" i="82"/>
  <c r="L629" i="82"/>
  <c r="L474" i="82"/>
  <c r="L526" i="82"/>
  <c r="D331" i="82"/>
  <c r="L816" i="82"/>
  <c r="L516" i="82"/>
  <c r="D561" i="82"/>
  <c r="L798" i="82"/>
  <c r="D65" i="82"/>
  <c r="L660" i="82"/>
  <c r="D411" i="82"/>
  <c r="D733" i="82"/>
  <c r="D192" i="82"/>
  <c r="L128" i="82"/>
  <c r="L59" i="82"/>
  <c r="L303" i="82"/>
  <c r="L862" i="82"/>
  <c r="D563" i="82"/>
  <c r="L410" i="82"/>
  <c r="D325" i="82"/>
  <c r="L116" i="82"/>
  <c r="L950" i="82"/>
  <c r="D209" i="82"/>
  <c r="L425" i="82"/>
  <c r="L986" i="82"/>
  <c r="D535" i="82"/>
  <c r="D319" i="82"/>
  <c r="L559" i="82"/>
  <c r="D926" i="82"/>
  <c r="D529" i="82"/>
  <c r="L635" i="82"/>
  <c r="L383" i="82"/>
  <c r="L98" i="82"/>
  <c r="L957" i="82"/>
  <c r="L856" i="82"/>
  <c r="L389" i="82"/>
  <c r="L858" i="82"/>
  <c r="D426" i="82"/>
  <c r="L231" i="82"/>
  <c r="D629" i="82"/>
  <c r="D436" i="82"/>
  <c r="L358" i="82"/>
  <c r="L222" i="82"/>
  <c r="D300" i="82"/>
  <c r="L778" i="82"/>
  <c r="D54" i="82"/>
  <c r="L968" i="82"/>
  <c r="D672" i="82"/>
  <c r="L346" i="82"/>
  <c r="L468" i="82"/>
  <c r="L917" i="82"/>
  <c r="L335" i="82"/>
  <c r="D825" i="82"/>
  <c r="L132" i="82"/>
  <c r="L366" i="82"/>
  <c r="D119" i="82"/>
  <c r="D432" i="82"/>
  <c r="L354" i="82"/>
  <c r="L326" i="82"/>
  <c r="D770" i="82"/>
  <c r="L319" i="82"/>
  <c r="L993" i="82"/>
  <c r="L790" i="82"/>
  <c r="L291" i="82"/>
  <c r="L276" i="82"/>
  <c r="L621" i="82"/>
  <c r="D632" i="82"/>
  <c r="L19" i="82"/>
  <c r="L111" i="82"/>
  <c r="L74" i="82"/>
  <c r="L281" i="82"/>
  <c r="L540" i="82"/>
  <c r="D565" i="82"/>
  <c r="D416" i="82"/>
  <c r="L503" i="82"/>
  <c r="D583" i="82"/>
  <c r="D104" i="82"/>
  <c r="L85" i="82"/>
  <c r="L530" i="82"/>
  <c r="L327" i="82"/>
  <c r="D970" i="82"/>
  <c r="D274" i="82"/>
  <c r="L462" i="82"/>
  <c r="L119" i="82"/>
  <c r="L735" i="82"/>
  <c r="D653" i="82"/>
  <c r="D523" i="82"/>
  <c r="L979" i="82"/>
  <c r="L907" i="82"/>
  <c r="D495" i="82"/>
  <c r="L628" i="82"/>
  <c r="L838" i="82"/>
  <c r="L197" i="82"/>
  <c r="L980" i="82"/>
  <c r="L201" i="82"/>
  <c r="D508" i="82"/>
  <c r="D719" i="82"/>
  <c r="L318" i="82"/>
  <c r="D783" i="82"/>
  <c r="L723" i="82"/>
  <c r="L209" i="82"/>
  <c r="D290" i="82"/>
  <c r="L99" i="82"/>
  <c r="D215" i="82"/>
  <c r="D505" i="82"/>
  <c r="D935" i="82"/>
  <c r="L502" i="82"/>
  <c r="L548" i="82"/>
  <c r="L184" i="82"/>
  <c r="L202" i="82"/>
  <c r="D58" i="82"/>
  <c r="D60" i="82"/>
  <c r="L196" i="82"/>
  <c r="L493" i="82"/>
  <c r="D594" i="82"/>
  <c r="L565" i="82"/>
  <c r="D822" i="82"/>
  <c r="D761" i="82"/>
  <c r="L754" i="82"/>
  <c r="D776" i="82"/>
  <c r="D680" i="82"/>
  <c r="L125" i="82"/>
  <c r="D376" i="82"/>
  <c r="D865" i="82"/>
  <c r="L952" i="82"/>
  <c r="L898" i="82"/>
  <c r="L25" i="82"/>
  <c r="D148" i="82"/>
  <c r="L866" i="82"/>
  <c r="D853" i="82"/>
  <c r="L34" i="82"/>
  <c r="D700" i="82"/>
  <c r="D712" i="82"/>
  <c r="D112" i="82"/>
  <c r="L143" i="82"/>
  <c r="L334" i="82"/>
  <c r="L356" i="82"/>
  <c r="L170" i="82"/>
  <c r="L913" i="82"/>
  <c r="D224" i="82"/>
  <c r="L405" i="82"/>
  <c r="D286" i="82"/>
  <c r="D83" i="82"/>
  <c r="L658" i="82"/>
  <c r="D765" i="82"/>
  <c r="D50" i="82"/>
  <c r="L771" i="82"/>
  <c r="L28" i="82"/>
  <c r="D361" i="82"/>
  <c r="L393" i="82"/>
  <c r="D904" i="82"/>
  <c r="D205" i="82"/>
  <c r="L146" i="82"/>
  <c r="L927" i="82"/>
  <c r="D279" i="82"/>
  <c r="L929" i="82"/>
  <c r="L272" i="82"/>
  <c r="D135" i="82"/>
  <c r="D270" i="82"/>
  <c r="L972" i="82"/>
  <c r="L379" i="82"/>
  <c r="L998" i="82"/>
  <c r="D756" i="82"/>
  <c r="L14" i="82"/>
  <c r="L764" i="82"/>
  <c r="L124" i="82"/>
  <c r="L481" i="82"/>
  <c r="D122" i="82"/>
  <c r="D155" i="82"/>
  <c r="L213" i="82"/>
  <c r="L601" i="82"/>
  <c r="L884" i="82"/>
  <c r="L97" i="82"/>
  <c r="D901" i="82"/>
  <c r="D732" i="82"/>
  <c r="D913" i="82"/>
  <c r="L228" i="82"/>
  <c r="D383" i="82"/>
  <c r="L799" i="82"/>
  <c r="D943" i="82"/>
  <c r="D55" i="82"/>
  <c r="D96" i="82"/>
  <c r="L353" i="82"/>
  <c r="D735" i="82"/>
  <c r="L35" i="82"/>
  <c r="D296" i="82"/>
  <c r="D607" i="82"/>
  <c r="L488" i="82"/>
  <c r="L260" i="82"/>
  <c r="D35" i="82"/>
  <c r="L489" i="82"/>
  <c r="L56" i="82"/>
  <c r="D945" i="82"/>
  <c r="D184" i="82"/>
  <c r="D151" i="82"/>
  <c r="D610" i="82"/>
  <c r="L1" i="82"/>
  <c r="D598" i="82"/>
  <c r="D372" i="82"/>
  <c r="L599" i="82"/>
  <c r="L686" i="82"/>
  <c r="L709" i="82"/>
  <c r="L650" i="82"/>
  <c r="L711" i="82"/>
  <c r="D3" i="82"/>
  <c r="L962" i="82"/>
  <c r="L199" i="82"/>
  <c r="L178" i="82"/>
  <c r="L819" i="82"/>
  <c r="L141" i="82"/>
  <c r="L321" i="82"/>
  <c r="L6" i="82"/>
  <c r="L853" i="82"/>
  <c r="L755" i="82"/>
  <c r="L84" i="82"/>
  <c r="D745" i="82"/>
  <c r="D797" i="82"/>
  <c r="L892" i="82"/>
  <c r="L338" i="82"/>
  <c r="L144" i="82"/>
  <c r="D181" i="82"/>
  <c r="L352" i="82"/>
  <c r="L439" i="82"/>
  <c r="D152" i="82"/>
  <c r="D188" i="82"/>
  <c r="L586" i="82"/>
  <c r="D153" i="82"/>
  <c r="D957" i="82"/>
  <c r="L673" i="82"/>
  <c r="L556" i="82"/>
  <c r="D292" i="82"/>
  <c r="L109" i="82"/>
  <c r="L31" i="82"/>
  <c r="L868" i="82"/>
  <c r="D390" i="82"/>
  <c r="L886" i="82"/>
  <c r="L60" i="82"/>
  <c r="L287" i="82"/>
  <c r="D439" i="82"/>
  <c r="D469" i="82"/>
  <c r="D22" i="82"/>
  <c r="L161" i="82"/>
  <c r="L997" i="82"/>
  <c r="L454" i="82"/>
  <c r="L96" i="82"/>
  <c r="D868" i="82"/>
  <c r="L165" i="82"/>
  <c r="L839" i="82"/>
  <c r="D517" i="82"/>
  <c r="L524" i="82"/>
  <c r="L944" i="82"/>
  <c r="L473" i="82"/>
  <c r="D159" i="82"/>
  <c r="D126" i="82"/>
  <c r="L576" i="82"/>
  <c r="D223" i="82"/>
  <c r="D554" i="82"/>
  <c r="L155" i="82"/>
  <c r="L476" i="82"/>
  <c r="D158" i="82"/>
  <c r="L609" i="82"/>
  <c r="L978" i="82"/>
  <c r="D609" i="82"/>
  <c r="D736" i="82"/>
  <c r="L252" i="82"/>
  <c r="D487" i="82"/>
  <c r="D654" i="82"/>
  <c r="D413" i="82"/>
  <c r="L840" i="82"/>
  <c r="L865" i="82"/>
  <c r="L758" i="82"/>
  <c r="D236" i="82"/>
  <c r="D78" i="82"/>
  <c r="D496" i="82"/>
  <c r="L575" i="82"/>
  <c r="L864" i="82"/>
  <c r="D681" i="82"/>
  <c r="L217" i="82"/>
  <c r="D905" i="82"/>
  <c r="L863" i="82"/>
  <c r="L219" i="82"/>
  <c r="L467" i="82"/>
  <c r="L207" i="82"/>
  <c r="L42" i="82"/>
  <c r="D203" i="82"/>
  <c r="L908" i="82"/>
  <c r="D466" i="82"/>
  <c r="D530" i="82"/>
  <c r="D71" i="82"/>
  <c r="L636" i="82"/>
  <c r="L117" i="82"/>
  <c r="D88" i="82"/>
  <c r="L761" i="82"/>
  <c r="L934" i="82"/>
  <c r="L499" i="82"/>
  <c r="L630" i="82"/>
  <c r="D136" i="82"/>
  <c r="D239" i="82"/>
  <c r="L113" i="82"/>
  <c r="D504" i="82"/>
  <c r="L851" i="82"/>
  <c r="L49" i="82"/>
  <c r="D884" i="82"/>
  <c r="L596" i="82"/>
  <c r="D673" i="82"/>
  <c r="D587" i="82"/>
  <c r="L566" i="82"/>
  <c r="L269" i="82"/>
  <c r="D451" i="82"/>
  <c r="D150" i="82"/>
  <c r="L290" i="82"/>
  <c r="D744" i="82"/>
  <c r="L981" i="82"/>
  <c r="L504" i="82"/>
  <c r="D526" i="82"/>
  <c r="D763" i="82"/>
  <c r="D231" i="82"/>
  <c r="L43" i="82"/>
  <c r="L52" i="82"/>
  <c r="L569" i="82"/>
  <c r="L127" i="82"/>
  <c r="D187" i="82"/>
  <c r="L320" i="82"/>
  <c r="L234" i="82"/>
  <c r="D149" i="82"/>
  <c r="L283" i="82"/>
  <c r="L661" i="82"/>
  <c r="L992" i="82"/>
  <c r="L562" i="82"/>
  <c r="L788" i="82"/>
  <c r="L312" i="82"/>
  <c r="L415" i="82"/>
  <c r="L419" i="82"/>
  <c r="D56" i="82"/>
  <c r="L402" i="82"/>
  <c r="D869" i="82"/>
  <c r="L638" i="82"/>
  <c r="D515" i="82"/>
  <c r="L123" i="82"/>
  <c r="L730" i="82"/>
  <c r="D782" i="82"/>
  <c r="L691" i="82"/>
  <c r="D457" i="82"/>
  <c r="D624" i="82"/>
  <c r="D374" i="82"/>
  <c r="L713" i="82"/>
  <c r="L905" i="82"/>
  <c r="D855" i="82"/>
  <c r="D408" i="82"/>
  <c r="L639" i="82"/>
  <c r="L926" i="82"/>
  <c r="L479" i="82"/>
  <c r="D202" i="82"/>
  <c r="L147" i="82"/>
  <c r="D768" i="82"/>
  <c r="L529" i="82"/>
  <c r="D453" i="82"/>
  <c r="L369" i="82"/>
  <c r="D726" i="82"/>
  <c r="L698" i="82"/>
  <c r="L162" i="82"/>
  <c r="L154" i="82"/>
  <c r="D242" i="82"/>
  <c r="L296" i="82"/>
  <c r="L748" i="82"/>
  <c r="D528" i="82"/>
  <c r="D854" i="82"/>
  <c r="L888" i="82"/>
  <c r="L700" i="82"/>
  <c r="L365" i="82"/>
  <c r="L403" i="82"/>
  <c r="L550" i="82"/>
  <c r="L168" i="82"/>
  <c r="L148" i="82"/>
  <c r="L343" i="82"/>
  <c r="D631" i="82"/>
  <c r="L904" i="82"/>
  <c r="L836" i="82"/>
  <c r="D124" i="82"/>
  <c r="D472" i="82"/>
  <c r="L688" i="82"/>
  <c r="L46" i="82"/>
  <c r="D739" i="82"/>
  <c r="D972" i="82"/>
  <c r="D740" i="82"/>
  <c r="D282" i="82"/>
  <c r="L163" i="82"/>
  <c r="D163" i="82"/>
  <c r="L102" i="82"/>
  <c r="D301" i="82"/>
  <c r="L311" i="82"/>
  <c r="D283" i="82"/>
  <c r="L922" i="82"/>
  <c r="L266" i="82"/>
  <c r="L76" i="82"/>
  <c r="D757" i="82"/>
  <c r="D661" i="82"/>
  <c r="D978" i="82"/>
  <c r="L394" i="82"/>
  <c r="L51" i="82"/>
  <c r="L744" i="82"/>
  <c r="L304" i="82"/>
  <c r="D493" i="82"/>
  <c r="L845" i="82"/>
  <c r="L310" i="82"/>
  <c r="L513" i="82"/>
  <c r="D208" i="82"/>
  <c r="L935" i="82"/>
  <c r="L663" i="82"/>
  <c r="D605" i="82"/>
  <c r="L388" i="82"/>
  <c r="L151" i="82"/>
  <c r="L692" i="82"/>
  <c r="L696" i="82"/>
  <c r="L169" i="82"/>
  <c r="D570" i="82"/>
  <c r="D77" i="82"/>
  <c r="L549" i="82"/>
  <c r="D799" i="82"/>
  <c r="L542" i="82"/>
  <c r="D10" i="82"/>
  <c r="D861" i="82"/>
  <c r="D6" i="82"/>
  <c r="L602" i="82"/>
  <c r="L301" i="82"/>
  <c r="L215" i="82"/>
  <c r="D333" i="82"/>
  <c r="D963" i="82"/>
  <c r="D812" i="82"/>
  <c r="L435" i="82"/>
  <c r="L801" i="82"/>
  <c r="L238" i="82"/>
  <c r="L824" i="82"/>
  <c r="L611" i="82"/>
  <c r="L89" i="82"/>
  <c r="L693" i="82"/>
  <c r="L552" i="82"/>
  <c r="L27" i="82"/>
  <c r="L173" i="82"/>
  <c r="L553" i="82"/>
  <c r="L120" i="82"/>
  <c r="L612" i="82"/>
  <c r="L916" i="82"/>
  <c r="D368" i="82"/>
  <c r="D167" i="82"/>
  <c r="L704" i="82"/>
  <c r="L153" i="82"/>
  <c r="D473" i="82"/>
  <c r="L73" i="82"/>
  <c r="L80" i="82"/>
  <c r="L977" i="82"/>
  <c r="L370" i="82"/>
  <c r="L604" i="82"/>
  <c r="D264" i="82"/>
  <c r="L159" i="82"/>
  <c r="D26" i="82"/>
  <c r="L684" i="82"/>
  <c r="L339" i="82"/>
  <c r="L350" i="82"/>
  <c r="D261" i="82"/>
  <c r="L946" i="82"/>
  <c r="L852" i="82"/>
  <c r="L495" i="82"/>
  <c r="L333" i="82"/>
  <c r="L444" i="82"/>
  <c r="D227" i="82"/>
  <c r="D808" i="82"/>
  <c r="D281" i="82"/>
  <c r="L710" i="82"/>
  <c r="L995" i="82"/>
  <c r="D755" i="82"/>
  <c r="D92" i="82"/>
  <c r="D171" i="82"/>
  <c r="L478" i="82"/>
  <c r="L942" i="82"/>
  <c r="L746" i="82"/>
  <c r="L203" i="82"/>
  <c r="L974" i="82"/>
  <c r="D254" i="82"/>
  <c r="D312" i="82"/>
  <c r="L16" i="82"/>
  <c r="D522" i="82"/>
  <c r="L522" i="82"/>
  <c r="L551" i="82"/>
  <c r="D180" i="82"/>
  <c r="L232" i="82"/>
  <c r="L39" i="82"/>
  <c r="D988" i="82"/>
  <c r="L727" i="82"/>
  <c r="L533" i="82"/>
  <c r="D476" i="82"/>
  <c r="L959" i="82"/>
  <c r="L843" i="82"/>
  <c r="D230" i="82"/>
  <c r="L814" i="82"/>
  <c r="L750" i="82"/>
  <c r="L531" i="82"/>
  <c r="D256" i="82"/>
  <c r="D7" i="82"/>
  <c r="D875" i="82"/>
  <c r="D133" i="82"/>
  <c r="D852" i="82"/>
  <c r="D514" i="82"/>
  <c r="L386" i="82"/>
  <c r="L507" i="82"/>
  <c r="L644" i="82"/>
  <c r="L297" i="82"/>
  <c r="L268" i="82"/>
  <c r="L677" i="82"/>
  <c r="D793" i="82"/>
  <c r="L344" i="82"/>
  <c r="D977" i="82"/>
  <c r="D118" i="82"/>
  <c r="L256" i="82"/>
  <c r="D612" i="82"/>
  <c r="D568" i="82"/>
  <c r="L975" i="82"/>
  <c r="D44" i="82"/>
  <c r="D751" i="82"/>
  <c r="L674" i="82"/>
  <c r="D830" i="82"/>
  <c r="D880" i="82"/>
  <c r="D201" i="82"/>
  <c r="D837" i="82"/>
  <c r="L191" i="82"/>
  <c r="L625" i="82"/>
  <c r="D708" i="82"/>
  <c r="D760" i="82"/>
  <c r="L965" i="82"/>
  <c r="L689" i="82"/>
  <c r="D302" i="82"/>
  <c r="L872" i="82"/>
  <c r="D25" i="82"/>
  <c r="L381" i="82"/>
  <c r="L707" i="82"/>
  <c r="L737" i="82"/>
  <c r="L285" i="82"/>
  <c r="L68" i="82"/>
  <c r="D896" i="82"/>
  <c r="D229" i="82"/>
  <c r="D862" i="82"/>
  <c r="L763" i="82"/>
  <c r="L919" i="82"/>
  <c r="L58" i="82"/>
  <c r="D87" i="82"/>
  <c r="L376" i="82"/>
  <c r="L616" i="82"/>
  <c r="D189" i="82"/>
  <c r="D601" i="82"/>
  <c r="L104" i="82"/>
  <c r="L36" i="82"/>
  <c r="L931" i="82"/>
  <c r="L617" i="82"/>
  <c r="L216" i="82"/>
  <c r="L941" i="82"/>
  <c r="L142" i="82"/>
  <c r="L122" i="82"/>
  <c r="D538" i="82"/>
  <c r="D465" i="82"/>
  <c r="L787" i="82"/>
  <c r="L721" i="82"/>
  <c r="D293" i="82"/>
  <c r="D285" i="82"/>
  <c r="L55" i="82"/>
  <c r="L842" i="82"/>
  <c r="D767" i="82"/>
  <c r="L930" i="82"/>
  <c r="L791" i="82"/>
  <c r="L373" i="82"/>
  <c r="D816" i="82"/>
  <c r="D683" i="82"/>
  <c r="L313" i="82"/>
  <c r="L72" i="82"/>
  <c r="L133" i="82"/>
  <c r="L492" i="82"/>
  <c r="D647" i="82"/>
  <c r="L671" i="82"/>
  <c r="L619" i="82"/>
  <c r="L945" i="82"/>
  <c r="L349" i="82"/>
  <c r="L11" i="82"/>
  <c r="D311" i="82"/>
  <c r="D129" i="82"/>
  <c r="D752" i="82"/>
  <c r="L448" i="82"/>
  <c r="D809" i="82"/>
  <c r="D731" i="82"/>
  <c r="L876" i="82"/>
  <c r="L607" i="82"/>
  <c r="D630" i="82"/>
  <c r="D931" i="82"/>
  <c r="L738" i="82"/>
  <c r="D859" i="82"/>
  <c r="L404" i="82"/>
  <c r="L40" i="82"/>
  <c r="D420" i="82"/>
  <c r="L437" i="82"/>
  <c r="L372" i="82"/>
  <c r="L95" i="82"/>
  <c r="D558" i="82"/>
  <c r="L538" i="82"/>
  <c r="L308" i="82"/>
  <c r="D178" i="82"/>
  <c r="L734" i="82"/>
  <c r="L736" i="82"/>
  <c r="D838" i="82"/>
  <c r="L675" i="82"/>
  <c r="L647" i="82"/>
  <c r="D356" i="82"/>
  <c r="D317" i="82"/>
  <c r="D679" i="82"/>
  <c r="D892" i="82"/>
  <c r="L262" i="82"/>
  <c r="D379" i="82"/>
  <c r="L960" i="82"/>
  <c r="L563" i="82"/>
  <c r="D574" i="82"/>
  <c r="L780" i="82"/>
  <c r="L5" i="82"/>
  <c r="L259" i="82"/>
  <c r="D984" i="82"/>
  <c r="D89" i="82"/>
  <c r="L271" i="82"/>
  <c r="L139" i="82"/>
  <c r="D857" i="82"/>
  <c r="L682" i="82"/>
  <c r="D890" i="82"/>
  <c r="D389" i="82"/>
  <c r="L789" i="82"/>
  <c r="D720" i="82"/>
  <c r="L186" i="82"/>
  <c r="D355" i="82"/>
  <c r="D446" i="82"/>
  <c r="D669" i="82"/>
  <c r="D48" i="82"/>
  <c r="D400" i="82"/>
  <c r="D944" i="82"/>
  <c r="L869" i="82"/>
  <c r="L160" i="82"/>
  <c r="D348" i="82"/>
  <c r="L855" i="82"/>
  <c r="D611" i="82"/>
  <c r="L174" i="82"/>
  <c r="D833" i="82"/>
  <c r="L841" i="82"/>
  <c r="D557" i="82"/>
  <c r="D488" i="82"/>
  <c r="D339" i="82"/>
  <c r="D706" i="82"/>
  <c r="D959" i="82"/>
  <c r="L912" i="82"/>
  <c r="L15" i="82"/>
  <c r="D448" i="82"/>
  <c r="L697" i="82"/>
  <c r="L299" i="82"/>
  <c r="L175" i="82"/>
  <c r="L753" i="82"/>
  <c r="D107" i="82"/>
  <c r="D415" i="82"/>
  <c r="L870" i="82"/>
  <c r="L579" i="82"/>
  <c r="D114" i="82"/>
  <c r="L984" i="82"/>
  <c r="L925" i="82"/>
  <c r="L874" i="82"/>
  <c r="D450" i="82"/>
  <c r="D742" i="82"/>
  <c r="D883" i="82"/>
  <c r="D946" i="82"/>
  <c r="D576" i="82"/>
  <c r="L152" i="82"/>
  <c r="L593" i="82"/>
  <c r="D204" i="82"/>
  <c r="D836" i="82"/>
  <c r="D70" i="82"/>
  <c r="L195" i="82"/>
  <c r="L483" i="82"/>
  <c r="D566" i="82"/>
  <c r="L769" i="82"/>
  <c r="D702" i="82"/>
  <c r="D882" i="82"/>
  <c r="D873" i="82"/>
  <c r="L641" i="82"/>
  <c r="L248" i="82"/>
  <c r="D652" i="82"/>
  <c r="L140" i="82"/>
  <c r="D489" i="82"/>
  <c r="L29" i="82"/>
  <c r="D635" i="82"/>
  <c r="L44" i="82"/>
  <c r="L275" i="82"/>
  <c r="L182" i="82"/>
  <c r="L408" i="82"/>
  <c r="L211" i="82"/>
  <c r="L83" i="82"/>
  <c r="D707" i="82"/>
  <c r="D222" i="82"/>
  <c r="L724" i="82"/>
  <c r="D145" i="82"/>
  <c r="D108" i="82"/>
  <c r="D365" i="82"/>
  <c r="D634" i="82"/>
  <c r="L241" i="82"/>
  <c r="L988" i="82"/>
  <c r="D262" i="82"/>
  <c r="L784" i="82"/>
  <c r="D253" i="82"/>
  <c r="D59" i="82"/>
  <c r="D912" i="82"/>
  <c r="D467" i="82"/>
  <c r="L582" i="82"/>
  <c r="D477" i="82"/>
  <c r="L433" i="82"/>
  <c r="D796" i="82"/>
  <c r="L963" i="82"/>
  <c r="L30" i="82"/>
  <c r="D670" i="82"/>
  <c r="L430" i="82"/>
  <c r="L883" i="82"/>
  <c r="L626" i="82"/>
  <c r="D604" i="82"/>
  <c r="L359" i="82"/>
  <c r="L770" i="82"/>
  <c r="D924" i="82"/>
  <c r="L118" i="82"/>
  <c r="L825" i="82"/>
  <c r="L306" i="82"/>
  <c r="L300" i="82"/>
  <c r="L181" i="82"/>
  <c r="L100" i="82"/>
  <c r="D360" i="82"/>
  <c r="D385" i="82"/>
  <c r="D318" i="82"/>
  <c r="L453" i="82"/>
  <c r="D299" i="82"/>
  <c r="L873" i="82"/>
  <c r="L901" i="82"/>
  <c r="D993" i="82"/>
  <c r="L48" i="82"/>
  <c r="L307" i="82"/>
  <c r="D817" i="82"/>
  <c r="L618" i="82"/>
  <c r="L741" i="82"/>
  <c r="D616" i="82"/>
  <c r="L329" i="82"/>
  <c r="L920" i="82"/>
  <c r="L12" i="82"/>
  <c r="L371" i="82"/>
  <c r="L185" i="82"/>
  <c r="L298" i="82"/>
  <c r="L802" i="82"/>
  <c r="D430" i="82"/>
  <c r="L166" i="82"/>
  <c r="D690" i="82"/>
  <c r="D324" i="82"/>
  <c r="L969" i="82"/>
  <c r="D743" i="82"/>
  <c r="D90" i="82"/>
  <c r="D38" i="82"/>
  <c r="D606" i="82"/>
  <c r="D725" i="82"/>
  <c r="L690" i="82"/>
  <c r="L832" i="82"/>
  <c r="D841" i="82"/>
  <c r="D103" i="82"/>
  <c r="L813" i="82"/>
  <c r="D342" i="82"/>
  <c r="D8" i="82"/>
  <c r="D729" i="82"/>
  <c r="D954" i="82"/>
  <c r="D42" i="82"/>
  <c r="L263" i="82"/>
  <c r="D423" i="82"/>
  <c r="D160" i="82"/>
  <c r="D933" i="82"/>
  <c r="L414" i="82"/>
  <c r="D506" i="82"/>
  <c r="D934" i="82"/>
  <c r="L525" i="82"/>
  <c r="D948" i="82"/>
  <c r="L880" i="82"/>
  <c r="L967" i="82"/>
  <c r="L648" i="82"/>
  <c r="L534" i="82"/>
  <c r="D545" i="82"/>
  <c r="D117" i="82"/>
  <c r="L699" i="82"/>
  <c r="D586" i="82"/>
  <c r="L107" i="82"/>
  <c r="D179" i="82"/>
  <c r="D427" i="82"/>
  <c r="L317" i="82"/>
  <c r="L396" i="82"/>
  <c r="D894" i="82"/>
  <c r="D197" i="82"/>
  <c r="D62" i="82"/>
  <c r="D663" i="82"/>
  <c r="D889" i="82"/>
  <c r="D404" i="82"/>
  <c r="D98" i="82"/>
  <c r="L167" i="82"/>
  <c r="L983" i="82"/>
  <c r="L470" i="82"/>
  <c r="D21" i="82"/>
  <c r="L368" i="82"/>
  <c r="D832" i="82"/>
  <c r="L555" i="82"/>
  <c r="L227" i="82"/>
  <c r="D580" i="82"/>
  <c r="L646" i="82"/>
  <c r="L633" i="82"/>
  <c r="L928" i="82"/>
  <c r="L441" i="82"/>
  <c r="D622" i="82"/>
  <c r="D588" i="82"/>
  <c r="L678" i="82"/>
  <c r="D53" i="82"/>
  <c r="L284" i="82"/>
  <c r="D480" i="82"/>
  <c r="D779" i="82"/>
  <c r="L976" i="82"/>
  <c r="D494" i="82"/>
  <c r="L221" i="82"/>
  <c r="L251" i="82"/>
  <c r="D840" i="82"/>
  <c r="D322" i="82"/>
  <c r="L681" i="82"/>
  <c r="D452" i="82"/>
  <c r="L890" i="82"/>
  <c r="D917" i="82"/>
  <c r="L725" i="82"/>
  <c r="D615" i="82"/>
  <c r="D910" i="82"/>
  <c r="D405" i="82"/>
  <c r="D39" i="82"/>
  <c r="L486" i="82"/>
  <c r="L896" i="82"/>
  <c r="L914" i="82"/>
  <c r="D919" i="82"/>
  <c r="L578" i="82"/>
  <c r="D471" i="82"/>
  <c r="L765" i="82"/>
  <c r="L742" i="82"/>
  <c r="D810" i="82"/>
  <c r="D599" i="82"/>
  <c r="L2" i="82"/>
  <c r="D40" i="82"/>
  <c r="D425" i="82"/>
  <c r="L821" i="82"/>
  <c r="L850" i="82"/>
  <c r="D210" i="82"/>
  <c r="L505" i="82"/>
  <c r="L54" i="82"/>
  <c r="D778" i="82"/>
  <c r="D636" i="82"/>
  <c r="D798" i="82"/>
  <c r="L797" i="82"/>
  <c r="L23" i="82"/>
  <c r="D106" i="82"/>
  <c r="D741" i="82"/>
  <c r="D36" i="82"/>
  <c r="D550" i="82"/>
  <c r="D198" i="82"/>
  <c r="D340" i="82"/>
  <c r="D94" i="82"/>
  <c r="L282" i="82"/>
  <c r="D128" i="82"/>
  <c r="L808" i="82"/>
  <c r="L65" i="82"/>
  <c r="L496" i="82"/>
  <c r="D569" i="82"/>
  <c r="L623" i="82"/>
  <c r="L456" i="82"/>
  <c r="L722" i="82"/>
  <c r="D350" i="82"/>
  <c r="D710" i="82"/>
  <c r="L887" i="82"/>
  <c r="D769" i="82"/>
  <c r="D295" i="82"/>
  <c r="D43" i="82"/>
  <c r="L659" i="82"/>
  <c r="D657" i="82"/>
  <c r="L17" i="82"/>
  <c r="L485" i="82"/>
  <c r="L455" i="82"/>
  <c r="L240" i="82"/>
  <c r="L423" i="82"/>
  <c r="L1000" i="82"/>
  <c r="D294" i="82"/>
  <c r="D676" i="82"/>
  <c r="D173" i="82"/>
  <c r="D334" i="82"/>
  <c r="D906" i="82"/>
  <c r="D16" i="82"/>
  <c r="D121" i="82"/>
  <c r="L471" i="82"/>
  <c r="D443" i="82"/>
  <c r="L592" i="82"/>
  <c r="L560" i="82"/>
  <c r="L463" i="82"/>
  <c r="D694" i="82"/>
  <c r="D234" i="82"/>
  <c r="D667" i="82"/>
  <c r="D139" i="82"/>
  <c r="L817" i="82"/>
  <c r="D983" i="82"/>
  <c r="L332" i="82"/>
  <c r="L239" i="82"/>
  <c r="D932" i="82"/>
  <c r="D671" i="82"/>
  <c r="L640" i="82"/>
  <c r="L879" i="82"/>
  <c r="L970" i="82"/>
  <c r="L258" i="82"/>
  <c r="L536" i="82"/>
  <c r="L921" i="82"/>
  <c r="L114" i="82"/>
  <c r="D315" i="82"/>
  <c r="L401" i="82"/>
  <c r="D303" i="82"/>
  <c r="D754" i="82"/>
  <c r="L138" i="82"/>
  <c r="L739" i="82"/>
  <c r="L577" i="82"/>
  <c r="D5" i="82"/>
  <c r="L541" i="82"/>
  <c r="L26" i="82"/>
  <c r="D619" i="82"/>
  <c r="D132" i="82"/>
  <c r="L392" i="82"/>
  <c r="D939" i="82"/>
  <c r="L878" i="82"/>
  <c r="L253" i="82"/>
  <c r="L590" i="82"/>
  <c r="L668" i="82"/>
  <c r="D233" i="82"/>
  <c r="D23" i="82"/>
  <c r="D941" i="82"/>
  <c r="D328" i="82"/>
  <c r="D482" i="82"/>
  <c r="D185" i="82"/>
  <c r="L110" i="82"/>
  <c r="D823" i="82"/>
  <c r="D382" i="82"/>
  <c r="L779" i="82"/>
  <c r="L757" i="82"/>
  <c r="L445" i="82"/>
  <c r="D723" i="82"/>
  <c r="D329" i="82"/>
  <c r="L918" i="82"/>
  <c r="D976" i="82"/>
  <c r="D113" i="82"/>
  <c r="D608" i="82"/>
  <c r="D37" i="82"/>
  <c r="D595" i="82"/>
  <c r="D162" i="82"/>
  <c r="D412" i="82"/>
  <c r="L631" i="82"/>
  <c r="D807" i="82"/>
  <c r="L515" i="82"/>
  <c r="D101" i="82"/>
  <c r="L861" i="82"/>
  <c r="D533" i="82"/>
  <c r="L937" i="82"/>
  <c r="D844" i="82"/>
  <c r="L180" i="82"/>
  <c r="D228" i="82"/>
  <c r="D646" i="82"/>
  <c r="D789" i="82"/>
  <c r="D341" i="82"/>
  <c r="L198" i="82"/>
  <c r="D327" i="82"/>
  <c r="L822" i="82"/>
  <c r="L361" i="82"/>
  <c r="L355" i="82"/>
  <c r="L438" i="82"/>
  <c r="L642" i="82"/>
  <c r="D352" i="82"/>
  <c r="L521" i="82"/>
  <c r="D791" i="82"/>
  <c r="D330" i="82"/>
  <c r="L672" i="82"/>
  <c r="D268" i="82"/>
  <c r="D627" i="82"/>
  <c r="D709" i="82"/>
  <c r="D232" i="82"/>
  <c r="D784" i="82"/>
  <c r="L615" i="82"/>
  <c r="L996" i="82"/>
  <c r="L461" i="82"/>
  <c r="L62" i="82"/>
  <c r="L657" i="82"/>
  <c r="L8" i="82"/>
  <c r="L179" i="82"/>
  <c r="D666" i="82"/>
  <c r="D699" i="82"/>
  <c r="D28" i="82"/>
  <c r="L69" i="82"/>
  <c r="L242" i="82"/>
  <c r="L237" i="82"/>
  <c r="L38" i="82"/>
  <c r="D207" i="82"/>
  <c r="D391" i="82"/>
  <c r="D785" i="82"/>
  <c r="D908" i="82"/>
  <c r="L375" i="82"/>
  <c r="L225" i="82"/>
  <c r="L47" i="82"/>
  <c r="L204" i="82"/>
  <c r="L951" i="82"/>
  <c r="D456" i="82"/>
  <c r="L428" i="82"/>
  <c r="L295" i="82"/>
  <c r="L22" i="82"/>
  <c r="L398" i="82"/>
  <c r="D982" i="82"/>
  <c r="D266" i="82"/>
  <c r="D284" i="82"/>
  <c r="L745" i="82"/>
  <c r="L149" i="82"/>
  <c r="L708" i="82"/>
  <c r="L911" i="82"/>
  <c r="L249" i="82"/>
  <c r="D186" i="82"/>
  <c r="D953" i="82"/>
  <c r="D422" i="82"/>
  <c r="D147" i="82"/>
  <c r="D626" i="82"/>
  <c r="L413" i="82"/>
  <c r="D572" i="82"/>
  <c r="D774" i="82"/>
  <c r="L760" i="82"/>
  <c r="L315" i="82"/>
  <c r="D540" i="82"/>
  <c r="L265" i="82"/>
  <c r="L726" i="82"/>
  <c r="D165" i="82"/>
  <c r="D888" i="82"/>
  <c r="L427" i="82"/>
  <c r="D291" i="82"/>
  <c r="D648" i="82"/>
  <c r="D593" i="82"/>
  <c r="D409" i="82"/>
  <c r="D920" i="82"/>
  <c r="D623" i="82"/>
  <c r="D581" i="82"/>
  <c r="L820" i="82"/>
  <c r="D406" i="82"/>
  <c r="L236" i="82"/>
  <c r="D386" i="82"/>
  <c r="D877" i="82"/>
  <c r="L508" i="82"/>
  <c r="D649" i="82"/>
  <c r="D771" i="82"/>
  <c r="L71" i="82"/>
  <c r="L364" i="82"/>
  <c r="L591" i="82"/>
  <c r="D703" i="82"/>
  <c r="L783" i="82"/>
  <c r="D802" i="82"/>
  <c r="L497" i="82"/>
  <c r="L776" i="82"/>
  <c r="L247" i="82"/>
  <c r="D682" i="82"/>
  <c r="D900" i="82"/>
  <c r="L652" i="82"/>
  <c r="D445" i="82"/>
  <c r="D258" i="82"/>
  <c r="D444" i="82"/>
  <c r="L589" i="82"/>
  <c r="D399" i="82"/>
  <c r="D915" i="82"/>
  <c r="D134" i="82"/>
  <c r="D659" i="82"/>
  <c r="L831" i="82"/>
  <c r="L18" i="82"/>
  <c r="L244" i="82"/>
  <c r="L632" i="82"/>
  <c r="L421" i="82"/>
  <c r="D15" i="82"/>
  <c r="D620" i="82"/>
  <c r="D137" i="82"/>
  <c r="D747" i="82"/>
  <c r="D127" i="82"/>
  <c r="L7" i="82"/>
  <c r="D909" i="82"/>
  <c r="L382" i="82"/>
  <c r="L501" i="82"/>
  <c r="D651" i="82"/>
  <c r="L871" i="82"/>
  <c r="D511" i="82"/>
  <c r="D516" i="82"/>
  <c r="D845" i="82"/>
  <c r="L624" i="82"/>
  <c r="D687" i="82"/>
  <c r="L810" i="82"/>
  <c r="L518" i="82"/>
  <c r="D403" i="82"/>
  <c r="D175" i="82"/>
  <c r="L875" i="82"/>
  <c r="L561" i="82"/>
  <c r="D925" i="82"/>
  <c r="D804" i="82"/>
  <c r="D11" i="82"/>
  <c r="D815" i="82"/>
  <c r="D600" i="82"/>
  <c r="L103" i="82"/>
  <c r="D321" i="82"/>
  <c r="L846" i="82"/>
  <c r="D801" i="82"/>
  <c r="D336" i="82"/>
  <c r="L539" i="82"/>
  <c r="L380" i="82"/>
  <c r="L545" i="82"/>
  <c r="L345" i="82"/>
  <c r="L226" i="82"/>
  <c r="L440" i="82"/>
  <c r="D57" i="82"/>
  <c r="L447" i="82"/>
  <c r="L426" i="82"/>
  <c r="L834" i="82"/>
  <c r="D19" i="82"/>
  <c r="L137" i="82"/>
  <c r="L214" i="82"/>
  <c r="L506" i="82"/>
  <c r="D79" i="82"/>
  <c r="L24" i="82"/>
  <c r="L399" i="82"/>
  <c r="D547" i="82"/>
  <c r="L900" i="82"/>
  <c r="D310" i="82"/>
  <c r="L158" i="82"/>
  <c r="L194" i="82"/>
  <c r="L112" i="82"/>
  <c r="D665" i="82"/>
  <c r="D567" i="82"/>
  <c r="L567" i="82"/>
  <c r="L936" i="82"/>
  <c r="L794" i="82"/>
  <c r="L115" i="82"/>
  <c r="L88" i="82"/>
  <c r="D438" i="82"/>
  <c r="D839" i="82"/>
  <c r="D216" i="82"/>
  <c r="L351" i="82"/>
  <c r="D902" i="82"/>
  <c r="D18" i="82"/>
  <c r="L466" i="82"/>
  <c r="L680" i="82"/>
  <c r="L881" i="82"/>
  <c r="D639" i="82"/>
  <c r="D265" i="82"/>
  <c r="D154" i="82"/>
  <c r="D527" i="82"/>
  <c r="L274" i="82"/>
  <c r="L446" i="82"/>
  <c r="L891" i="82"/>
  <c r="D9" i="82"/>
  <c r="D539" i="82"/>
  <c r="D746" i="82"/>
  <c r="D492" i="82"/>
  <c r="L261" i="82"/>
  <c r="L171" i="82"/>
  <c r="D51" i="82"/>
  <c r="D916" i="82"/>
  <c r="D551" i="82"/>
  <c r="L882" i="82"/>
  <c r="L292" i="82"/>
  <c r="D960" i="82"/>
  <c r="D870" i="82"/>
  <c r="D141" i="82"/>
  <c r="L482" i="82"/>
  <c r="L432" i="82"/>
  <c r="L583" i="82"/>
  <c r="D644" i="82"/>
  <c r="D298" i="82"/>
  <c r="L41" i="82"/>
  <c r="L190" i="82"/>
  <c r="L598" i="82"/>
  <c r="L651" i="82"/>
  <c r="D91" i="82"/>
  <c r="L614" i="82"/>
  <c r="L520" i="82"/>
  <c r="L449" i="82"/>
  <c r="L21" i="82"/>
  <c r="D886" i="82"/>
  <c r="D144" i="82"/>
  <c r="D878" i="82"/>
  <c r="L857" i="82"/>
  <c r="D172" i="82"/>
  <c r="L527" i="82"/>
  <c r="D831" i="82"/>
  <c r="L164" i="82"/>
  <c r="D499" i="82"/>
  <c r="L77" i="82"/>
  <c r="L733" i="82"/>
  <c r="L491" i="82"/>
  <c r="L932" i="82"/>
  <c r="D402" i="82"/>
  <c r="L703" i="82"/>
  <c r="D470" i="82"/>
  <c r="D806" i="82"/>
  <c r="L429" i="82"/>
  <c r="D737" i="82"/>
  <c r="D373" i="82"/>
  <c r="L717" i="82"/>
  <c r="D41" i="82"/>
  <c r="L255" i="82"/>
  <c r="L66" i="82"/>
  <c r="L685" i="82"/>
  <c r="D449" i="82"/>
  <c r="D225" i="82"/>
  <c r="L67" i="82"/>
  <c r="L188" i="82"/>
  <c r="D125" i="82"/>
  <c r="L554" i="82"/>
  <c r="L595" i="82"/>
  <c r="D384" i="82"/>
  <c r="D502" i="82"/>
  <c r="L731" i="82"/>
  <c r="L278" i="82"/>
  <c r="L395" i="82"/>
  <c r="L653" i="82"/>
  <c r="L484" i="82"/>
  <c r="L714" i="82"/>
  <c r="L605" i="82"/>
  <c r="L557" i="82"/>
  <c r="L480" i="82"/>
  <c r="L286" i="82"/>
  <c r="L341" i="82"/>
  <c r="L108" i="82"/>
  <c r="L193" i="82"/>
  <c r="L961" i="82"/>
  <c r="D786" i="82"/>
  <c r="D401" i="82"/>
  <c r="D421" i="82"/>
  <c r="L472" i="82"/>
  <c r="L13" i="82"/>
  <c r="L451" i="82"/>
  <c r="L899" i="82"/>
  <c r="D564" i="82"/>
  <c r="D434" i="82"/>
  <c r="D345" i="82"/>
  <c r="D81" i="82"/>
  <c r="D195" i="82"/>
  <c r="D701" i="82"/>
  <c r="D973" i="82"/>
  <c r="L749" i="82"/>
  <c r="L903" i="82"/>
  <c r="D358" i="82"/>
  <c r="L947" i="82"/>
  <c r="L101" i="82"/>
  <c r="L606" i="82"/>
  <c r="D705" i="82"/>
  <c r="L701" i="82"/>
  <c r="L584" i="82"/>
  <c r="D349" i="82"/>
  <c r="D392" i="82"/>
  <c r="L33" i="82"/>
  <c r="D49" i="82"/>
  <c r="L669" i="82"/>
  <c r="D304" i="82"/>
  <c r="D698" i="82"/>
  <c r="D417" i="82"/>
  <c r="D102" i="82"/>
  <c r="D484" i="82"/>
  <c r="D111" i="82"/>
  <c r="D68" i="82"/>
  <c r="D713" i="82"/>
  <c r="L649" i="82"/>
  <c r="D176" i="82"/>
  <c r="D918" i="82"/>
  <c r="D921" i="82"/>
  <c r="D775" i="82"/>
  <c r="D196" i="82"/>
  <c r="L859" i="82"/>
  <c r="L782" i="82"/>
  <c r="D93" i="82"/>
  <c r="D856" i="82"/>
  <c r="D313" i="82"/>
  <c r="L662" i="82"/>
  <c r="L719" i="82"/>
  <c r="L762" i="82"/>
  <c r="L973" i="82"/>
  <c r="D866" i="82"/>
  <c r="D790" i="82"/>
  <c r="D206" i="82"/>
  <c r="D170" i="82"/>
  <c r="L732" i="82"/>
  <c r="D245" i="82"/>
  <c r="L94" i="82"/>
  <c r="L528" i="82"/>
  <c r="D947" i="82"/>
  <c r="D219" i="82"/>
  <c r="L683" i="82"/>
  <c r="L106" i="82"/>
  <c r="L564" i="82"/>
  <c r="L792" i="82"/>
  <c r="D238" i="82"/>
  <c r="D34" i="82"/>
  <c r="L57" i="82"/>
  <c r="L63" i="82"/>
  <c r="D686" i="82"/>
  <c r="D67" i="82"/>
  <c r="L627" i="82"/>
  <c r="L860" i="82"/>
  <c r="L509" i="82"/>
  <c r="D177" i="82"/>
  <c r="L512" i="82"/>
  <c r="D518" i="82"/>
  <c r="D33" i="82"/>
  <c r="D213" i="82"/>
  <c r="L706" i="82"/>
  <c r="D343" i="82"/>
  <c r="D24" i="82"/>
  <c r="L187" i="82"/>
  <c r="L53" i="82"/>
  <c r="D537" i="82"/>
  <c r="D183" i="82"/>
  <c r="L436" i="82"/>
  <c r="L613" i="82"/>
  <c r="L460" i="82"/>
  <c r="D305" i="82"/>
  <c r="L894" i="82"/>
  <c r="D863" i="82"/>
  <c r="D95" i="82"/>
  <c r="D120" i="82"/>
  <c r="L177" i="82"/>
  <c r="D907" i="82"/>
  <c r="D718" i="82"/>
  <c r="D520" i="82"/>
  <c r="D468" i="82"/>
  <c r="L795" i="82"/>
  <c r="D32" i="82"/>
  <c r="D200" i="82"/>
  <c r="D618" i="82"/>
  <c r="L514" i="82"/>
  <c r="H169" i="82"/>
  <c r="D398" i="82"/>
  <c r="D829" i="82"/>
  <c r="D938" i="82"/>
  <c r="D31" i="82"/>
  <c r="L50" i="82"/>
  <c r="D346" i="102"/>
  <c r="D259" i="82"/>
  <c r="D510" i="82"/>
  <c r="D331" i="102"/>
  <c r="D267" i="102"/>
  <c r="L587" i="82"/>
  <c r="D324" i="102"/>
  <c r="D424" i="82"/>
  <c r="D235" i="102"/>
  <c r="L543" i="82"/>
  <c r="D965" i="82"/>
  <c r="D475" i="82"/>
  <c r="D370" i="102"/>
  <c r="D388" i="82"/>
  <c r="D148" i="102"/>
  <c r="D465" i="102"/>
  <c r="D286" i="102"/>
  <c r="D879" i="82"/>
  <c r="H203" i="82"/>
  <c r="D481" i="102"/>
  <c r="D51" i="102"/>
  <c r="D337" i="102"/>
  <c r="H136" i="82"/>
  <c r="H294" i="82"/>
  <c r="D436" i="102"/>
  <c r="D375" i="102"/>
  <c r="H316" i="82"/>
  <c r="H423" i="82"/>
  <c r="H185" i="82"/>
  <c r="L289" i="82"/>
  <c r="D87" i="102"/>
  <c r="D355" i="102"/>
  <c r="H242" i="82"/>
  <c r="D165" i="102"/>
  <c r="D298" i="102"/>
  <c r="H252" i="82"/>
  <c r="D410" i="102"/>
  <c r="H102" i="82"/>
  <c r="D296" i="102"/>
  <c r="D317" i="102"/>
  <c r="D495" i="102"/>
  <c r="H33" i="82"/>
  <c r="H280" i="82"/>
  <c r="L956" i="82"/>
  <c r="D990" i="82"/>
  <c r="L277" i="82"/>
  <c r="L897" i="82"/>
  <c r="D986" i="82"/>
  <c r="L37" i="82"/>
  <c r="L189" i="82"/>
  <c r="D848" i="82"/>
  <c r="D105" i="82"/>
  <c r="D278" i="82"/>
  <c r="L948" i="82"/>
  <c r="D704" i="82"/>
  <c r="L679" i="82"/>
  <c r="D711" i="82"/>
  <c r="D246" i="82"/>
  <c r="D474" i="82"/>
  <c r="D842" i="82"/>
  <c r="D803" i="82"/>
  <c r="D82" i="82"/>
  <c r="L728" i="82"/>
  <c r="L666" i="82"/>
  <c r="L712" i="82"/>
  <c r="D509" i="82"/>
  <c r="D824" i="82"/>
  <c r="D937" i="82"/>
  <c r="D750" i="82"/>
  <c r="D542" i="82"/>
  <c r="L459" i="82"/>
  <c r="D722" i="82"/>
  <c r="D375" i="82"/>
  <c r="D762" i="82"/>
  <c r="D903" i="82"/>
  <c r="L457" i="82"/>
  <c r="D338" i="82"/>
  <c r="L833" i="82"/>
  <c r="D727" i="82"/>
  <c r="D571" i="82"/>
  <c r="L322" i="82"/>
  <c r="D851" i="82"/>
  <c r="D577" i="82"/>
  <c r="D603" i="82"/>
  <c r="D811" i="82"/>
  <c r="L990" i="82"/>
  <c r="L815" i="82"/>
  <c r="D110" i="82"/>
  <c r="D685" i="82"/>
  <c r="D628" i="82"/>
  <c r="D728" i="82"/>
  <c r="D157" i="102"/>
  <c r="H76" i="82"/>
  <c r="L517" i="82"/>
  <c r="L32" i="82"/>
  <c r="L923" i="82"/>
  <c r="D247" i="82"/>
  <c r="D397" i="82"/>
  <c r="D625" i="82"/>
  <c r="D23" i="102"/>
  <c r="D691" i="82"/>
  <c r="D4" i="82"/>
  <c r="L229" i="82"/>
  <c r="D949" i="82"/>
  <c r="D433" i="82"/>
  <c r="D820" i="82"/>
  <c r="D678" i="82"/>
  <c r="L902" i="82"/>
  <c r="L600" i="82"/>
  <c r="L385" i="82"/>
  <c r="D486" i="82"/>
  <c r="D63" i="102"/>
  <c r="D260" i="102"/>
  <c r="L994" i="82"/>
  <c r="D501" i="82"/>
  <c r="D463" i="82"/>
  <c r="H123" i="82"/>
  <c r="L664" i="82"/>
  <c r="D664" i="82"/>
  <c r="H234" i="82"/>
  <c r="D899" i="82"/>
  <c r="D30" i="82"/>
  <c r="D61" i="82"/>
  <c r="D369" i="82"/>
  <c r="D164" i="82"/>
  <c r="D930" i="82"/>
  <c r="L465" i="82"/>
  <c r="L906" i="82"/>
  <c r="D715" i="82"/>
  <c r="D14" i="82"/>
  <c r="D579" i="82"/>
  <c r="D714" i="82"/>
  <c r="L893" i="82"/>
  <c r="L420" i="82"/>
  <c r="L716" i="82"/>
  <c r="D431" i="82"/>
  <c r="D893" i="82"/>
  <c r="D519" i="82"/>
  <c r="L987" i="82"/>
  <c r="L610" i="82"/>
  <c r="L752" i="82"/>
  <c r="D613" i="82"/>
  <c r="D559" i="82"/>
  <c r="L544" i="82"/>
  <c r="L134" i="82"/>
  <c r="D781" i="82"/>
  <c r="D987" i="82"/>
  <c r="D887" i="82"/>
  <c r="D491" i="82"/>
  <c r="D524" i="82"/>
  <c r="L288" i="82"/>
  <c r="D697" i="82"/>
  <c r="L233" i="82"/>
  <c r="D684" i="82"/>
  <c r="L4" i="82"/>
  <c r="D800" i="82"/>
  <c r="L245" i="82"/>
  <c r="L477" i="82"/>
  <c r="L362" i="82"/>
  <c r="D633" i="82"/>
  <c r="D792" i="82"/>
  <c r="D596" i="82"/>
  <c r="D182" i="82"/>
  <c r="D326" i="82"/>
  <c r="D592" i="82"/>
  <c r="D962" i="82"/>
  <c r="D73" i="82"/>
  <c r="D275" i="82"/>
  <c r="D997" i="82"/>
  <c r="D64" i="82"/>
  <c r="L793" i="82"/>
  <c r="L305" i="82"/>
  <c r="L79" i="82"/>
  <c r="D257" i="82"/>
  <c r="D363" i="82"/>
  <c r="D367" i="82"/>
  <c r="L121" i="82"/>
  <c r="D693" i="82"/>
  <c r="D645" i="82"/>
  <c r="D956" i="82"/>
  <c r="L172" i="82"/>
  <c r="D695" i="82"/>
  <c r="D858" i="82"/>
  <c r="L829" i="82"/>
  <c r="L409" i="82"/>
  <c r="D881" i="82"/>
  <c r="L854" i="82"/>
  <c r="L384" i="82"/>
  <c r="D464" i="82"/>
  <c r="L785" i="82"/>
  <c r="D99" i="82"/>
  <c r="D146" i="82"/>
  <c r="L751" i="82"/>
  <c r="L535" i="82"/>
  <c r="D585" i="82"/>
  <c r="L939" i="82"/>
  <c r="D199" i="82"/>
  <c r="L342" i="82"/>
  <c r="L889" i="82"/>
  <c r="L200" i="82"/>
  <c r="L654" i="82"/>
  <c r="D573" i="82"/>
  <c r="L958" i="82"/>
  <c r="L991" i="82"/>
  <c r="D212" i="82"/>
  <c r="D84" i="82"/>
  <c r="D813" i="82"/>
  <c r="L523" i="82"/>
  <c r="L954" i="82"/>
  <c r="D814" i="82"/>
  <c r="L847" i="82"/>
  <c r="D191" i="82"/>
  <c r="D928" i="82"/>
  <c r="L293" i="82"/>
  <c r="L924" i="82"/>
  <c r="L547" i="82"/>
  <c r="D967" i="82"/>
  <c r="D273" i="82"/>
  <c r="D483" i="82"/>
  <c r="D217" i="82"/>
  <c r="D641" i="82"/>
  <c r="D323" i="82"/>
  <c r="D730" i="82"/>
  <c r="L966" i="82"/>
  <c r="D543" i="82"/>
  <c r="D27" i="82"/>
  <c r="D590" i="82"/>
  <c r="L273" i="82"/>
  <c r="D872" i="82"/>
  <c r="L156" i="82"/>
  <c r="L309" i="82"/>
  <c r="D479" i="82"/>
  <c r="D457" i="102"/>
  <c r="D463" i="102"/>
  <c r="L811" i="82"/>
  <c r="L608" i="82"/>
  <c r="D190" i="82"/>
  <c r="D289" i="82"/>
  <c r="D157" i="82"/>
  <c r="L767" i="82"/>
  <c r="D992" i="82"/>
  <c r="L130" i="82"/>
  <c r="D952" i="82"/>
  <c r="L75" i="82"/>
  <c r="L475" i="82"/>
  <c r="D195" i="102"/>
  <c r="D396" i="82"/>
  <c r="D435" i="82"/>
  <c r="D655" i="82"/>
  <c r="L206" i="82"/>
  <c r="D819" i="82"/>
  <c r="D849" i="82"/>
  <c r="H67" i="82"/>
  <c r="D295" i="102"/>
  <c r="L603" i="82"/>
  <c r="D462" i="82"/>
  <c r="D364" i="82"/>
  <c r="D553" i="82"/>
  <c r="D805" i="82"/>
  <c r="L804" i="82"/>
  <c r="L705" i="82"/>
  <c r="D168" i="82"/>
  <c r="L676" i="82"/>
  <c r="L715" i="82"/>
  <c r="L695" i="82"/>
  <c r="L570" i="82"/>
  <c r="L374" i="82"/>
  <c r="D320" i="82"/>
  <c r="D100" i="82"/>
  <c r="L378" i="82"/>
  <c r="L933" i="82"/>
  <c r="D52" i="82"/>
  <c r="D638" i="82"/>
  <c r="L347" i="82"/>
  <c r="L511" i="82"/>
  <c r="D521" i="82"/>
  <c r="D241" i="82"/>
  <c r="L571" i="82"/>
  <c r="L92" i="82"/>
  <c r="L759" i="82"/>
  <c r="D214" i="82"/>
  <c r="L337" i="82"/>
  <c r="L773" i="82"/>
  <c r="D481" i="82"/>
  <c r="D344" i="82"/>
  <c r="D174" i="82"/>
  <c r="L775" i="82"/>
  <c r="L938" i="82"/>
  <c r="D971" i="82"/>
  <c r="D288" i="82"/>
  <c r="L336" i="82"/>
  <c r="D541" i="82"/>
  <c r="D876" i="82"/>
  <c r="D442" i="82"/>
  <c r="L915" i="82"/>
  <c r="D237" i="82"/>
  <c r="L953" i="82"/>
  <c r="D277" i="82"/>
  <c r="D2" i="82"/>
  <c r="D688" i="82"/>
  <c r="D929" i="82"/>
  <c r="D76" i="82"/>
  <c r="D309" i="82"/>
  <c r="D161" i="82"/>
  <c r="L235" i="82"/>
  <c r="D578" i="82"/>
  <c r="L407" i="82"/>
  <c r="D123" i="82"/>
  <c r="L656" i="82"/>
  <c r="D674" i="82"/>
  <c r="D766" i="82"/>
  <c r="D764" i="82"/>
  <c r="D835" i="82"/>
  <c r="D454" i="82"/>
  <c r="L848" i="82"/>
  <c r="L314" i="82"/>
  <c r="D357" i="82"/>
  <c r="L316" i="82"/>
  <c r="L729" i="82"/>
  <c r="D80" i="82"/>
  <c r="L450" i="82"/>
  <c r="L949" i="82"/>
  <c r="D885" i="82"/>
  <c r="D74" i="82"/>
  <c r="D991" i="82"/>
  <c r="D721" i="82"/>
  <c r="D895" i="82"/>
  <c r="L756" i="82"/>
  <c r="D189" i="102"/>
  <c r="D361" i="102"/>
  <c r="D507" i="82"/>
  <c r="D591" i="82"/>
  <c r="D864" i="82"/>
  <c r="D922" i="82"/>
  <c r="L416" i="82"/>
  <c r="D126" i="102"/>
  <c r="D151" i="102"/>
  <c r="D72" i="102"/>
  <c r="D93" i="102"/>
  <c r="D38" i="102"/>
  <c r="D73" i="102"/>
  <c r="D418" i="102"/>
  <c r="D78" i="102"/>
  <c r="D36" i="102"/>
  <c r="D107" i="102"/>
  <c r="D229" i="102"/>
  <c r="D473" i="102"/>
  <c r="D5" i="102"/>
  <c r="D356" i="102"/>
  <c r="D239" i="102"/>
  <c r="D362" i="102"/>
  <c r="D407" i="102"/>
  <c r="H4" i="82"/>
  <c r="H81" i="82"/>
  <c r="H285" i="82"/>
  <c r="D83" i="102"/>
  <c r="D265" i="102"/>
  <c r="D387" i="102"/>
  <c r="D271" i="102"/>
  <c r="D384" i="102"/>
  <c r="H325" i="82"/>
  <c r="D56" i="102"/>
  <c r="H5" i="82"/>
  <c r="H178" i="82"/>
  <c r="H166" i="82"/>
  <c r="D190" i="102"/>
  <c r="D34" i="102"/>
  <c r="D270" i="102"/>
  <c r="D245" i="102"/>
  <c r="D263" i="102"/>
  <c r="D224" i="102"/>
  <c r="H406" i="82"/>
  <c r="D52" i="102"/>
  <c r="H490" i="82"/>
  <c r="D391" i="102"/>
  <c r="D404" i="102"/>
  <c r="D143" i="102"/>
  <c r="D18" i="102"/>
  <c r="H265" i="82"/>
  <c r="H392" i="82"/>
  <c r="D37" i="102"/>
  <c r="H173" i="82"/>
  <c r="H162" i="82"/>
  <c r="H281" i="82"/>
  <c r="H357" i="82"/>
  <c r="H494" i="82"/>
  <c r="H221" i="82"/>
  <c r="D341" i="102"/>
  <c r="H435" i="82"/>
  <c r="D955" i="82"/>
  <c r="L210" i="82"/>
  <c r="D643" i="82"/>
  <c r="D642" i="82"/>
  <c r="D354" i="82"/>
  <c r="D395" i="82"/>
  <c r="L620" i="82"/>
  <c r="D381" i="82"/>
  <c r="L294" i="82"/>
  <c r="D942" i="82"/>
  <c r="D17" i="82"/>
  <c r="D280" i="82"/>
  <c r="D307" i="82"/>
  <c r="D979" i="82"/>
  <c r="D827" i="82"/>
  <c r="L498" i="82"/>
  <c r="L348" i="82"/>
  <c r="D749" i="82"/>
  <c r="D964" i="82"/>
  <c r="D843" i="82"/>
  <c r="D658" i="82"/>
  <c r="D961" i="82"/>
  <c r="D923" i="82"/>
  <c r="D428" i="82"/>
  <c r="L573" i="82"/>
  <c r="D370" i="82"/>
  <c r="D211" i="82"/>
  <c r="L781" i="82"/>
  <c r="D276" i="82"/>
  <c r="D512" i="82"/>
  <c r="D142" i="82"/>
  <c r="D418" i="82"/>
  <c r="D244" i="82"/>
  <c r="D393" i="82"/>
  <c r="L243" i="82"/>
  <c r="D650" i="82"/>
  <c r="D549" i="82"/>
  <c r="D447" i="82"/>
  <c r="L667" i="82"/>
  <c r="L280" i="82"/>
  <c r="L964" i="82"/>
  <c r="D795" i="82"/>
  <c r="D116" i="82"/>
  <c r="D897" i="82"/>
  <c r="L246" i="82"/>
  <c r="D193" i="82"/>
  <c r="L340" i="82"/>
  <c r="L844" i="82"/>
  <c r="D378" i="82"/>
  <c r="D85" i="82"/>
  <c r="L86" i="82"/>
  <c r="L91" i="82"/>
  <c r="H184" i="82"/>
  <c r="D238" i="102"/>
  <c r="D140" i="82"/>
  <c r="L622" i="82"/>
  <c r="D936" i="82"/>
  <c r="D166" i="82"/>
  <c r="D969" i="82"/>
  <c r="L849" i="82"/>
  <c r="D69" i="82"/>
  <c r="D716" i="82"/>
  <c r="L585" i="82"/>
  <c r="D243" i="82"/>
  <c r="D315" i="102"/>
  <c r="L877" i="82"/>
  <c r="D898" i="82"/>
  <c r="D660" i="82"/>
  <c r="L895" i="82"/>
  <c r="D72" i="82"/>
  <c r="H213" i="82"/>
  <c r="D111" i="102"/>
  <c r="L971" i="82"/>
  <c r="D128" i="102"/>
  <c r="D818" i="82"/>
  <c r="L267" i="82"/>
  <c r="D147" i="102"/>
  <c r="L537" i="82"/>
  <c r="D867" i="82"/>
  <c r="L826" i="82"/>
  <c r="D125" i="102"/>
  <c r="D525" i="82"/>
  <c r="D347" i="82"/>
  <c r="H395" i="82"/>
  <c r="D426" i="102"/>
  <c r="H313" i="82"/>
  <c r="D184" i="102"/>
  <c r="D253" i="102"/>
  <c r="D499" i="102"/>
  <c r="L135" i="82"/>
  <c r="D297" i="82"/>
  <c r="D402" i="102"/>
  <c r="D223" i="102"/>
  <c r="L687" i="82"/>
  <c r="L597" i="82"/>
  <c r="D459" i="82"/>
  <c r="L766" i="82"/>
  <c r="D914" i="82"/>
  <c r="L323" i="82"/>
  <c r="L270" i="82"/>
  <c r="L9" i="82"/>
  <c r="L205" i="82"/>
  <c r="D1000" i="82"/>
  <c r="D773" i="82"/>
  <c r="D996" i="82"/>
  <c r="D109" i="82"/>
  <c r="D534" i="82"/>
  <c r="D387" i="82"/>
  <c r="D828" i="82"/>
  <c r="L136" i="82"/>
  <c r="D271" i="82"/>
  <c r="D980" i="82"/>
  <c r="L546" i="82"/>
  <c r="L387" i="82"/>
  <c r="L150" i="82"/>
  <c r="D846" i="82"/>
  <c r="D999" i="82"/>
  <c r="D981" i="82"/>
  <c r="D966" i="82"/>
  <c r="L805" i="82"/>
  <c r="L835" i="82"/>
  <c r="L500" i="82"/>
  <c r="L743" i="82"/>
  <c r="L406" i="82"/>
  <c r="D794" i="82"/>
  <c r="L807" i="82"/>
  <c r="L720" i="82"/>
  <c r="D337" i="82"/>
  <c r="D531" i="82"/>
  <c r="L397" i="82"/>
  <c r="D989" i="82"/>
  <c r="D617" i="82"/>
  <c r="D584" i="82"/>
  <c r="L777" i="82"/>
  <c r="L812" i="82"/>
  <c r="D63" i="82"/>
  <c r="D12" i="82"/>
  <c r="D407" i="82"/>
  <c r="D353" i="82"/>
  <c r="D692" i="82"/>
  <c r="L45" i="82"/>
  <c r="L800" i="82"/>
  <c r="D536" i="82"/>
  <c r="L558" i="82"/>
  <c r="D614" i="82"/>
  <c r="L400" i="82"/>
  <c r="D287" i="82"/>
  <c r="L302" i="82"/>
  <c r="D656" i="82"/>
  <c r="L64" i="82"/>
  <c r="L665" i="82"/>
  <c r="L90" i="82"/>
  <c r="D143" i="82"/>
  <c r="D290" i="102"/>
  <c r="D164" i="102"/>
  <c r="D138" i="82"/>
  <c r="L208" i="82"/>
  <c r="D998" i="82"/>
  <c r="L126" i="82"/>
  <c r="D485" i="82"/>
  <c r="L572" i="82"/>
  <c r="D366" i="82"/>
  <c r="L510" i="82"/>
  <c r="H161" i="82"/>
  <c r="D513" i="82"/>
  <c r="D448" i="102"/>
  <c r="D371" i="82"/>
  <c r="D211" i="102"/>
  <c r="L943" i="82"/>
  <c r="D417" i="102"/>
  <c r="D974" i="82"/>
  <c r="D951" i="82"/>
  <c r="D308" i="102"/>
  <c r="D284" i="102"/>
  <c r="D216" i="102"/>
  <c r="D441" i="102"/>
  <c r="H315" i="82"/>
  <c r="H167" i="82"/>
  <c r="D433" i="102"/>
  <c r="D86" i="102"/>
  <c r="H214" i="82"/>
  <c r="D149" i="102"/>
  <c r="H141" i="82"/>
  <c r="D150" i="102"/>
  <c r="H333" i="82"/>
  <c r="D95" i="102"/>
  <c r="D348" i="102"/>
  <c r="D4" i="102"/>
  <c r="H108" i="82"/>
  <c r="D140" i="102"/>
  <c r="D158" i="102"/>
  <c r="D459" i="102"/>
  <c r="H127" i="82"/>
  <c r="H409" i="82"/>
  <c r="H345" i="82"/>
  <c r="H212" i="82"/>
  <c r="H200" i="82"/>
  <c r="D89" i="102"/>
  <c r="D834" i="82"/>
  <c r="D191" i="102"/>
  <c r="D395" i="102"/>
  <c r="D154" i="102"/>
  <c r="L747" i="82"/>
  <c r="D455" i="82"/>
  <c r="D874" i="82"/>
  <c r="L634" i="82"/>
  <c r="D169" i="82"/>
  <c r="L458" i="82"/>
  <c r="D552" i="82"/>
  <c r="D29" i="82"/>
  <c r="D689" i="82"/>
  <c r="D850" i="82"/>
  <c r="D215" i="102"/>
  <c r="L955" i="82"/>
  <c r="H105" i="82"/>
  <c r="H230" i="82"/>
  <c r="H314" i="82"/>
  <c r="L81" i="82"/>
  <c r="D475" i="102"/>
  <c r="D379" i="102"/>
  <c r="L694" i="82"/>
  <c r="D950" i="82"/>
  <c r="D416" i="102"/>
  <c r="D71" i="102"/>
  <c r="D466" i="102"/>
  <c r="H298" i="82"/>
  <c r="D269" i="102"/>
  <c r="H199" i="82"/>
  <c r="D382" i="102"/>
  <c r="D69" i="102"/>
  <c r="D489" i="102"/>
  <c r="D399" i="102"/>
  <c r="D342" i="102"/>
  <c r="H202" i="82"/>
  <c r="D2" i="102"/>
  <c r="D10" i="102"/>
  <c r="D207" i="102"/>
  <c r="H277" i="82"/>
  <c r="D435" i="102"/>
  <c r="D20" i="102"/>
  <c r="D406" i="102"/>
  <c r="D53" i="102"/>
  <c r="D386" i="102"/>
  <c r="D322" i="102"/>
  <c r="H241" i="82"/>
  <c r="D82" i="102"/>
  <c r="H463" i="82"/>
  <c r="D166" i="102"/>
  <c r="H433" i="82"/>
  <c r="H96" i="82"/>
  <c r="H74" i="82"/>
  <c r="H393" i="82"/>
  <c r="H144" i="82"/>
  <c r="H484" i="82"/>
  <c r="H436" i="82"/>
  <c r="H346" i="82"/>
  <c r="H89" i="82"/>
  <c r="D85" i="102"/>
  <c r="H148" i="82"/>
  <c r="H191" i="82"/>
  <c r="H359" i="82"/>
  <c r="D389" i="102"/>
  <c r="D467" i="102"/>
  <c r="H368" i="82"/>
  <c r="H134" i="82"/>
  <c r="D488" i="102"/>
  <c r="D64" i="102"/>
  <c r="D325" i="102"/>
  <c r="D91" i="102"/>
  <c r="D68" i="102"/>
  <c r="H211" i="82"/>
  <c r="H384" i="82"/>
  <c r="H289" i="82"/>
  <c r="D303" i="102"/>
  <c r="H121" i="82"/>
  <c r="H295" i="82"/>
  <c r="H77" i="82"/>
  <c r="H91" i="82"/>
  <c r="D193" i="102"/>
  <c r="D414" i="102"/>
  <c r="H246" i="82"/>
  <c r="D369" i="102"/>
  <c r="H232" i="82"/>
  <c r="H282" i="82"/>
  <c r="H343" i="82"/>
  <c r="H53" i="82"/>
  <c r="H137" i="82"/>
  <c r="D378" i="102"/>
  <c r="D400" i="102"/>
  <c r="H112" i="82"/>
  <c r="H344" i="82"/>
  <c r="H339" i="82"/>
  <c r="D22" i="102"/>
  <c r="D54" i="102"/>
  <c r="H72" i="82"/>
  <c r="H163" i="82"/>
  <c r="H66" i="82"/>
  <c r="H100" i="82"/>
  <c r="H419" i="82"/>
  <c r="D179" i="102"/>
  <c r="D351" i="102"/>
  <c r="H71" i="82"/>
  <c r="D232" i="102"/>
  <c r="H452" i="82"/>
  <c r="H11" i="82"/>
  <c r="H176" i="82"/>
  <c r="D352" i="102"/>
  <c r="H341" i="82"/>
  <c r="D59" i="102"/>
  <c r="H454" i="82"/>
  <c r="H94" i="82"/>
  <c r="H245" i="82"/>
  <c r="D421" i="102"/>
  <c r="H272" i="82"/>
  <c r="H474" i="82"/>
  <c r="H296" i="82"/>
  <c r="H138" i="82"/>
  <c r="H250" i="82"/>
  <c r="D187" i="102"/>
  <c r="H291" i="82"/>
  <c r="H475" i="82"/>
  <c r="D332" i="82"/>
  <c r="L772" i="82"/>
  <c r="L985" i="82"/>
  <c r="D548" i="82"/>
  <c r="D377" i="82"/>
  <c r="D940" i="82"/>
  <c r="D122" i="102"/>
  <c r="D394" i="102"/>
  <c r="D759" i="82"/>
  <c r="D66" i="82"/>
  <c r="D450" i="102"/>
  <c r="D472" i="102"/>
  <c r="D274" i="102"/>
  <c r="H324" i="82"/>
  <c r="D201" i="102"/>
  <c r="D365" i="102"/>
  <c r="D278" i="102"/>
  <c r="H231" i="82"/>
  <c r="D291" i="102"/>
  <c r="H130" i="82"/>
  <c r="D485" i="102"/>
  <c r="D198" i="102"/>
  <c r="H120" i="82"/>
  <c r="D182" i="102"/>
  <c r="D171" i="102"/>
  <c r="H124" i="82"/>
  <c r="D326" i="102"/>
  <c r="D393" i="102"/>
  <c r="D212" i="102"/>
  <c r="D33" i="102"/>
  <c r="D294" i="102"/>
  <c r="D123" i="102"/>
  <c r="D230" i="102"/>
  <c r="H115" i="82"/>
  <c r="D192" i="102"/>
  <c r="D213" i="102"/>
  <c r="D374" i="102"/>
  <c r="D116" i="102"/>
  <c r="D162" i="102"/>
  <c r="H12" i="82"/>
  <c r="D11" i="102"/>
  <c r="D385" i="102"/>
  <c r="D470" i="102"/>
  <c r="D468" i="102"/>
  <c r="H13" i="82"/>
  <c r="H382" i="82"/>
  <c r="H371" i="82"/>
  <c r="H473" i="82"/>
  <c r="H476" i="82"/>
  <c r="H358" i="82"/>
  <c r="D208" i="102"/>
  <c r="H155" i="82"/>
  <c r="D183" i="102"/>
  <c r="H122" i="82"/>
  <c r="D275" i="102"/>
  <c r="H25" i="82"/>
  <c r="D21" i="102"/>
  <c r="H69" i="82"/>
  <c r="H275" i="82"/>
  <c r="D3" i="102"/>
  <c r="H308" i="82"/>
  <c r="H85" i="82"/>
  <c r="D500" i="102"/>
  <c r="D405" i="102"/>
  <c r="D61" i="102"/>
  <c r="H317" i="82"/>
  <c r="D26" i="102"/>
  <c r="D231" i="102"/>
  <c r="D178" i="102"/>
  <c r="D24" i="102"/>
  <c r="D264" i="102"/>
  <c r="H40" i="82"/>
  <c r="D96" i="102"/>
  <c r="H192" i="82"/>
  <c r="D46" i="102"/>
  <c r="D464" i="102"/>
  <c r="D250" i="102"/>
  <c r="H478" i="82"/>
  <c r="H334" i="82"/>
  <c r="H416" i="82"/>
  <c r="H217" i="82"/>
  <c r="D242" i="102"/>
  <c r="H381" i="82"/>
  <c r="D202" i="102"/>
  <c r="H218" i="82"/>
  <c r="H383" i="82"/>
  <c r="D120" i="102"/>
  <c r="H398" i="82"/>
  <c r="H483" i="82"/>
  <c r="D491" i="102"/>
  <c r="H374" i="82"/>
  <c r="D415" i="102"/>
  <c r="H413" i="82"/>
  <c r="H80" i="82"/>
  <c r="D498" i="102"/>
  <c r="H432" i="82"/>
  <c r="D277" i="102"/>
  <c r="H460" i="82"/>
  <c r="H82" i="82"/>
  <c r="D227" i="102"/>
  <c r="H270" i="82"/>
  <c r="D27" i="102"/>
  <c r="H356" i="82"/>
  <c r="H491" i="82"/>
  <c r="D44" i="102"/>
  <c r="H109" i="82"/>
  <c r="D210" i="102"/>
  <c r="H18" i="82"/>
  <c r="H224" i="82"/>
  <c r="H348" i="82"/>
  <c r="H154" i="82"/>
  <c r="D334" i="102"/>
  <c r="H206" i="82"/>
  <c r="D461" i="82"/>
  <c r="L131" i="82"/>
  <c r="D410" i="82"/>
  <c r="L670" i="82"/>
  <c r="L230" i="82"/>
  <c r="D772" i="82"/>
  <c r="D546" i="82"/>
  <c r="H97" i="82"/>
  <c r="H140" i="82"/>
  <c r="D427" i="102"/>
  <c r="D458" i="102"/>
  <c r="L532" i="82"/>
  <c r="H328" i="82"/>
  <c r="D121" i="102"/>
  <c r="H150" i="82"/>
  <c r="D366" i="102"/>
  <c r="H304" i="82"/>
  <c r="D99" i="102"/>
  <c r="H396" i="82"/>
  <c r="H49" i="82"/>
  <c r="D259" i="102"/>
  <c r="D388" i="102"/>
  <c r="D383" i="102"/>
  <c r="D127" i="102"/>
  <c r="H39" i="82"/>
  <c r="D204" i="102"/>
  <c r="H133" i="82"/>
  <c r="D153" i="102"/>
  <c r="H90" i="82"/>
  <c r="H443" i="82"/>
  <c r="H113" i="82"/>
  <c r="D79" i="102"/>
  <c r="D188" i="102"/>
  <c r="D345" i="102"/>
  <c r="D218" i="102"/>
  <c r="D256" i="102"/>
  <c r="H55" i="82"/>
  <c r="D124" i="102"/>
  <c r="D234" i="102"/>
  <c r="D55" i="102"/>
  <c r="H171" i="82"/>
  <c r="H405" i="82"/>
  <c r="H429" i="82"/>
  <c r="D118" i="102"/>
  <c r="D372" i="102"/>
  <c r="D442" i="102"/>
  <c r="D471" i="102"/>
  <c r="D84" i="102"/>
  <c r="H56" i="82"/>
  <c r="H470" i="82"/>
  <c r="H446" i="82"/>
  <c r="D412" i="102"/>
  <c r="D367" i="102"/>
  <c r="H227" i="82"/>
  <c r="H215" i="82"/>
  <c r="H116" i="82"/>
  <c r="H229" i="82"/>
  <c r="H114" i="82"/>
  <c r="H347" i="82"/>
  <c r="H448" i="82"/>
  <c r="H312" i="82"/>
  <c r="H170" i="82"/>
  <c r="H15" i="82"/>
  <c r="D327" i="102"/>
  <c r="H41" i="82"/>
  <c r="D161" i="102"/>
  <c r="D90" i="102"/>
  <c r="D233" i="102"/>
  <c r="D305" i="102"/>
  <c r="D288" i="102"/>
  <c r="D186" i="102"/>
  <c r="H322" i="82"/>
  <c r="D279" i="102"/>
  <c r="H216" i="82"/>
  <c r="H378" i="82"/>
  <c r="H370" i="82"/>
  <c r="D439" i="102"/>
  <c r="D447" i="102"/>
  <c r="H319" i="82"/>
  <c r="D354" i="102"/>
  <c r="D163" i="102"/>
  <c r="D16" i="102"/>
  <c r="H338" i="82"/>
  <c r="H83" i="82"/>
  <c r="H22" i="82"/>
  <c r="H164" i="82"/>
  <c r="D292" i="102"/>
  <c r="D139" i="102"/>
  <c r="D413" i="102"/>
  <c r="H498" i="82"/>
  <c r="H465" i="82"/>
  <c r="D276" i="102"/>
  <c r="D461" i="102"/>
  <c r="H400" i="82"/>
  <c r="H415" i="82"/>
  <c r="H226" i="82"/>
  <c r="D155" i="102"/>
  <c r="H472" i="82"/>
  <c r="H107" i="82"/>
  <c r="H363" i="82"/>
  <c r="H467" i="82"/>
  <c r="H377" i="82"/>
  <c r="H17" i="82"/>
  <c r="H457" i="82"/>
  <c r="H455" i="82"/>
  <c r="H329" i="82"/>
  <c r="H198" i="82"/>
  <c r="H327" i="82"/>
  <c r="H268" i="82"/>
  <c r="H8" i="82"/>
  <c r="H23" i="82"/>
  <c r="D482" i="102"/>
  <c r="H190" i="82"/>
  <c r="H279" i="82"/>
  <c r="H401" i="82"/>
  <c r="H273" i="82"/>
  <c r="D373" i="102"/>
  <c r="H101" i="82"/>
  <c r="D330" i="102"/>
  <c r="H237" i="82"/>
  <c r="D221" i="82"/>
  <c r="D306" i="82"/>
  <c r="D575" i="82"/>
  <c r="D556" i="82"/>
  <c r="D753" i="82"/>
  <c r="D394" i="82"/>
  <c r="D269" i="82"/>
  <c r="D675" i="82"/>
  <c r="D358" i="102"/>
  <c r="D236" i="102"/>
  <c r="D780" i="82"/>
  <c r="D589" i="82"/>
  <c r="H306" i="82"/>
  <c r="D80" i="102"/>
  <c r="D88" i="102"/>
  <c r="H307" i="82"/>
  <c r="D177" i="102"/>
  <c r="D419" i="82"/>
  <c r="D401" i="102"/>
  <c r="H323" i="82"/>
  <c r="D76" i="102"/>
  <c r="H311" i="82"/>
  <c r="H386" i="82"/>
  <c r="D419" i="102"/>
  <c r="H225" i="82"/>
  <c r="D117" i="102"/>
  <c r="D172" i="102"/>
  <c r="D130" i="102"/>
  <c r="H189" i="82"/>
  <c r="D333" i="102"/>
  <c r="H267" i="82"/>
  <c r="D57" i="102"/>
  <c r="D115" i="102"/>
  <c r="D338" i="102"/>
  <c r="D371" i="102"/>
  <c r="D353" i="102"/>
  <c r="D159" i="102"/>
  <c r="D194" i="102"/>
  <c r="H366" i="82"/>
  <c r="D343" i="102"/>
  <c r="H361" i="82"/>
  <c r="D49" i="102"/>
  <c r="D490" i="102"/>
  <c r="H286" i="82"/>
  <c r="H350" i="82"/>
  <c r="H414" i="82"/>
  <c r="H486" i="82"/>
  <c r="D428" i="102"/>
  <c r="H28" i="82"/>
  <c r="D484" i="102"/>
  <c r="H93" i="82"/>
  <c r="H254" i="82"/>
  <c r="D347" i="102"/>
  <c r="D102" i="102"/>
  <c r="H336" i="82"/>
  <c r="D17" i="102"/>
  <c r="H287" i="82"/>
  <c r="H466" i="82"/>
  <c r="H263" i="82"/>
  <c r="H183" i="82"/>
  <c r="D313" i="102"/>
  <c r="H165" i="82"/>
  <c r="H84" i="82"/>
  <c r="H59" i="82"/>
  <c r="D28" i="102"/>
  <c r="H235" i="82"/>
  <c r="D13" i="102"/>
  <c r="D243" i="102"/>
  <c r="D146" i="102"/>
  <c r="D152" i="102"/>
  <c r="H10" i="82"/>
  <c r="H430" i="82"/>
  <c r="D237" i="102"/>
  <c r="H125" i="82"/>
  <c r="H104" i="82"/>
  <c r="H394" i="82"/>
  <c r="D328" i="102"/>
  <c r="D455" i="102"/>
  <c r="D438" i="102"/>
  <c r="H208" i="82"/>
  <c r="H1" i="82"/>
  <c r="H29" i="82"/>
  <c r="D110" i="102"/>
  <c r="H128" i="82"/>
  <c r="H52" i="82"/>
  <c r="H244" i="82"/>
  <c r="H43" i="82"/>
  <c r="D285" i="102"/>
  <c r="H27" i="82"/>
  <c r="H73" i="82"/>
  <c r="H236" i="82"/>
  <c r="H485" i="82"/>
  <c r="H238" i="82"/>
  <c r="H326" i="82"/>
  <c r="D32" i="102"/>
  <c r="D453" i="102"/>
  <c r="H259" i="82"/>
  <c r="D19" i="102"/>
  <c r="H156" i="82"/>
  <c r="H408" i="82"/>
  <c r="H404" i="82"/>
  <c r="H111" i="82"/>
  <c r="H88" i="82"/>
  <c r="H157" i="82"/>
  <c r="H418" i="82"/>
  <c r="H458" i="82"/>
  <c r="H172" i="82"/>
  <c r="H479" i="82"/>
  <c r="D81" i="102"/>
  <c r="D408" i="102"/>
  <c r="H62" i="82"/>
  <c r="D43" i="102"/>
  <c r="H481" i="82"/>
  <c r="H60" i="82"/>
  <c r="H147" i="82"/>
  <c r="H337" i="82"/>
  <c r="D106" i="102"/>
  <c r="H146" i="82"/>
  <c r="H219" i="82"/>
  <c r="H129" i="82"/>
  <c r="H355" i="82"/>
  <c r="H35" i="82"/>
  <c r="H354" i="82"/>
  <c r="D320" i="102"/>
  <c r="D503" i="82"/>
  <c r="D130" i="82"/>
  <c r="D562" i="82"/>
  <c r="D871" i="82"/>
  <c r="L257" i="82"/>
  <c r="D429" i="82"/>
  <c r="L357" i="82"/>
  <c r="L412" i="82"/>
  <c r="L702" i="82"/>
  <c r="D46" i="82"/>
  <c r="L220" i="82"/>
  <c r="L224" i="82"/>
  <c r="L254" i="82"/>
  <c r="D316" i="82"/>
  <c r="D640" i="82"/>
  <c r="D247" i="102"/>
  <c r="H249" i="82"/>
  <c r="D62" i="102"/>
  <c r="D252" i="102"/>
  <c r="D339" i="102"/>
  <c r="D114" i="102"/>
  <c r="L363" i="82"/>
  <c r="D77" i="102"/>
  <c r="D293" i="102"/>
  <c r="H332" i="82"/>
  <c r="L910" i="82"/>
  <c r="D196" i="102"/>
  <c r="D180" i="102"/>
  <c r="D119" i="102"/>
  <c r="D9" i="102"/>
  <c r="H186" i="82"/>
  <c r="D451" i="102"/>
  <c r="H440" i="82"/>
  <c r="H331" i="82"/>
  <c r="D462" i="102"/>
  <c r="H119" i="82"/>
  <c r="D97" i="102"/>
  <c r="H233" i="82"/>
  <c r="H205" i="82"/>
  <c r="D492" i="102"/>
  <c r="D411" i="102"/>
  <c r="H196" i="82"/>
  <c r="D257" i="102"/>
  <c r="H260" i="82"/>
  <c r="H451" i="82"/>
  <c r="H497" i="82"/>
  <c r="H375" i="82"/>
  <c r="D477" i="102"/>
  <c r="H320" i="82"/>
  <c r="H488" i="82"/>
  <c r="D67" i="102"/>
  <c r="H181" i="82"/>
  <c r="H284" i="82"/>
  <c r="H30" i="82"/>
  <c r="D282" i="102"/>
  <c r="H70" i="82"/>
  <c r="H143" i="82"/>
  <c r="D217" i="102"/>
  <c r="D350" i="102"/>
  <c r="D254" i="102"/>
  <c r="D206" i="102"/>
  <c r="H51" i="82"/>
  <c r="H251" i="82"/>
  <c r="D359" i="102"/>
  <c r="D422" i="102"/>
  <c r="H42" i="82"/>
  <c r="H453" i="82"/>
  <c r="H471" i="82"/>
  <c r="H257" i="82"/>
  <c r="D108" i="102"/>
  <c r="H87" i="82"/>
  <c r="H36" i="82"/>
  <c r="H92" i="82"/>
  <c r="H220" i="82"/>
  <c r="D8" i="102"/>
  <c r="D390" i="102"/>
  <c r="H193" i="82"/>
  <c r="H449" i="82"/>
  <c r="H142" i="82"/>
  <c r="D432" i="102"/>
  <c r="H247" i="82"/>
  <c r="D440" i="102"/>
  <c r="D209" i="102"/>
  <c r="D131" i="102"/>
  <c r="D200" i="102"/>
  <c r="D480" i="102"/>
  <c r="D103" i="102"/>
  <c r="D486" i="102"/>
  <c r="H403" i="82"/>
  <c r="H428" i="82"/>
  <c r="D50" i="102"/>
  <c r="H303" i="82"/>
  <c r="H145" i="82"/>
  <c r="D474" i="102"/>
  <c r="D321" i="102"/>
  <c r="H335" i="82"/>
  <c r="D14" i="102"/>
  <c r="D299" i="102"/>
  <c r="H57" i="82"/>
  <c r="H292" i="82"/>
  <c r="D255" i="102"/>
  <c r="H44" i="82"/>
  <c r="D335" i="102"/>
  <c r="D301" i="102"/>
  <c r="D266" i="102"/>
  <c r="D104" i="102"/>
  <c r="H126" i="82"/>
  <c r="D45" i="102"/>
  <c r="D487" i="102"/>
  <c r="H362" i="82"/>
  <c r="H207" i="82"/>
  <c r="H255" i="82"/>
  <c r="H417" i="82"/>
  <c r="H195" i="82"/>
  <c r="H103" i="82"/>
  <c r="H438" i="82"/>
  <c r="D398" i="102"/>
  <c r="D380" i="102"/>
  <c r="H24" i="82"/>
  <c r="H480" i="82"/>
  <c r="H152" i="82"/>
  <c r="H310" i="82"/>
  <c r="H365" i="82"/>
  <c r="H412" i="82"/>
  <c r="H271" i="82"/>
  <c r="H19" i="82"/>
  <c r="H239" i="82"/>
  <c r="H309" i="82"/>
  <c r="D240" i="102"/>
  <c r="H447" i="82"/>
  <c r="L581" i="82"/>
  <c r="D47" i="82"/>
  <c r="L490" i="82"/>
  <c r="D662" i="82"/>
  <c r="D891" i="82"/>
  <c r="D532" i="82"/>
  <c r="D362" i="82"/>
  <c r="D346" i="82"/>
  <c r="D248" i="82"/>
  <c r="D927" i="82"/>
  <c r="D582" i="82"/>
  <c r="D994" i="82"/>
  <c r="L279" i="82"/>
  <c r="D500" i="82"/>
  <c r="D440" i="82"/>
  <c r="H248" i="82"/>
  <c r="L391" i="82"/>
  <c r="H194" i="82"/>
  <c r="D289" i="102"/>
  <c r="D167" i="102"/>
  <c r="D39" i="102"/>
  <c r="D134" i="102"/>
  <c r="H188" i="82"/>
  <c r="L61" i="82"/>
  <c r="D360" i="102"/>
  <c r="D181" i="102"/>
  <c r="D441" i="82"/>
  <c r="D496" i="102"/>
  <c r="H261" i="82"/>
  <c r="D323" i="102"/>
  <c r="H139" i="82"/>
  <c r="D160" i="102"/>
  <c r="D141" i="102"/>
  <c r="D1" i="102"/>
  <c r="H204" i="82"/>
  <c r="H14" i="82"/>
  <c r="D310" i="102"/>
  <c r="H456" i="82"/>
  <c r="D173" i="102"/>
  <c r="D170" i="102"/>
  <c r="D113" i="102"/>
  <c r="D145" i="102"/>
  <c r="D268" i="102"/>
  <c r="D483" i="102"/>
  <c r="H187" i="82"/>
  <c r="D219" i="102"/>
  <c r="D425" i="102"/>
  <c r="D129" i="102"/>
  <c r="D452" i="102"/>
  <c r="D304" i="102"/>
  <c r="D136" i="102"/>
  <c r="H117" i="82"/>
  <c r="H342" i="82"/>
  <c r="H439" i="82"/>
  <c r="D336" i="102"/>
  <c r="H223" i="82"/>
  <c r="H99" i="82"/>
  <c r="H349" i="82"/>
  <c r="D214" i="102"/>
  <c r="D460" i="102"/>
  <c r="H290" i="82"/>
  <c r="D469" i="102"/>
  <c r="H340" i="82"/>
  <c r="H61" i="82"/>
  <c r="D98" i="102"/>
  <c r="H441" i="82"/>
  <c r="D251" i="102"/>
  <c r="D306" i="102"/>
  <c r="D340" i="102"/>
  <c r="H168" i="82"/>
  <c r="D368" i="102"/>
  <c r="D297" i="102"/>
  <c r="D205" i="102"/>
  <c r="H301" i="82"/>
  <c r="H351" i="82"/>
  <c r="H450" i="82"/>
  <c r="H469" i="82"/>
  <c r="H48" i="82"/>
  <c r="D444" i="102"/>
  <c r="H31" i="82"/>
  <c r="D221" i="102"/>
  <c r="H149" i="82"/>
  <c r="H425" i="82"/>
  <c r="H6" i="82"/>
  <c r="H180" i="82"/>
  <c r="D168" i="102"/>
  <c r="H364" i="82"/>
  <c r="D363" i="102"/>
  <c r="D199" i="102"/>
  <c r="D318" i="102"/>
  <c r="D135" i="102"/>
  <c r="D364" i="102"/>
  <c r="H209" i="82"/>
  <c r="H300" i="82"/>
  <c r="H407" i="82"/>
  <c r="D42" i="102"/>
  <c r="H410" i="82"/>
  <c r="H495" i="82"/>
  <c r="H390" i="82"/>
  <c r="D396" i="102"/>
  <c r="H50" i="82"/>
  <c r="D101" i="102"/>
  <c r="D456" i="102"/>
  <c r="H391" i="82"/>
  <c r="H500" i="82"/>
  <c r="H399" i="82"/>
  <c r="D429" i="102"/>
  <c r="H151" i="82"/>
  <c r="H489" i="82"/>
  <c r="H411" i="82"/>
  <c r="D176" i="102"/>
  <c r="D376" i="102"/>
  <c r="H299" i="82"/>
  <c r="D137" i="102"/>
  <c r="H32" i="82"/>
  <c r="D280" i="102"/>
  <c r="D132" i="102"/>
  <c r="D222" i="102"/>
  <c r="H427" i="82"/>
  <c r="D185" i="102"/>
  <c r="L768" i="82"/>
  <c r="L434" i="82"/>
  <c r="D252" i="82"/>
  <c r="D958" i="82"/>
  <c r="L867" i="82"/>
  <c r="L837" i="82"/>
  <c r="D758" i="82"/>
  <c r="D307" i="102"/>
  <c r="D66" i="102"/>
  <c r="D220" i="102"/>
  <c r="D226" i="102"/>
  <c r="D449" i="102"/>
  <c r="H258" i="82"/>
  <c r="D454" i="102"/>
  <c r="H297" i="82"/>
  <c r="D409" i="102"/>
  <c r="D494" i="102"/>
  <c r="D12" i="102"/>
  <c r="D287" i="102"/>
  <c r="D15" i="102"/>
  <c r="H426" i="82"/>
  <c r="D283" i="102"/>
  <c r="D443" i="102"/>
  <c r="D249" i="82"/>
  <c r="H2" i="82"/>
  <c r="D332" i="102"/>
  <c r="D60" i="102"/>
  <c r="D434" i="102"/>
  <c r="D430" i="102"/>
  <c r="H305" i="82"/>
  <c r="D248" i="102"/>
  <c r="D75" i="102"/>
  <c r="H422" i="82"/>
  <c r="H321" i="82"/>
  <c r="D258" i="102"/>
  <c r="D476" i="102"/>
  <c r="H262" i="82"/>
  <c r="H459" i="82"/>
  <c r="H442" i="82"/>
  <c r="H437" i="82"/>
  <c r="D225" i="102"/>
  <c r="H421" i="82"/>
  <c r="D246" i="102"/>
  <c r="H20" i="82"/>
  <c r="D197" i="102"/>
  <c r="H68" i="82"/>
  <c r="D92" i="102"/>
  <c r="D281" i="102"/>
  <c r="D479" i="102"/>
  <c r="D431" i="102"/>
  <c r="H86" i="82"/>
  <c r="D156" i="102"/>
  <c r="H3" i="82"/>
  <c r="H54" i="82"/>
  <c r="H65" i="82"/>
  <c r="H499" i="82"/>
  <c r="H38" i="82"/>
  <c r="D273" i="102"/>
  <c r="D31" i="102"/>
  <c r="H388" i="82"/>
  <c r="D392" i="102"/>
  <c r="H243" i="82"/>
  <c r="D241" i="102"/>
  <c r="D74" i="102"/>
  <c r="D30" i="102"/>
  <c r="H493" i="82"/>
  <c r="H9" i="82"/>
  <c r="D377" i="102"/>
  <c r="H135" i="82"/>
  <c r="D203" i="102"/>
  <c r="D312" i="102"/>
  <c r="D109" i="102"/>
  <c r="D105" i="102"/>
  <c r="H118" i="82"/>
  <c r="H106" i="82"/>
  <c r="H201" i="82"/>
  <c r="H288" i="82"/>
  <c r="D420" i="102"/>
  <c r="H95" i="82"/>
  <c r="H445" i="82"/>
  <c r="H182" i="82"/>
  <c r="D437" i="102"/>
  <c r="H26" i="82"/>
  <c r="D272" i="102"/>
  <c r="H431" i="82"/>
  <c r="H330" i="82"/>
  <c r="H256" i="82"/>
  <c r="H293" i="82"/>
  <c r="H444" i="82"/>
  <c r="D446" i="102"/>
  <c r="H240" i="82"/>
  <c r="H376" i="82"/>
  <c r="H63" i="82"/>
  <c r="H228" i="82"/>
  <c r="H462" i="82"/>
  <c r="D397" i="102"/>
  <c r="D329" i="102"/>
  <c r="D423" i="102"/>
  <c r="H492" i="82"/>
  <c r="D424" i="102"/>
  <c r="H318" i="82"/>
  <c r="D497" i="102"/>
  <c r="H160" i="82"/>
  <c r="H98" i="82"/>
  <c r="H16" i="82"/>
  <c r="D445" i="102"/>
  <c r="H482" i="82"/>
  <c r="L390" i="82"/>
  <c r="L324" i="82"/>
  <c r="L105" i="82"/>
  <c r="L827" i="82"/>
  <c r="D314" i="82"/>
  <c r="D860" i="82"/>
  <c r="D437" i="82"/>
  <c r="L264" i="82"/>
  <c r="D414" i="82"/>
  <c r="D911" i="82"/>
  <c r="H58" i="82"/>
  <c r="L637" i="82"/>
  <c r="H269" i="82"/>
  <c r="D40" i="102"/>
  <c r="D357" i="102"/>
  <c r="H131" i="82"/>
  <c r="D262" i="102"/>
  <c r="D41" i="102"/>
  <c r="D174" i="102"/>
  <c r="D35" i="102"/>
  <c r="D344" i="102"/>
  <c r="H177" i="82"/>
  <c r="D48" i="102"/>
  <c r="H222" i="82"/>
  <c r="D25" i="102"/>
  <c r="L464" i="82"/>
  <c r="D142" i="102"/>
  <c r="D65" i="102"/>
  <c r="D381" i="102"/>
  <c r="H380" i="82"/>
  <c r="D478" i="102"/>
  <c r="H264" i="82"/>
  <c r="D300" i="102"/>
  <c r="D302" i="102"/>
  <c r="H197" i="82"/>
  <c r="D112" i="102"/>
  <c r="D249" i="102"/>
  <c r="D138" i="102"/>
  <c r="D29" i="102"/>
  <c r="D6" i="102"/>
  <c r="H434" i="82"/>
  <c r="H158" i="82"/>
  <c r="H353" i="82"/>
  <c r="D144" i="102"/>
  <c r="D47" i="102"/>
  <c r="D133" i="102"/>
  <c r="H179" i="82"/>
  <c r="D261" i="102"/>
  <c r="D309" i="102"/>
  <c r="H276" i="82"/>
  <c r="H424" i="82"/>
  <c r="H175" i="82"/>
  <c r="D70" i="102"/>
  <c r="H477" i="82"/>
  <c r="H75" i="82"/>
  <c r="H389" i="82"/>
  <c r="H47" i="82"/>
  <c r="H159" i="82"/>
  <c r="D169" i="102"/>
  <c r="D175" i="102"/>
  <c r="H283" i="82"/>
  <c r="D314" i="102"/>
  <c r="H387" i="82"/>
  <c r="H132" i="82"/>
  <c r="D349" i="102"/>
  <c r="D7" i="102"/>
  <c r="D58" i="102"/>
  <c r="H64" i="82"/>
  <c r="H369" i="82"/>
  <c r="H153" i="82"/>
  <c r="H274" i="82"/>
  <c r="D94" i="102"/>
  <c r="H21" i="82"/>
  <c r="D403" i="102"/>
  <c r="D316" i="102"/>
  <c r="H397" i="82"/>
  <c r="H461" i="82"/>
  <c r="D319" i="102"/>
  <c r="D244" i="102"/>
  <c r="H45" i="82"/>
  <c r="D100" i="102"/>
  <c r="H253" i="82"/>
  <c r="H385" i="82"/>
  <c r="H352" i="82"/>
  <c r="H174" i="82"/>
  <c r="H379" i="82"/>
  <c r="H278" i="82"/>
  <c r="H110" i="82"/>
  <c r="H402" i="82"/>
  <c r="H46" i="82"/>
  <c r="H367" i="82"/>
  <c r="H360" i="82"/>
  <c r="D493" i="102"/>
  <c r="H373" i="82"/>
  <c r="H210" i="82"/>
  <c r="H7" i="82"/>
  <c r="H37" i="82"/>
  <c r="H302" i="82"/>
  <c r="H79" i="82"/>
  <c r="H420" i="82"/>
  <c r="H464" i="82"/>
  <c r="D311" i="102"/>
  <c r="H266" i="82"/>
  <c r="H468" i="82"/>
  <c r="H34" i="82"/>
  <c r="H372" i="82"/>
  <c r="H487" i="82"/>
  <c r="H496" i="82"/>
  <c r="D228" i="102"/>
  <c r="H78" i="82"/>
</calcChain>
</file>

<file path=xl/sharedStrings.xml><?xml version="1.0" encoding="utf-8"?>
<sst xmlns="http://schemas.openxmlformats.org/spreadsheetml/2006/main" count="422" uniqueCount="13">
  <si>
    <t>id</t>
  </si>
  <si>
    <t>gender</t>
  </si>
  <si>
    <t>bdate</t>
  </si>
  <si>
    <t>educ</t>
  </si>
  <si>
    <t>jobcat</t>
  </si>
  <si>
    <t>salary</t>
  </si>
  <si>
    <t>salbegin</t>
  </si>
  <si>
    <t>jobtime</t>
  </si>
  <si>
    <t>prevexp</t>
  </si>
  <si>
    <t>minority</t>
  </si>
  <si>
    <t>m</t>
  </si>
  <si>
    <t>f</t>
  </si>
  <si>
    <t>#NULL!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</si>
</sst>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" fontId="0" fillId="0" borderId="0" xfId="0" applyNumberFormat="1"/>
    <xf numFmtId="15" fontId="0" fillId="0" borderId="0" xfId="0" applyNumberFormat="1"/>
    <xf numFmtId="164" fontId="0" fillId="0" borderId="0" xfId="0" applyNumberFormat="1"/>
    <xf numFmtId="0" fontId="0" fillId="0" borderId="0" xfId="0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Program%20Files\Addinsoft\XLSTAT\XLSTAT2A.xla" TargetMode="External"/><Relationship Id="rId1" Type="http://schemas.openxmlformats.org/officeDocument/2006/relationships/externalLinkPath" Target="file:///C:\Program%20Files\Addinsoft\XLSTAT\XLSTAT2A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  <sheetName val="XLSTAT2A"/>
    </sheetNames>
    <definedNames>
      <definedName name="XLSTAT_PDFGeneral"/>
      <definedName name="XLSTAT_PDFNormal"/>
      <definedName name="XLSTAT_PDFPoisson"/>
      <definedName name="XLSTAT_PDFWeibull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53FE41-B938-4DEE-A965-5959334019DD}">
  <sheetPr codeName="Sheet4"/>
  <dimension ref="A1:K412"/>
  <sheetViews>
    <sheetView tabSelected="1" zoomScale="109" zoomScaleNormal="100" workbookViewId="0">
      <selection activeCell="M17" sqref="M17"/>
    </sheetView>
  </sheetViews>
  <sheetFormatPr defaultRowHeight="14.4" x14ac:dyDescent="0.3"/>
  <cols>
    <col min="3" max="3" width="10.109375" bestFit="1" customWidth="1"/>
    <col min="6" max="6" width="11.44140625" bestFit="1" customWidth="1"/>
    <col min="7" max="7" width="10.44140625" bestFit="1" customWidth="1"/>
  </cols>
  <sheetData>
    <row r="1" spans="1:1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</row>
    <row r="2" spans="1:11" x14ac:dyDescent="0.3">
      <c r="A2" s="1">
        <v>1</v>
      </c>
      <c r="B2" t="s">
        <v>10</v>
      </c>
      <c r="C2" s="2">
        <v>19027</v>
      </c>
      <c r="D2" s="1">
        <v>15</v>
      </c>
      <c r="E2" s="1">
        <v>3</v>
      </c>
      <c r="F2" s="3">
        <v>57000</v>
      </c>
      <c r="G2" s="3">
        <v>27000</v>
      </c>
      <c r="H2" s="1">
        <v>98</v>
      </c>
      <c r="I2" s="1">
        <v>144</v>
      </c>
      <c r="J2" s="1">
        <v>0</v>
      </c>
    </row>
    <row r="3" spans="1:11" x14ac:dyDescent="0.3">
      <c r="A3" s="1">
        <v>2</v>
      </c>
      <c r="B3" t="s">
        <v>10</v>
      </c>
      <c r="C3" s="2">
        <v>21328</v>
      </c>
      <c r="D3" s="1">
        <v>16</v>
      </c>
      <c r="E3" s="1">
        <v>1</v>
      </c>
      <c r="F3" s="3">
        <v>40200</v>
      </c>
      <c r="G3" s="3">
        <v>18750</v>
      </c>
      <c r="H3" s="1">
        <v>98</v>
      </c>
      <c r="I3" s="1">
        <v>36</v>
      </c>
      <c r="J3" s="1">
        <v>0</v>
      </c>
    </row>
    <row r="4" spans="1:11" x14ac:dyDescent="0.3">
      <c r="A4" s="1">
        <v>3</v>
      </c>
      <c r="B4" t="s">
        <v>11</v>
      </c>
      <c r="C4" s="2">
        <v>10800</v>
      </c>
      <c r="D4" s="1">
        <v>12</v>
      </c>
      <c r="E4" s="1">
        <v>1</v>
      </c>
      <c r="F4" s="3">
        <v>21450</v>
      </c>
      <c r="G4" s="3">
        <v>12000</v>
      </c>
      <c r="H4" s="1">
        <v>98</v>
      </c>
      <c r="I4" s="1">
        <v>381</v>
      </c>
      <c r="J4" s="1">
        <v>0</v>
      </c>
    </row>
    <row r="5" spans="1:11" x14ac:dyDescent="0.3">
      <c r="A5" s="1">
        <v>4</v>
      </c>
      <c r="B5" t="s">
        <v>11</v>
      </c>
      <c r="C5" s="2">
        <v>17272</v>
      </c>
      <c r="D5" s="1">
        <v>8</v>
      </c>
      <c r="E5" s="1">
        <v>1</v>
      </c>
      <c r="F5" s="3">
        <v>21900</v>
      </c>
      <c r="G5" s="3">
        <v>13200</v>
      </c>
      <c r="H5" s="1">
        <v>98</v>
      </c>
      <c r="I5" s="1">
        <v>190</v>
      </c>
      <c r="J5" s="1">
        <v>0</v>
      </c>
    </row>
    <row r="6" spans="1:11" x14ac:dyDescent="0.3">
      <c r="A6" s="1">
        <v>5</v>
      </c>
      <c r="B6" t="s">
        <v>10</v>
      </c>
      <c r="C6" s="2">
        <v>20129</v>
      </c>
      <c r="D6" s="1">
        <v>15</v>
      </c>
      <c r="E6" s="1">
        <v>1</v>
      </c>
      <c r="F6" s="3">
        <v>45000</v>
      </c>
      <c r="G6" s="3">
        <v>21000</v>
      </c>
      <c r="H6" s="1">
        <v>98</v>
      </c>
      <c r="I6" s="1">
        <v>138</v>
      </c>
      <c r="J6" s="1">
        <v>0</v>
      </c>
    </row>
    <row r="7" spans="1:11" x14ac:dyDescent="0.3">
      <c r="A7" s="1">
        <v>6</v>
      </c>
      <c r="B7" t="s">
        <v>10</v>
      </c>
      <c r="C7" s="2">
        <v>21419</v>
      </c>
      <c r="D7" s="1">
        <v>15</v>
      </c>
      <c r="E7" s="1">
        <v>1</v>
      </c>
      <c r="F7" s="3">
        <v>32100</v>
      </c>
      <c r="G7" s="3">
        <v>13500</v>
      </c>
      <c r="H7" s="1">
        <v>98</v>
      </c>
      <c r="I7" s="1">
        <v>67</v>
      </c>
      <c r="J7" s="1">
        <v>0</v>
      </c>
    </row>
    <row r="8" spans="1:11" x14ac:dyDescent="0.3">
      <c r="A8" s="1">
        <v>7</v>
      </c>
      <c r="B8" t="s">
        <v>10</v>
      </c>
      <c r="C8" s="2">
        <v>20571</v>
      </c>
      <c r="D8" s="1">
        <v>15</v>
      </c>
      <c r="E8" s="1">
        <v>1</v>
      </c>
      <c r="F8" s="3">
        <v>36000</v>
      </c>
      <c r="G8" s="3">
        <v>18750</v>
      </c>
      <c r="H8" s="1">
        <v>98</v>
      </c>
      <c r="I8" s="1">
        <v>114</v>
      </c>
      <c r="J8" s="1">
        <v>0</v>
      </c>
    </row>
    <row r="9" spans="1:11" x14ac:dyDescent="0.3">
      <c r="A9" s="1">
        <v>8</v>
      </c>
      <c r="B9" t="s">
        <v>11</v>
      </c>
      <c r="C9" s="2">
        <v>24233</v>
      </c>
      <c r="D9" s="1">
        <v>12</v>
      </c>
      <c r="E9" s="1">
        <v>1</v>
      </c>
      <c r="F9" s="3">
        <v>21900</v>
      </c>
      <c r="G9" s="3">
        <v>9750</v>
      </c>
      <c r="H9" s="1">
        <v>98</v>
      </c>
      <c r="I9" s="1">
        <v>0</v>
      </c>
      <c r="J9" s="1">
        <v>0</v>
      </c>
    </row>
    <row r="10" spans="1:11" ht="15" customHeight="1" x14ac:dyDescent="0.3">
      <c r="A10" s="1">
        <v>9</v>
      </c>
      <c r="B10" t="s">
        <v>11</v>
      </c>
      <c r="C10" s="2">
        <v>16825</v>
      </c>
      <c r="D10" s="1">
        <v>15</v>
      </c>
      <c r="E10" s="1">
        <v>1</v>
      </c>
      <c r="F10" s="3">
        <v>27900</v>
      </c>
      <c r="G10" s="3">
        <v>12750</v>
      </c>
      <c r="H10" s="1">
        <v>98</v>
      </c>
      <c r="I10" s="1">
        <v>115</v>
      </c>
      <c r="J10" s="1">
        <v>0</v>
      </c>
      <c r="K10" s="4"/>
    </row>
    <row r="11" spans="1:11" x14ac:dyDescent="0.3">
      <c r="A11" s="1">
        <v>10</v>
      </c>
      <c r="B11" t="s">
        <v>11</v>
      </c>
      <c r="C11" s="2">
        <v>16846</v>
      </c>
      <c r="D11" s="1">
        <v>12</v>
      </c>
      <c r="E11" s="1">
        <v>1</v>
      </c>
      <c r="F11" s="3">
        <v>24000</v>
      </c>
      <c r="G11" s="3">
        <v>13500</v>
      </c>
      <c r="H11" s="1">
        <v>98</v>
      </c>
      <c r="I11" s="1">
        <v>244</v>
      </c>
      <c r="J11" s="1">
        <v>0</v>
      </c>
      <c r="K11" s="4"/>
    </row>
    <row r="12" spans="1:11" x14ac:dyDescent="0.3">
      <c r="A12" s="1">
        <v>11</v>
      </c>
      <c r="B12" t="s">
        <v>11</v>
      </c>
      <c r="C12" s="2">
        <v>18301</v>
      </c>
      <c r="D12" s="1">
        <v>16</v>
      </c>
      <c r="E12" s="1">
        <v>1</v>
      </c>
      <c r="F12" s="3">
        <v>30300</v>
      </c>
      <c r="G12" s="3">
        <v>16500</v>
      </c>
      <c r="H12" s="1">
        <v>98</v>
      </c>
      <c r="I12" s="1">
        <v>143</v>
      </c>
      <c r="J12" s="1">
        <v>0</v>
      </c>
    </row>
    <row r="13" spans="1:11" x14ac:dyDescent="0.3">
      <c r="A13" s="1">
        <v>12</v>
      </c>
      <c r="B13" t="s">
        <v>10</v>
      </c>
      <c r="C13" s="2">
        <v>24118</v>
      </c>
      <c r="D13" s="1">
        <v>8</v>
      </c>
      <c r="E13" s="1">
        <v>1</v>
      </c>
      <c r="F13" s="3">
        <v>28350</v>
      </c>
      <c r="G13" s="3">
        <v>12000</v>
      </c>
      <c r="H13" s="1">
        <v>98</v>
      </c>
      <c r="I13" s="1">
        <v>26</v>
      </c>
      <c r="J13" s="1">
        <v>1</v>
      </c>
    </row>
    <row r="14" spans="1:11" x14ac:dyDescent="0.3">
      <c r="A14" s="1">
        <v>13</v>
      </c>
      <c r="B14" t="s">
        <v>10</v>
      </c>
      <c r="C14" s="2">
        <v>22114</v>
      </c>
      <c r="D14" s="1">
        <v>15</v>
      </c>
      <c r="E14" s="1">
        <v>1</v>
      </c>
      <c r="F14" s="3">
        <v>27750</v>
      </c>
      <c r="G14" s="3">
        <v>14250</v>
      </c>
      <c r="H14" s="1">
        <v>98</v>
      </c>
      <c r="I14" s="1">
        <v>34</v>
      </c>
      <c r="J14" s="1">
        <v>1</v>
      </c>
    </row>
    <row r="15" spans="1:11" x14ac:dyDescent="0.3">
      <c r="A15" s="1">
        <v>14</v>
      </c>
      <c r="B15" t="s">
        <v>11</v>
      </c>
      <c r="C15" s="2">
        <v>17955</v>
      </c>
      <c r="D15" s="1">
        <v>15</v>
      </c>
      <c r="E15" s="1">
        <v>1</v>
      </c>
      <c r="F15" s="3">
        <v>35100</v>
      </c>
      <c r="G15" s="3">
        <v>16800</v>
      </c>
      <c r="H15" s="1">
        <v>98</v>
      </c>
      <c r="I15" s="1">
        <v>137</v>
      </c>
      <c r="J15" s="1">
        <v>1</v>
      </c>
    </row>
    <row r="16" spans="1:11" x14ac:dyDescent="0.3">
      <c r="A16" s="1">
        <v>15</v>
      </c>
      <c r="B16" t="s">
        <v>10</v>
      </c>
      <c r="C16" s="2">
        <v>22887</v>
      </c>
      <c r="D16" s="1">
        <v>12</v>
      </c>
      <c r="E16" s="1">
        <v>1</v>
      </c>
      <c r="F16" s="3">
        <v>27300</v>
      </c>
      <c r="G16" s="3">
        <v>13500</v>
      </c>
      <c r="H16" s="1">
        <v>97</v>
      </c>
      <c r="I16" s="1">
        <v>66</v>
      </c>
      <c r="J16" s="1">
        <v>0</v>
      </c>
    </row>
    <row r="17" spans="1:10" x14ac:dyDescent="0.3">
      <c r="A17" s="1">
        <v>16</v>
      </c>
      <c r="B17" t="s">
        <v>10</v>
      </c>
      <c r="C17" s="2">
        <v>23698</v>
      </c>
      <c r="D17" s="1">
        <v>12</v>
      </c>
      <c r="E17" s="1">
        <v>1</v>
      </c>
      <c r="F17" s="3">
        <v>40800</v>
      </c>
      <c r="G17" s="3">
        <v>15000</v>
      </c>
      <c r="H17" s="1">
        <v>97</v>
      </c>
      <c r="I17" s="1">
        <v>24</v>
      </c>
      <c r="J17" s="1">
        <v>0</v>
      </c>
    </row>
    <row r="18" spans="1:10" x14ac:dyDescent="0.3">
      <c r="A18" s="1">
        <v>17</v>
      </c>
      <c r="B18" t="s">
        <v>10</v>
      </c>
      <c r="C18" s="2">
        <v>22845</v>
      </c>
      <c r="D18" s="1">
        <v>15</v>
      </c>
      <c r="E18" s="1">
        <v>1</v>
      </c>
      <c r="F18" s="3">
        <v>46000</v>
      </c>
      <c r="G18" s="3">
        <v>14250</v>
      </c>
      <c r="H18" s="1">
        <v>97</v>
      </c>
      <c r="I18" s="1">
        <v>48</v>
      </c>
      <c r="J18" s="1">
        <v>0</v>
      </c>
    </row>
    <row r="19" spans="1:10" x14ac:dyDescent="0.3">
      <c r="A19" s="1">
        <v>18</v>
      </c>
      <c r="B19" t="s">
        <v>10</v>
      </c>
      <c r="C19" s="2">
        <v>20534</v>
      </c>
      <c r="D19" s="1">
        <v>16</v>
      </c>
      <c r="E19" s="1">
        <v>3</v>
      </c>
      <c r="F19" s="3">
        <v>103750</v>
      </c>
      <c r="G19" s="3">
        <v>27510</v>
      </c>
      <c r="H19" s="1">
        <v>97</v>
      </c>
      <c r="I19" s="1">
        <v>70</v>
      </c>
      <c r="J19" s="1">
        <v>0</v>
      </c>
    </row>
    <row r="20" spans="1:10" x14ac:dyDescent="0.3">
      <c r="A20" s="1">
        <v>19</v>
      </c>
      <c r="B20" t="s">
        <v>10</v>
      </c>
      <c r="C20" s="2">
        <v>22877</v>
      </c>
      <c r="D20" s="1">
        <v>12</v>
      </c>
      <c r="E20" s="1">
        <v>1</v>
      </c>
      <c r="F20" s="3">
        <v>42300</v>
      </c>
      <c r="G20" s="3">
        <v>14250</v>
      </c>
      <c r="H20" s="1">
        <v>97</v>
      </c>
      <c r="I20" s="1">
        <v>103</v>
      </c>
      <c r="J20" s="1">
        <v>0</v>
      </c>
    </row>
    <row r="21" spans="1:10" x14ac:dyDescent="0.3">
      <c r="A21" s="1">
        <v>20</v>
      </c>
      <c r="B21" t="s">
        <v>10</v>
      </c>
      <c r="C21" s="2">
        <v>22515</v>
      </c>
      <c r="D21" s="1">
        <v>17</v>
      </c>
      <c r="E21" s="1">
        <v>3</v>
      </c>
      <c r="F21" s="3">
        <v>81250</v>
      </c>
      <c r="G21" s="3">
        <v>30000</v>
      </c>
      <c r="H21" s="1">
        <v>96</v>
      </c>
      <c r="I21" s="1">
        <v>18</v>
      </c>
      <c r="J21" s="1">
        <v>0</v>
      </c>
    </row>
    <row r="22" spans="1:10" x14ac:dyDescent="0.3">
      <c r="A22" s="1">
        <v>21</v>
      </c>
      <c r="B22" t="s">
        <v>11</v>
      </c>
      <c r="C22" s="2">
        <v>23230</v>
      </c>
      <c r="D22" s="1">
        <v>8</v>
      </c>
      <c r="E22" s="1">
        <v>1</v>
      </c>
      <c r="F22" s="3">
        <v>31350</v>
      </c>
      <c r="G22" s="3">
        <v>11250</v>
      </c>
      <c r="H22" s="1">
        <v>96</v>
      </c>
      <c r="I22" s="1">
        <v>52</v>
      </c>
      <c r="J22" s="1">
        <v>0</v>
      </c>
    </row>
    <row r="23" spans="1:10" x14ac:dyDescent="0.3">
      <c r="A23" s="1">
        <v>22</v>
      </c>
      <c r="B23" t="s">
        <v>10</v>
      </c>
      <c r="C23" s="2">
        <v>20006</v>
      </c>
      <c r="D23" s="1">
        <v>12</v>
      </c>
      <c r="E23" s="1">
        <v>1</v>
      </c>
      <c r="F23" s="3">
        <v>29100</v>
      </c>
      <c r="G23" s="3">
        <v>13500</v>
      </c>
      <c r="H23" s="1">
        <v>96</v>
      </c>
      <c r="I23" s="1">
        <v>113</v>
      </c>
      <c r="J23" s="1">
        <v>1</v>
      </c>
    </row>
    <row r="24" spans="1:10" x14ac:dyDescent="0.3">
      <c r="A24" s="1">
        <v>23</v>
      </c>
      <c r="B24" t="s">
        <v>10</v>
      </c>
      <c r="C24" s="2">
        <v>22763</v>
      </c>
      <c r="D24" s="1">
        <v>15</v>
      </c>
      <c r="E24" s="1">
        <v>1</v>
      </c>
      <c r="F24" s="3">
        <v>31350</v>
      </c>
      <c r="G24" s="3">
        <v>15000</v>
      </c>
      <c r="H24" s="1">
        <v>96</v>
      </c>
      <c r="I24" s="1">
        <v>49</v>
      </c>
      <c r="J24" s="1">
        <v>1</v>
      </c>
    </row>
    <row r="25" spans="1:10" x14ac:dyDescent="0.3">
      <c r="A25" s="1">
        <v>24</v>
      </c>
      <c r="B25" t="s">
        <v>10</v>
      </c>
      <c r="C25" s="2">
        <v>22089</v>
      </c>
      <c r="D25" s="1">
        <v>16</v>
      </c>
      <c r="E25" s="1">
        <v>1</v>
      </c>
      <c r="F25" s="3">
        <v>36000</v>
      </c>
      <c r="G25" s="3">
        <v>15000</v>
      </c>
      <c r="H25" s="1">
        <v>96</v>
      </c>
      <c r="I25" s="1">
        <v>46</v>
      </c>
      <c r="J25" s="1">
        <v>1</v>
      </c>
    </row>
    <row r="26" spans="1:10" x14ac:dyDescent="0.3">
      <c r="A26" s="1">
        <v>25</v>
      </c>
      <c r="B26" t="s">
        <v>11</v>
      </c>
      <c r="C26" s="2">
        <v>12294</v>
      </c>
      <c r="D26" s="1">
        <v>15</v>
      </c>
      <c r="E26" s="1">
        <v>1</v>
      </c>
      <c r="F26" s="3">
        <v>19200</v>
      </c>
      <c r="G26" s="3">
        <v>9000</v>
      </c>
      <c r="H26" s="1">
        <v>96</v>
      </c>
      <c r="I26" s="1">
        <v>23</v>
      </c>
      <c r="J26" s="1">
        <v>1</v>
      </c>
    </row>
    <row r="27" spans="1:10" x14ac:dyDescent="0.3">
      <c r="A27" s="1">
        <v>26</v>
      </c>
      <c r="B27" t="s">
        <v>11</v>
      </c>
      <c r="C27" s="2">
        <v>22358</v>
      </c>
      <c r="D27" s="1">
        <v>12</v>
      </c>
      <c r="E27" s="1">
        <v>1</v>
      </c>
      <c r="F27" s="3">
        <v>23550</v>
      </c>
      <c r="G27" s="3">
        <v>11550</v>
      </c>
      <c r="H27" s="1">
        <v>96</v>
      </c>
      <c r="I27" s="1">
        <v>52</v>
      </c>
      <c r="J27" s="1">
        <v>1</v>
      </c>
    </row>
    <row r="28" spans="1:10" x14ac:dyDescent="0.3">
      <c r="A28" s="1">
        <v>27</v>
      </c>
      <c r="B28" t="s">
        <v>10</v>
      </c>
      <c r="C28" s="2">
        <v>22182</v>
      </c>
      <c r="D28" s="1">
        <v>15</v>
      </c>
      <c r="E28" s="1">
        <v>1</v>
      </c>
      <c r="F28" s="3">
        <v>35100</v>
      </c>
      <c r="G28" s="3">
        <v>16500</v>
      </c>
      <c r="H28" s="1">
        <v>95</v>
      </c>
      <c r="I28" s="1">
        <v>90</v>
      </c>
      <c r="J28" s="1">
        <v>0</v>
      </c>
    </row>
    <row r="29" spans="1:10" x14ac:dyDescent="0.3">
      <c r="A29" s="1">
        <v>28</v>
      </c>
      <c r="B29" t="s">
        <v>10</v>
      </c>
      <c r="C29" s="2">
        <v>23394</v>
      </c>
      <c r="D29" s="1">
        <v>12</v>
      </c>
      <c r="E29" s="1">
        <v>1</v>
      </c>
      <c r="F29" s="3">
        <v>23250</v>
      </c>
      <c r="G29" s="3">
        <v>14250</v>
      </c>
      <c r="H29" s="1">
        <v>95</v>
      </c>
      <c r="I29" s="1">
        <v>46</v>
      </c>
      <c r="J29" s="1">
        <v>0</v>
      </c>
    </row>
    <row r="30" spans="1:10" x14ac:dyDescent="0.3">
      <c r="A30" s="1">
        <v>29</v>
      </c>
      <c r="B30" t="s">
        <v>10</v>
      </c>
      <c r="C30" s="2">
        <v>23177</v>
      </c>
      <c r="D30" s="1">
        <v>8</v>
      </c>
      <c r="E30" s="1">
        <v>1</v>
      </c>
      <c r="F30" s="3">
        <v>29250</v>
      </c>
      <c r="G30" s="3">
        <v>14250</v>
      </c>
      <c r="H30" s="1">
        <v>95</v>
      </c>
      <c r="I30" s="1">
        <v>50</v>
      </c>
      <c r="J30" s="1">
        <v>0</v>
      </c>
    </row>
    <row r="31" spans="1:10" x14ac:dyDescent="0.3">
      <c r="A31" s="1">
        <v>30</v>
      </c>
      <c r="B31" t="s">
        <v>10</v>
      </c>
      <c r="C31" s="2">
        <v>14094</v>
      </c>
      <c r="D31" s="1">
        <v>12</v>
      </c>
      <c r="E31" s="1">
        <v>2</v>
      </c>
      <c r="F31" s="3">
        <v>30750</v>
      </c>
      <c r="G31" s="3">
        <v>13500</v>
      </c>
      <c r="H31" s="1">
        <v>95</v>
      </c>
      <c r="I31" s="1">
        <v>307</v>
      </c>
      <c r="J31" s="1">
        <v>0</v>
      </c>
    </row>
    <row r="32" spans="1:10" x14ac:dyDescent="0.3">
      <c r="A32" s="1">
        <v>31</v>
      </c>
      <c r="B32" t="s">
        <v>11</v>
      </c>
      <c r="C32" s="2">
        <v>14933</v>
      </c>
      <c r="D32" s="1">
        <v>15</v>
      </c>
      <c r="E32" s="1">
        <v>1</v>
      </c>
      <c r="F32" s="3">
        <v>22350</v>
      </c>
      <c r="G32" s="3">
        <v>12750</v>
      </c>
      <c r="H32" s="1">
        <v>95</v>
      </c>
      <c r="I32" s="1">
        <v>165</v>
      </c>
      <c r="J32" s="1">
        <v>0</v>
      </c>
    </row>
    <row r="33" spans="1:10" x14ac:dyDescent="0.3">
      <c r="A33" s="1">
        <v>32</v>
      </c>
      <c r="B33" t="s">
        <v>11</v>
      </c>
      <c r="C33" s="2">
        <v>13998</v>
      </c>
      <c r="D33" s="1">
        <v>12</v>
      </c>
      <c r="E33" s="1">
        <v>1</v>
      </c>
      <c r="F33" s="3">
        <v>30000</v>
      </c>
      <c r="G33" s="3">
        <v>16500</v>
      </c>
      <c r="H33" s="1">
        <v>95</v>
      </c>
      <c r="I33" s="1">
        <v>228</v>
      </c>
      <c r="J33" s="1">
        <v>0</v>
      </c>
    </row>
    <row r="34" spans="1:10" x14ac:dyDescent="0.3">
      <c r="A34" s="1">
        <v>33</v>
      </c>
      <c r="B34" t="s">
        <v>10</v>
      </c>
      <c r="C34" s="2">
        <v>17325</v>
      </c>
      <c r="D34" s="1">
        <v>12</v>
      </c>
      <c r="E34" s="1">
        <v>2</v>
      </c>
      <c r="F34" s="3">
        <v>30750</v>
      </c>
      <c r="G34" s="3">
        <v>14100</v>
      </c>
      <c r="H34" s="1">
        <v>94</v>
      </c>
      <c r="I34" s="1">
        <v>240</v>
      </c>
      <c r="J34" s="1">
        <v>0</v>
      </c>
    </row>
    <row r="35" spans="1:10" x14ac:dyDescent="0.3">
      <c r="A35" s="1">
        <v>34</v>
      </c>
      <c r="B35" t="s">
        <v>10</v>
      </c>
      <c r="C35" s="2">
        <v>21444</v>
      </c>
      <c r="D35" s="1">
        <v>15</v>
      </c>
      <c r="E35" s="1">
        <v>1</v>
      </c>
      <c r="F35" s="3">
        <v>34800</v>
      </c>
      <c r="G35" s="3">
        <v>16500</v>
      </c>
      <c r="H35" s="1">
        <v>94</v>
      </c>
      <c r="I35" s="1">
        <v>93</v>
      </c>
      <c r="J35" s="1">
        <v>0</v>
      </c>
    </row>
    <row r="36" spans="1:10" x14ac:dyDescent="0.3">
      <c r="A36" s="1">
        <v>35</v>
      </c>
      <c r="B36" t="s">
        <v>10</v>
      </c>
      <c r="C36" s="2">
        <v>21955</v>
      </c>
      <c r="D36" s="1">
        <v>16</v>
      </c>
      <c r="E36" s="1">
        <v>3</v>
      </c>
      <c r="F36" s="3">
        <v>60000</v>
      </c>
      <c r="G36" s="3">
        <v>23730</v>
      </c>
      <c r="H36" s="1">
        <v>94</v>
      </c>
      <c r="I36" s="1">
        <v>59</v>
      </c>
      <c r="J36" s="1">
        <v>0</v>
      </c>
    </row>
    <row r="37" spans="1:10" x14ac:dyDescent="0.3">
      <c r="A37" s="1">
        <v>36</v>
      </c>
      <c r="B37" t="s">
        <v>10</v>
      </c>
      <c r="C37" s="2">
        <v>22835</v>
      </c>
      <c r="D37" s="1">
        <v>12</v>
      </c>
      <c r="E37" s="1">
        <v>1</v>
      </c>
      <c r="F37" s="3">
        <v>35550</v>
      </c>
      <c r="G37" s="3">
        <v>15000</v>
      </c>
      <c r="H37" s="1">
        <v>94</v>
      </c>
      <c r="I37" s="1">
        <v>48</v>
      </c>
      <c r="J37" s="1">
        <v>0</v>
      </c>
    </row>
    <row r="38" spans="1:10" x14ac:dyDescent="0.3">
      <c r="A38" s="1">
        <v>37</v>
      </c>
      <c r="B38" t="s">
        <v>10</v>
      </c>
      <c r="C38" s="2">
        <v>23327</v>
      </c>
      <c r="D38" s="1">
        <v>15</v>
      </c>
      <c r="E38" s="1">
        <v>1</v>
      </c>
      <c r="F38" s="3">
        <v>45150</v>
      </c>
      <c r="G38" s="3">
        <v>15000</v>
      </c>
      <c r="H38" s="1">
        <v>94</v>
      </c>
      <c r="I38" s="1">
        <v>40</v>
      </c>
      <c r="J38" s="1">
        <v>0</v>
      </c>
    </row>
    <row r="39" spans="1:10" x14ac:dyDescent="0.3">
      <c r="A39" s="1">
        <v>38</v>
      </c>
      <c r="B39" t="s">
        <v>10</v>
      </c>
      <c r="C39" s="2">
        <v>19835</v>
      </c>
      <c r="D39" s="1">
        <v>18</v>
      </c>
      <c r="E39" s="1">
        <v>3</v>
      </c>
      <c r="F39" s="3">
        <v>73750</v>
      </c>
      <c r="G39" s="3">
        <v>26250</v>
      </c>
      <c r="H39" s="1">
        <v>94</v>
      </c>
      <c r="I39" s="1">
        <v>56</v>
      </c>
      <c r="J39" s="1">
        <v>0</v>
      </c>
    </row>
    <row r="40" spans="1:10" x14ac:dyDescent="0.3">
      <c r="A40" s="1">
        <v>39</v>
      </c>
      <c r="B40" t="s">
        <v>10</v>
      </c>
      <c r="C40" s="2">
        <v>11478</v>
      </c>
      <c r="D40" s="1">
        <v>12</v>
      </c>
      <c r="E40" s="1">
        <v>1</v>
      </c>
      <c r="F40" s="3">
        <v>25050</v>
      </c>
      <c r="G40" s="3">
        <v>13500</v>
      </c>
      <c r="H40" s="1">
        <v>94</v>
      </c>
      <c r="I40" s="1">
        <v>444</v>
      </c>
      <c r="J40" s="1">
        <v>0</v>
      </c>
    </row>
    <row r="41" spans="1:10" x14ac:dyDescent="0.3">
      <c r="A41" s="1">
        <v>40</v>
      </c>
      <c r="B41" t="s">
        <v>10</v>
      </c>
      <c r="C41" s="2">
        <v>22092</v>
      </c>
      <c r="D41" s="1">
        <v>12</v>
      </c>
      <c r="E41" s="1">
        <v>1</v>
      </c>
      <c r="F41" s="3">
        <v>27000</v>
      </c>
      <c r="G41" s="3">
        <v>15000</v>
      </c>
      <c r="H41" s="1">
        <v>94</v>
      </c>
      <c r="I41" s="1">
        <v>120</v>
      </c>
      <c r="J41" s="1">
        <v>0</v>
      </c>
    </row>
    <row r="42" spans="1:10" x14ac:dyDescent="0.3">
      <c r="A42" s="1">
        <v>41</v>
      </c>
      <c r="B42" t="s">
        <v>10</v>
      </c>
      <c r="C42" s="2">
        <v>22752</v>
      </c>
      <c r="D42" s="1">
        <v>15</v>
      </c>
      <c r="E42" s="1">
        <v>1</v>
      </c>
      <c r="F42" s="3">
        <v>26850</v>
      </c>
      <c r="G42" s="3">
        <v>13500</v>
      </c>
      <c r="H42" s="1">
        <v>94</v>
      </c>
      <c r="I42" s="1">
        <v>5</v>
      </c>
      <c r="J42" s="1">
        <v>0</v>
      </c>
    </row>
    <row r="43" spans="1:10" x14ac:dyDescent="0.3">
      <c r="A43" s="1">
        <v>42</v>
      </c>
      <c r="B43" t="s">
        <v>10</v>
      </c>
      <c r="C43" s="2">
        <v>23116</v>
      </c>
      <c r="D43" s="1">
        <v>15</v>
      </c>
      <c r="E43" s="1">
        <v>1</v>
      </c>
      <c r="F43" s="3">
        <v>33900</v>
      </c>
      <c r="G43" s="3">
        <v>15750</v>
      </c>
      <c r="H43" s="1">
        <v>94</v>
      </c>
      <c r="I43" s="1">
        <v>78</v>
      </c>
      <c r="J43" s="1">
        <v>0</v>
      </c>
    </row>
    <row r="44" spans="1:10" x14ac:dyDescent="0.3">
      <c r="A44" s="1">
        <v>43</v>
      </c>
      <c r="B44" t="s">
        <v>11</v>
      </c>
      <c r="C44" s="2">
        <v>23695</v>
      </c>
      <c r="D44" s="1">
        <v>15</v>
      </c>
      <c r="E44" s="1">
        <v>1</v>
      </c>
      <c r="F44" s="3">
        <v>26400</v>
      </c>
      <c r="G44" s="3">
        <v>13500</v>
      </c>
      <c r="H44" s="1">
        <v>94</v>
      </c>
      <c r="I44" s="1">
        <v>3</v>
      </c>
      <c r="J44" s="1">
        <v>0</v>
      </c>
    </row>
    <row r="45" spans="1:10" x14ac:dyDescent="0.3">
      <c r="A45" s="1">
        <v>44</v>
      </c>
      <c r="B45" t="s">
        <v>10</v>
      </c>
      <c r="C45" s="2">
        <v>22408</v>
      </c>
      <c r="D45" s="1">
        <v>15</v>
      </c>
      <c r="E45" s="1">
        <v>1</v>
      </c>
      <c r="F45" s="3">
        <v>28050</v>
      </c>
      <c r="G45" s="3">
        <v>14250</v>
      </c>
      <c r="H45" s="1">
        <v>94</v>
      </c>
      <c r="I45" s="1">
        <v>36</v>
      </c>
      <c r="J45" s="1">
        <v>1</v>
      </c>
    </row>
    <row r="46" spans="1:10" x14ac:dyDescent="0.3">
      <c r="A46" s="1">
        <v>45</v>
      </c>
      <c r="B46" t="s">
        <v>10</v>
      </c>
      <c r="C46" s="2">
        <v>21597</v>
      </c>
      <c r="D46" s="1">
        <v>12</v>
      </c>
      <c r="E46" s="1">
        <v>1</v>
      </c>
      <c r="F46" s="3">
        <v>30900</v>
      </c>
      <c r="G46" s="3">
        <v>15000</v>
      </c>
      <c r="H46" s="1">
        <v>94</v>
      </c>
      <c r="I46" s="1">
        <v>102</v>
      </c>
      <c r="J46" s="1">
        <v>1</v>
      </c>
    </row>
    <row r="47" spans="1:10" x14ac:dyDescent="0.3">
      <c r="A47" s="1">
        <v>46</v>
      </c>
      <c r="B47" t="s">
        <v>10</v>
      </c>
      <c r="C47" s="2">
        <v>23495</v>
      </c>
      <c r="D47" s="1">
        <v>8</v>
      </c>
      <c r="E47" s="1">
        <v>1</v>
      </c>
      <c r="F47" s="3">
        <v>22500</v>
      </c>
      <c r="G47" s="3">
        <v>9750</v>
      </c>
      <c r="H47" s="1">
        <v>94</v>
      </c>
      <c r="I47" s="1">
        <v>36</v>
      </c>
      <c r="J47" s="1">
        <v>1</v>
      </c>
    </row>
    <row r="48" spans="1:10" x14ac:dyDescent="0.3">
      <c r="A48" s="1">
        <v>47</v>
      </c>
      <c r="B48" t="s">
        <v>10</v>
      </c>
      <c r="C48" s="2">
        <v>22845</v>
      </c>
      <c r="D48" s="1">
        <v>16</v>
      </c>
      <c r="E48" s="1">
        <v>3</v>
      </c>
      <c r="F48" s="3">
        <v>48000</v>
      </c>
      <c r="G48" s="3">
        <v>21750</v>
      </c>
      <c r="H48" s="1">
        <v>93</v>
      </c>
      <c r="I48" s="1">
        <v>22</v>
      </c>
      <c r="J48" s="1">
        <v>0</v>
      </c>
    </row>
    <row r="49" spans="1:10" x14ac:dyDescent="0.3">
      <c r="A49" s="1">
        <v>48</v>
      </c>
      <c r="B49" t="s">
        <v>10</v>
      </c>
      <c r="C49" s="2">
        <v>22513</v>
      </c>
      <c r="D49" s="1">
        <v>17</v>
      </c>
      <c r="E49" s="1">
        <v>3</v>
      </c>
      <c r="F49" s="3">
        <v>55000</v>
      </c>
      <c r="G49" s="3">
        <v>26250</v>
      </c>
      <c r="H49" s="1">
        <v>93</v>
      </c>
      <c r="I49" s="1">
        <v>32</v>
      </c>
      <c r="J49" s="1">
        <v>0</v>
      </c>
    </row>
    <row r="50" spans="1:10" x14ac:dyDescent="0.3">
      <c r="A50" s="1">
        <v>49</v>
      </c>
      <c r="B50" t="s">
        <v>10</v>
      </c>
      <c r="C50" s="2">
        <v>23282</v>
      </c>
      <c r="D50" s="1">
        <v>16</v>
      </c>
      <c r="E50" s="1">
        <v>3</v>
      </c>
      <c r="F50" s="3">
        <v>53125</v>
      </c>
      <c r="G50" s="3">
        <v>21000</v>
      </c>
      <c r="H50" s="1">
        <v>93</v>
      </c>
      <c r="I50" s="1">
        <v>48</v>
      </c>
      <c r="J50" s="1">
        <v>0</v>
      </c>
    </row>
    <row r="51" spans="1:10" x14ac:dyDescent="0.3">
      <c r="A51" s="1">
        <v>50</v>
      </c>
      <c r="B51" t="s">
        <v>10</v>
      </c>
      <c r="C51" s="2">
        <v>23464</v>
      </c>
      <c r="D51" s="1">
        <v>8</v>
      </c>
      <c r="E51" s="1">
        <v>1</v>
      </c>
      <c r="F51" s="3">
        <v>21900</v>
      </c>
      <c r="G51" s="3">
        <v>14550</v>
      </c>
      <c r="H51" s="1">
        <v>93</v>
      </c>
      <c r="I51" s="1">
        <v>41</v>
      </c>
      <c r="J51" s="1">
        <v>0</v>
      </c>
    </row>
    <row r="52" spans="1:10" x14ac:dyDescent="0.3">
      <c r="A52" s="1">
        <v>51</v>
      </c>
      <c r="B52" t="s">
        <v>10</v>
      </c>
      <c r="C52" s="2">
        <v>22693</v>
      </c>
      <c r="D52" s="1">
        <v>19</v>
      </c>
      <c r="E52" s="1">
        <v>3</v>
      </c>
      <c r="F52" s="3">
        <v>78125</v>
      </c>
      <c r="G52" s="3">
        <v>30000</v>
      </c>
      <c r="H52" s="1">
        <v>93</v>
      </c>
      <c r="I52" s="1">
        <v>7</v>
      </c>
      <c r="J52" s="1">
        <v>0</v>
      </c>
    </row>
    <row r="53" spans="1:10" x14ac:dyDescent="0.3">
      <c r="A53" s="1">
        <v>52</v>
      </c>
      <c r="B53" t="s">
        <v>10</v>
      </c>
      <c r="C53" s="2">
        <v>23525</v>
      </c>
      <c r="D53" s="1">
        <v>16</v>
      </c>
      <c r="E53" s="1">
        <v>3</v>
      </c>
      <c r="F53" s="3">
        <v>46000</v>
      </c>
      <c r="G53" s="3">
        <v>21240</v>
      </c>
      <c r="H53" s="1">
        <v>93</v>
      </c>
      <c r="I53" s="1">
        <v>35</v>
      </c>
      <c r="J53" s="1">
        <v>0</v>
      </c>
    </row>
    <row r="54" spans="1:10" x14ac:dyDescent="0.3">
      <c r="A54" s="1">
        <v>53</v>
      </c>
      <c r="B54" t="s">
        <v>10</v>
      </c>
      <c r="C54" s="2">
        <v>23136</v>
      </c>
      <c r="D54" s="1">
        <v>16</v>
      </c>
      <c r="E54" s="1">
        <v>3</v>
      </c>
      <c r="F54" s="3">
        <v>45250</v>
      </c>
      <c r="G54" s="3">
        <v>21480</v>
      </c>
      <c r="H54" s="1">
        <v>93</v>
      </c>
      <c r="I54" s="1">
        <v>36</v>
      </c>
      <c r="J54" s="1">
        <v>0</v>
      </c>
    </row>
    <row r="55" spans="1:10" x14ac:dyDescent="0.3">
      <c r="A55" s="1">
        <v>54</v>
      </c>
      <c r="B55" t="s">
        <v>10</v>
      </c>
      <c r="C55" s="2">
        <v>22090</v>
      </c>
      <c r="D55" s="1">
        <v>16</v>
      </c>
      <c r="E55" s="1">
        <v>3</v>
      </c>
      <c r="F55" s="3">
        <v>56550</v>
      </c>
      <c r="G55" s="3">
        <v>25000</v>
      </c>
      <c r="H55" s="1">
        <v>93</v>
      </c>
      <c r="I55" s="1">
        <v>34</v>
      </c>
      <c r="J55" s="1">
        <v>0</v>
      </c>
    </row>
    <row r="56" spans="1:10" x14ac:dyDescent="0.3">
      <c r="A56" s="1">
        <v>55</v>
      </c>
      <c r="B56" t="s">
        <v>10</v>
      </c>
      <c r="C56" s="2">
        <v>22685</v>
      </c>
      <c r="D56" s="1">
        <v>15</v>
      </c>
      <c r="E56" s="1">
        <v>1</v>
      </c>
      <c r="F56" s="3">
        <v>41100</v>
      </c>
      <c r="G56" s="3">
        <v>20250</v>
      </c>
      <c r="H56" s="1">
        <v>93</v>
      </c>
      <c r="I56" s="1">
        <v>27</v>
      </c>
      <c r="J56" s="1">
        <v>0</v>
      </c>
    </row>
    <row r="57" spans="1:10" x14ac:dyDescent="0.3">
      <c r="A57" s="1">
        <v>56</v>
      </c>
      <c r="B57" t="s">
        <v>10</v>
      </c>
      <c r="C57" s="2">
        <v>17771</v>
      </c>
      <c r="D57" s="1">
        <v>17</v>
      </c>
      <c r="E57" s="1">
        <v>3</v>
      </c>
      <c r="F57" s="3">
        <v>82500</v>
      </c>
      <c r="G57" s="3">
        <v>34980</v>
      </c>
      <c r="H57" s="1">
        <v>93</v>
      </c>
      <c r="I57" s="1">
        <v>207</v>
      </c>
      <c r="J57" s="1">
        <v>0</v>
      </c>
    </row>
    <row r="58" spans="1:10" x14ac:dyDescent="0.3">
      <c r="A58" s="1">
        <v>57</v>
      </c>
      <c r="B58" t="s">
        <v>11</v>
      </c>
      <c r="C58" s="2">
        <v>23383</v>
      </c>
      <c r="D58" s="1">
        <v>16</v>
      </c>
      <c r="E58" s="1">
        <v>1</v>
      </c>
      <c r="F58" s="3">
        <v>54000</v>
      </c>
      <c r="G58" s="3">
        <v>18000</v>
      </c>
      <c r="H58" s="1">
        <v>93</v>
      </c>
      <c r="I58" s="1">
        <v>11</v>
      </c>
      <c r="J58" s="1">
        <v>0</v>
      </c>
    </row>
    <row r="59" spans="1:10" x14ac:dyDescent="0.3">
      <c r="A59" s="1">
        <v>58</v>
      </c>
      <c r="B59" t="s">
        <v>11</v>
      </c>
      <c r="C59" s="2">
        <v>24877</v>
      </c>
      <c r="D59" s="1">
        <v>12</v>
      </c>
      <c r="E59" s="1">
        <v>1</v>
      </c>
      <c r="F59" s="3">
        <v>26400</v>
      </c>
      <c r="G59" s="3">
        <v>10500</v>
      </c>
      <c r="H59" s="1">
        <v>93</v>
      </c>
      <c r="I59" s="1">
        <v>0</v>
      </c>
      <c r="J59" s="1">
        <v>0</v>
      </c>
    </row>
    <row r="60" spans="1:10" x14ac:dyDescent="0.3">
      <c r="A60" s="1">
        <v>59</v>
      </c>
      <c r="B60" t="s">
        <v>11</v>
      </c>
      <c r="C60" s="2">
        <v>12172</v>
      </c>
      <c r="D60" s="1">
        <v>15</v>
      </c>
      <c r="E60" s="1">
        <v>1</v>
      </c>
      <c r="F60" s="3">
        <v>33900</v>
      </c>
      <c r="G60" s="3">
        <v>19500</v>
      </c>
      <c r="H60" s="1">
        <v>93</v>
      </c>
      <c r="I60" s="1">
        <v>192</v>
      </c>
      <c r="J60" s="1">
        <v>0</v>
      </c>
    </row>
    <row r="61" spans="1:10" x14ac:dyDescent="0.3">
      <c r="A61" s="1">
        <v>60</v>
      </c>
      <c r="B61" t="s">
        <v>11</v>
      </c>
      <c r="C61" s="2">
        <v>23966</v>
      </c>
      <c r="D61" s="1">
        <v>15</v>
      </c>
      <c r="E61" s="1">
        <v>1</v>
      </c>
      <c r="F61" s="3">
        <v>24150</v>
      </c>
      <c r="G61" s="3">
        <v>11550</v>
      </c>
      <c r="H61" s="1">
        <v>93</v>
      </c>
      <c r="I61" s="1">
        <v>0</v>
      </c>
      <c r="J61" s="1">
        <v>0</v>
      </c>
    </row>
    <row r="62" spans="1:10" x14ac:dyDescent="0.3">
      <c r="A62" s="1">
        <v>61</v>
      </c>
      <c r="B62" t="s">
        <v>11</v>
      </c>
      <c r="C62" s="2">
        <v>24718</v>
      </c>
      <c r="D62" s="1">
        <v>15</v>
      </c>
      <c r="E62" s="1">
        <v>1</v>
      </c>
      <c r="F62" s="3">
        <v>29250</v>
      </c>
      <c r="G62" s="3">
        <v>11550</v>
      </c>
      <c r="H62" s="1">
        <v>93</v>
      </c>
      <c r="I62" s="1">
        <v>11</v>
      </c>
      <c r="J62" s="1">
        <v>0</v>
      </c>
    </row>
    <row r="63" spans="1:10" x14ac:dyDescent="0.3">
      <c r="A63" s="1">
        <v>62</v>
      </c>
      <c r="B63" t="s">
        <v>11</v>
      </c>
      <c r="C63" s="2">
        <v>25090</v>
      </c>
      <c r="D63" s="1">
        <v>12</v>
      </c>
      <c r="E63" s="1">
        <v>1</v>
      </c>
      <c r="F63" s="3">
        <v>27600</v>
      </c>
      <c r="G63" s="3">
        <v>11400</v>
      </c>
      <c r="H63" s="1">
        <v>93</v>
      </c>
      <c r="I63" s="1">
        <v>6</v>
      </c>
      <c r="J63" s="1">
        <v>0</v>
      </c>
    </row>
    <row r="64" spans="1:10" x14ac:dyDescent="0.3">
      <c r="A64" s="1">
        <v>63</v>
      </c>
      <c r="B64" t="s">
        <v>11</v>
      </c>
      <c r="C64" s="2">
        <v>25070</v>
      </c>
      <c r="D64" s="1">
        <v>12</v>
      </c>
      <c r="E64" s="1">
        <v>1</v>
      </c>
      <c r="F64" s="3">
        <v>22950</v>
      </c>
      <c r="G64" s="3">
        <v>10500</v>
      </c>
      <c r="H64" s="1">
        <v>93</v>
      </c>
      <c r="I64" s="1">
        <v>10</v>
      </c>
      <c r="J64" s="1">
        <v>0</v>
      </c>
    </row>
    <row r="65" spans="1:10" x14ac:dyDescent="0.3">
      <c r="A65" s="1">
        <v>64</v>
      </c>
      <c r="B65" t="s">
        <v>11</v>
      </c>
      <c r="C65" s="2">
        <v>22669</v>
      </c>
      <c r="D65" s="1">
        <v>16</v>
      </c>
      <c r="E65" s="1">
        <v>1</v>
      </c>
      <c r="F65" s="3">
        <v>34800</v>
      </c>
      <c r="G65" s="3">
        <v>14550</v>
      </c>
      <c r="H65" s="1">
        <v>93</v>
      </c>
      <c r="I65" s="1">
        <v>8</v>
      </c>
      <c r="J65" s="1">
        <v>0</v>
      </c>
    </row>
    <row r="66" spans="1:10" x14ac:dyDescent="0.3">
      <c r="A66" s="1">
        <v>65</v>
      </c>
      <c r="B66" t="s">
        <v>11</v>
      </c>
      <c r="C66" s="2">
        <v>22426</v>
      </c>
      <c r="D66" s="1">
        <v>16</v>
      </c>
      <c r="E66" s="1">
        <v>1</v>
      </c>
      <c r="F66" s="3">
        <v>51000</v>
      </c>
      <c r="G66" s="3">
        <v>18000</v>
      </c>
      <c r="H66" s="1">
        <v>93</v>
      </c>
      <c r="I66" s="1">
        <v>22</v>
      </c>
      <c r="J66" s="1">
        <v>0</v>
      </c>
    </row>
    <row r="67" spans="1:10" x14ac:dyDescent="0.3">
      <c r="A67" s="1">
        <v>66</v>
      </c>
      <c r="B67" t="s">
        <v>11</v>
      </c>
      <c r="C67" s="2">
        <v>24909</v>
      </c>
      <c r="D67" s="1">
        <v>12</v>
      </c>
      <c r="E67" s="1">
        <v>1</v>
      </c>
      <c r="F67" s="3">
        <v>24300</v>
      </c>
      <c r="G67" s="3">
        <v>10950</v>
      </c>
      <c r="H67" s="1">
        <v>93</v>
      </c>
      <c r="I67" s="1">
        <v>5</v>
      </c>
      <c r="J67" s="1">
        <v>0</v>
      </c>
    </row>
    <row r="68" spans="1:10" x14ac:dyDescent="0.3">
      <c r="A68" s="1">
        <v>67</v>
      </c>
      <c r="B68" t="s">
        <v>11</v>
      </c>
      <c r="C68" s="2">
        <v>17407</v>
      </c>
      <c r="D68" s="1">
        <v>12</v>
      </c>
      <c r="E68" s="1">
        <v>1</v>
      </c>
      <c r="F68" s="3">
        <v>24750</v>
      </c>
      <c r="G68" s="3">
        <v>14250</v>
      </c>
      <c r="H68" s="1">
        <v>93</v>
      </c>
      <c r="I68" s="1">
        <v>193</v>
      </c>
      <c r="J68" s="1">
        <v>1</v>
      </c>
    </row>
    <row r="69" spans="1:10" x14ac:dyDescent="0.3">
      <c r="A69" s="1">
        <v>68</v>
      </c>
      <c r="B69" t="s">
        <v>11</v>
      </c>
      <c r="C69" s="2">
        <v>24757</v>
      </c>
      <c r="D69" s="1">
        <v>12</v>
      </c>
      <c r="E69" s="1">
        <v>1</v>
      </c>
      <c r="F69" s="3">
        <v>22950</v>
      </c>
      <c r="G69" s="3">
        <v>11250</v>
      </c>
      <c r="H69" s="1">
        <v>93</v>
      </c>
      <c r="I69" s="1">
        <v>0</v>
      </c>
      <c r="J69" s="1">
        <v>1</v>
      </c>
    </row>
    <row r="70" spans="1:10" x14ac:dyDescent="0.3">
      <c r="A70" s="1">
        <v>69</v>
      </c>
      <c r="B70" t="s">
        <v>11</v>
      </c>
      <c r="C70" s="2">
        <v>24543</v>
      </c>
      <c r="D70" s="1">
        <v>8</v>
      </c>
      <c r="E70" s="1">
        <v>1</v>
      </c>
      <c r="F70" s="3">
        <v>25050</v>
      </c>
      <c r="G70" s="3">
        <v>10950</v>
      </c>
      <c r="H70" s="1">
        <v>93</v>
      </c>
      <c r="I70" s="1">
        <v>8</v>
      </c>
      <c r="J70" s="1">
        <v>1</v>
      </c>
    </row>
    <row r="71" spans="1:10" x14ac:dyDescent="0.3">
      <c r="A71" s="1">
        <v>70</v>
      </c>
      <c r="B71" t="s">
        <v>10</v>
      </c>
      <c r="C71" s="2">
        <v>22745</v>
      </c>
      <c r="D71" s="1">
        <v>15</v>
      </c>
      <c r="E71" s="1">
        <v>1</v>
      </c>
      <c r="F71" s="3">
        <v>25950</v>
      </c>
      <c r="G71" s="3">
        <v>17100</v>
      </c>
      <c r="H71" s="1">
        <v>92</v>
      </c>
      <c r="I71" s="1">
        <v>42</v>
      </c>
      <c r="J71" s="1">
        <v>0</v>
      </c>
    </row>
    <row r="72" spans="1:10" x14ac:dyDescent="0.3">
      <c r="A72" s="1">
        <v>71</v>
      </c>
      <c r="B72" t="s">
        <v>10</v>
      </c>
      <c r="C72" s="2">
        <v>22518</v>
      </c>
      <c r="D72" s="1">
        <v>15</v>
      </c>
      <c r="E72" s="1">
        <v>1</v>
      </c>
      <c r="F72" s="3">
        <v>31650</v>
      </c>
      <c r="G72" s="3">
        <v>15750</v>
      </c>
      <c r="H72" s="1">
        <v>92</v>
      </c>
      <c r="I72" s="1">
        <v>64</v>
      </c>
      <c r="J72" s="1">
        <v>0</v>
      </c>
    </row>
    <row r="73" spans="1:10" x14ac:dyDescent="0.3">
      <c r="A73" s="1">
        <v>72</v>
      </c>
      <c r="B73" t="s">
        <v>10</v>
      </c>
      <c r="C73" s="2">
        <v>21843</v>
      </c>
      <c r="D73" s="1">
        <v>12</v>
      </c>
      <c r="E73" s="1">
        <v>1</v>
      </c>
      <c r="F73" s="3">
        <v>24150</v>
      </c>
      <c r="G73" s="3">
        <v>14100</v>
      </c>
      <c r="H73" s="1">
        <v>92</v>
      </c>
      <c r="I73" s="1">
        <v>130</v>
      </c>
      <c r="J73" s="1">
        <v>0</v>
      </c>
    </row>
    <row r="74" spans="1:10" x14ac:dyDescent="0.3">
      <c r="A74" s="1">
        <v>73</v>
      </c>
      <c r="B74" t="s">
        <v>10</v>
      </c>
      <c r="C74" s="2">
        <v>22687</v>
      </c>
      <c r="D74" s="1">
        <v>19</v>
      </c>
      <c r="E74" s="1">
        <v>3</v>
      </c>
      <c r="F74" s="3">
        <v>72500</v>
      </c>
      <c r="G74" s="3">
        <v>28740</v>
      </c>
      <c r="H74" s="1">
        <v>92</v>
      </c>
      <c r="I74" s="1">
        <v>10</v>
      </c>
      <c r="J74" s="1">
        <v>0</v>
      </c>
    </row>
    <row r="75" spans="1:10" x14ac:dyDescent="0.3">
      <c r="A75" s="1">
        <v>74</v>
      </c>
      <c r="B75" t="s">
        <v>10</v>
      </c>
      <c r="C75" s="2">
        <v>22456</v>
      </c>
      <c r="D75" s="1">
        <v>19</v>
      </c>
      <c r="E75" s="1">
        <v>3</v>
      </c>
      <c r="F75" s="3">
        <v>68750</v>
      </c>
      <c r="G75" s="3">
        <v>27480</v>
      </c>
      <c r="H75" s="1">
        <v>92</v>
      </c>
      <c r="I75" s="1">
        <v>8</v>
      </c>
      <c r="J75" s="1">
        <v>0</v>
      </c>
    </row>
    <row r="76" spans="1:10" x14ac:dyDescent="0.3">
      <c r="A76" s="1">
        <v>75</v>
      </c>
      <c r="B76" t="s">
        <v>11</v>
      </c>
      <c r="C76" s="2">
        <v>13938</v>
      </c>
      <c r="D76" s="1">
        <v>8</v>
      </c>
      <c r="E76" s="1">
        <v>1</v>
      </c>
      <c r="F76" s="3">
        <v>16200</v>
      </c>
      <c r="G76" s="3">
        <v>9750</v>
      </c>
      <c r="H76" s="1">
        <v>92</v>
      </c>
      <c r="I76" s="1">
        <v>0</v>
      </c>
      <c r="J76" s="1">
        <v>0</v>
      </c>
    </row>
    <row r="77" spans="1:10" x14ac:dyDescent="0.3">
      <c r="A77" s="1">
        <v>76</v>
      </c>
      <c r="B77" t="s">
        <v>11</v>
      </c>
      <c r="C77" s="2">
        <v>24780</v>
      </c>
      <c r="D77" s="1">
        <v>12</v>
      </c>
      <c r="E77" s="1">
        <v>1</v>
      </c>
      <c r="F77" s="3">
        <v>20100</v>
      </c>
      <c r="G77" s="3">
        <v>11250</v>
      </c>
      <c r="H77" s="1">
        <v>92</v>
      </c>
      <c r="I77" s="1">
        <v>24</v>
      </c>
      <c r="J77" s="1">
        <v>0</v>
      </c>
    </row>
    <row r="78" spans="1:10" x14ac:dyDescent="0.3">
      <c r="A78" s="1">
        <v>77</v>
      </c>
      <c r="B78" t="s">
        <v>11</v>
      </c>
      <c r="C78" s="2">
        <v>25014</v>
      </c>
      <c r="D78" s="1">
        <v>8</v>
      </c>
      <c r="E78" s="1">
        <v>1</v>
      </c>
      <c r="F78" s="3">
        <v>24000</v>
      </c>
      <c r="G78" s="3">
        <v>10950</v>
      </c>
      <c r="H78" s="1">
        <v>92</v>
      </c>
      <c r="I78" s="1">
        <v>6</v>
      </c>
      <c r="J78" s="1">
        <v>0</v>
      </c>
    </row>
    <row r="79" spans="1:10" x14ac:dyDescent="0.3">
      <c r="A79" s="1">
        <v>78</v>
      </c>
      <c r="B79" t="s">
        <v>11</v>
      </c>
      <c r="C79" s="2">
        <v>24902</v>
      </c>
      <c r="D79" s="1">
        <v>12</v>
      </c>
      <c r="E79" s="1">
        <v>1</v>
      </c>
      <c r="F79" s="3">
        <v>25950</v>
      </c>
      <c r="G79" s="3">
        <v>10950</v>
      </c>
      <c r="H79" s="1">
        <v>92</v>
      </c>
      <c r="I79" s="1">
        <v>0</v>
      </c>
      <c r="J79" s="1">
        <v>0</v>
      </c>
    </row>
    <row r="80" spans="1:10" x14ac:dyDescent="0.3">
      <c r="A80" s="1">
        <v>79</v>
      </c>
      <c r="B80" t="s">
        <v>11</v>
      </c>
      <c r="C80" s="2">
        <v>18479</v>
      </c>
      <c r="D80" s="1">
        <v>12</v>
      </c>
      <c r="E80" s="1">
        <v>1</v>
      </c>
      <c r="F80" s="3">
        <v>24600</v>
      </c>
      <c r="G80" s="3">
        <v>10050</v>
      </c>
      <c r="H80" s="1">
        <v>92</v>
      </c>
      <c r="I80" s="1">
        <v>44</v>
      </c>
      <c r="J80" s="1">
        <v>0</v>
      </c>
    </row>
    <row r="81" spans="1:10" x14ac:dyDescent="0.3">
      <c r="A81" s="1">
        <v>80</v>
      </c>
      <c r="B81" t="s">
        <v>11</v>
      </c>
      <c r="C81" s="2">
        <v>25058</v>
      </c>
      <c r="D81" s="1">
        <v>12</v>
      </c>
      <c r="E81" s="1">
        <v>1</v>
      </c>
      <c r="F81" s="3">
        <v>28500</v>
      </c>
      <c r="G81" s="3">
        <v>10500</v>
      </c>
      <c r="H81" s="1">
        <v>92</v>
      </c>
      <c r="I81" s="1">
        <v>6</v>
      </c>
      <c r="J81" s="1">
        <v>0</v>
      </c>
    </row>
    <row r="82" spans="1:10" x14ac:dyDescent="0.3">
      <c r="A82" s="1">
        <v>81</v>
      </c>
      <c r="B82" t="s">
        <v>10</v>
      </c>
      <c r="C82" s="2">
        <v>12329</v>
      </c>
      <c r="D82" s="1">
        <v>8</v>
      </c>
      <c r="E82" s="1">
        <v>2</v>
      </c>
      <c r="F82" s="3">
        <v>30750</v>
      </c>
      <c r="G82" s="3">
        <v>15000</v>
      </c>
      <c r="H82" s="1">
        <v>92</v>
      </c>
      <c r="I82" s="1">
        <v>432</v>
      </c>
      <c r="J82" s="1">
        <v>1</v>
      </c>
    </row>
    <row r="83" spans="1:10" x14ac:dyDescent="0.3">
      <c r="A83" s="1">
        <v>82</v>
      </c>
      <c r="B83" t="s">
        <v>10</v>
      </c>
      <c r="C83" s="2">
        <v>19377</v>
      </c>
      <c r="D83" s="1">
        <v>17</v>
      </c>
      <c r="E83" s="1">
        <v>1</v>
      </c>
      <c r="F83" s="3">
        <v>40200</v>
      </c>
      <c r="G83" s="3">
        <v>19500</v>
      </c>
      <c r="H83" s="1">
        <v>92</v>
      </c>
      <c r="I83" s="1">
        <v>168</v>
      </c>
      <c r="J83" s="1">
        <v>1</v>
      </c>
    </row>
    <row r="84" spans="1:10" x14ac:dyDescent="0.3">
      <c r="A84" s="1">
        <v>83</v>
      </c>
      <c r="B84" t="s">
        <v>10</v>
      </c>
      <c r="C84" s="2">
        <v>20592</v>
      </c>
      <c r="D84" s="1">
        <v>8</v>
      </c>
      <c r="E84" s="1">
        <v>2</v>
      </c>
      <c r="F84" s="3">
        <v>30000</v>
      </c>
      <c r="G84" s="3">
        <v>15000</v>
      </c>
      <c r="H84" s="1">
        <v>92</v>
      </c>
      <c r="I84" s="1">
        <v>144</v>
      </c>
      <c r="J84" s="1">
        <v>1</v>
      </c>
    </row>
    <row r="85" spans="1:10" x14ac:dyDescent="0.3">
      <c r="A85" s="1">
        <v>84</v>
      </c>
      <c r="B85" t="s">
        <v>10</v>
      </c>
      <c r="C85" s="2">
        <v>22518</v>
      </c>
      <c r="D85" s="1">
        <v>14</v>
      </c>
      <c r="E85" s="1">
        <v>1</v>
      </c>
      <c r="F85" s="3">
        <v>37800</v>
      </c>
      <c r="G85" s="3">
        <v>16500</v>
      </c>
      <c r="H85" s="1">
        <v>90</v>
      </c>
      <c r="I85" s="1">
        <v>60</v>
      </c>
      <c r="J85" s="1">
        <v>0</v>
      </c>
    </row>
    <row r="86" spans="1:10" x14ac:dyDescent="0.3">
      <c r="A86" s="1">
        <v>85</v>
      </c>
      <c r="B86" t="s">
        <v>10</v>
      </c>
      <c r="C86" s="2">
        <v>22413</v>
      </c>
      <c r="D86" s="1">
        <v>15</v>
      </c>
      <c r="E86" s="1">
        <v>1</v>
      </c>
      <c r="F86" s="3">
        <v>33450</v>
      </c>
      <c r="G86" s="3">
        <v>14100</v>
      </c>
      <c r="H86" s="1">
        <v>90</v>
      </c>
      <c r="I86" s="1">
        <v>85</v>
      </c>
      <c r="J86" s="1">
        <v>0</v>
      </c>
    </row>
    <row r="87" spans="1:10" x14ac:dyDescent="0.3">
      <c r="A87" s="1">
        <v>86</v>
      </c>
      <c r="B87" t="s">
        <v>10</v>
      </c>
      <c r="C87" s="2">
        <v>22806</v>
      </c>
      <c r="D87" s="1">
        <v>15</v>
      </c>
      <c r="E87" s="1">
        <v>1</v>
      </c>
      <c r="F87" s="3">
        <v>30300</v>
      </c>
      <c r="G87" s="3">
        <v>16500</v>
      </c>
      <c r="H87" s="1">
        <v>90</v>
      </c>
      <c r="I87" s="1">
        <v>16</v>
      </c>
      <c r="J87" s="1">
        <v>0</v>
      </c>
    </row>
    <row r="88" spans="1:10" x14ac:dyDescent="0.3">
      <c r="A88" s="1">
        <v>87</v>
      </c>
      <c r="B88" t="s">
        <v>11</v>
      </c>
      <c r="C88" s="2">
        <v>11702</v>
      </c>
      <c r="D88" s="1">
        <v>12</v>
      </c>
      <c r="E88" s="1">
        <v>1</v>
      </c>
      <c r="F88" s="3">
        <v>31500</v>
      </c>
      <c r="G88" s="3">
        <v>18750</v>
      </c>
      <c r="H88" s="1">
        <v>90</v>
      </c>
      <c r="I88" s="1">
        <v>205</v>
      </c>
      <c r="J88" s="1">
        <v>0</v>
      </c>
    </row>
    <row r="89" spans="1:10" x14ac:dyDescent="0.3">
      <c r="A89" s="1">
        <v>88</v>
      </c>
      <c r="B89" t="s">
        <v>11</v>
      </c>
      <c r="C89" s="2">
        <v>23440</v>
      </c>
      <c r="D89" s="1">
        <v>12</v>
      </c>
      <c r="E89" s="1">
        <v>1</v>
      </c>
      <c r="F89" s="3">
        <v>31650</v>
      </c>
      <c r="G89" s="3">
        <v>14250</v>
      </c>
      <c r="H89" s="1">
        <v>90</v>
      </c>
      <c r="I89" s="1">
        <v>48</v>
      </c>
      <c r="J89" s="1">
        <v>0</v>
      </c>
    </row>
    <row r="90" spans="1:10" x14ac:dyDescent="0.3">
      <c r="A90" s="1">
        <v>89</v>
      </c>
      <c r="B90" t="s">
        <v>11</v>
      </c>
      <c r="C90" s="2">
        <v>23215</v>
      </c>
      <c r="D90" s="1">
        <v>12</v>
      </c>
      <c r="E90" s="1">
        <v>1</v>
      </c>
      <c r="F90" s="3">
        <v>25200</v>
      </c>
      <c r="G90" s="3">
        <v>14100</v>
      </c>
      <c r="H90" s="1">
        <v>90</v>
      </c>
      <c r="I90" s="1">
        <v>55</v>
      </c>
      <c r="J90" s="1">
        <v>0</v>
      </c>
    </row>
    <row r="91" spans="1:10" x14ac:dyDescent="0.3">
      <c r="A91" s="1">
        <v>90</v>
      </c>
      <c r="B91" t="s">
        <v>11</v>
      </c>
      <c r="C91" s="2">
        <v>23693</v>
      </c>
      <c r="D91" s="1">
        <v>16</v>
      </c>
      <c r="E91" s="1">
        <v>3</v>
      </c>
      <c r="F91" s="3">
        <v>37800</v>
      </c>
      <c r="G91" s="3">
        <v>15750</v>
      </c>
      <c r="H91" s="1">
        <v>90</v>
      </c>
      <c r="I91" s="1">
        <v>7</v>
      </c>
      <c r="J91" s="1">
        <v>0</v>
      </c>
    </row>
    <row r="92" spans="1:10" x14ac:dyDescent="0.3">
      <c r="A92" s="1">
        <v>91</v>
      </c>
      <c r="B92" t="s">
        <v>11</v>
      </c>
      <c r="C92" s="2">
        <v>13368</v>
      </c>
      <c r="D92" s="1">
        <v>15</v>
      </c>
      <c r="E92" s="1">
        <v>1</v>
      </c>
      <c r="F92" s="3">
        <v>18750</v>
      </c>
      <c r="G92" s="3">
        <v>10500</v>
      </c>
      <c r="H92" s="1">
        <v>90</v>
      </c>
      <c r="I92" s="1">
        <v>54</v>
      </c>
      <c r="J92" s="1">
        <v>0</v>
      </c>
    </row>
    <row r="93" spans="1:10" x14ac:dyDescent="0.3">
      <c r="A93" s="1">
        <v>92</v>
      </c>
      <c r="B93" t="s">
        <v>11</v>
      </c>
      <c r="C93" s="2">
        <v>24011</v>
      </c>
      <c r="D93" s="1">
        <v>15</v>
      </c>
      <c r="E93" s="1">
        <v>1</v>
      </c>
      <c r="F93" s="3">
        <v>32550</v>
      </c>
      <c r="G93" s="3">
        <v>13500</v>
      </c>
      <c r="H93" s="1">
        <v>90</v>
      </c>
      <c r="I93" s="1">
        <v>22</v>
      </c>
      <c r="J93" s="1">
        <v>0</v>
      </c>
    </row>
    <row r="94" spans="1:10" x14ac:dyDescent="0.3">
      <c r="A94" s="1">
        <v>93</v>
      </c>
      <c r="B94" t="s">
        <v>11</v>
      </c>
      <c r="C94" s="2">
        <v>18012</v>
      </c>
      <c r="D94" s="1">
        <v>12</v>
      </c>
      <c r="E94" s="1">
        <v>1</v>
      </c>
      <c r="F94" s="3">
        <v>33300</v>
      </c>
      <c r="G94" s="3">
        <v>15000</v>
      </c>
      <c r="H94" s="1">
        <v>90</v>
      </c>
      <c r="I94" s="1">
        <v>3</v>
      </c>
      <c r="J94" s="1">
        <v>0</v>
      </c>
    </row>
    <row r="95" spans="1:10" x14ac:dyDescent="0.3">
      <c r="A95" s="1">
        <v>94</v>
      </c>
      <c r="B95" t="s">
        <v>11</v>
      </c>
      <c r="C95" s="2">
        <v>23160</v>
      </c>
      <c r="D95" s="1">
        <v>16</v>
      </c>
      <c r="E95" s="1">
        <v>1</v>
      </c>
      <c r="F95" s="3">
        <v>38550</v>
      </c>
      <c r="G95" s="3">
        <v>16500</v>
      </c>
      <c r="H95" s="1">
        <v>90</v>
      </c>
      <c r="I95" s="1">
        <v>0</v>
      </c>
      <c r="J95" s="1">
        <v>0</v>
      </c>
    </row>
    <row r="96" spans="1:10" x14ac:dyDescent="0.3">
      <c r="A96" s="1">
        <v>95</v>
      </c>
      <c r="B96" t="s">
        <v>10</v>
      </c>
      <c r="C96" s="2">
        <v>20673</v>
      </c>
      <c r="D96" s="1">
        <v>12</v>
      </c>
      <c r="E96" s="1">
        <v>1</v>
      </c>
      <c r="F96" s="3">
        <v>27450</v>
      </c>
      <c r="G96" s="3">
        <v>15000</v>
      </c>
      <c r="H96" s="1">
        <v>90</v>
      </c>
      <c r="I96" s="1">
        <v>173</v>
      </c>
      <c r="J96" s="1">
        <v>1</v>
      </c>
    </row>
    <row r="97" spans="1:10" x14ac:dyDescent="0.3">
      <c r="A97" s="1">
        <v>96</v>
      </c>
      <c r="B97" t="s">
        <v>10</v>
      </c>
      <c r="C97" s="2">
        <v>18649</v>
      </c>
      <c r="D97" s="1">
        <v>15</v>
      </c>
      <c r="E97" s="1">
        <v>2</v>
      </c>
      <c r="F97" s="3">
        <v>24300</v>
      </c>
      <c r="G97" s="3">
        <v>15000</v>
      </c>
      <c r="H97" s="1">
        <v>90</v>
      </c>
      <c r="I97" s="1">
        <v>191</v>
      </c>
      <c r="J97" s="1">
        <v>1</v>
      </c>
    </row>
    <row r="98" spans="1:10" x14ac:dyDescent="0.3">
      <c r="A98" s="1">
        <v>97</v>
      </c>
      <c r="B98" t="s">
        <v>10</v>
      </c>
      <c r="C98" s="2">
        <v>18507</v>
      </c>
      <c r="D98" s="1">
        <v>12</v>
      </c>
      <c r="E98" s="1">
        <v>2</v>
      </c>
      <c r="F98" s="3">
        <v>30750</v>
      </c>
      <c r="G98" s="3">
        <v>15000</v>
      </c>
      <c r="H98" s="1">
        <v>90</v>
      </c>
      <c r="I98" s="1">
        <v>209</v>
      </c>
      <c r="J98" s="1">
        <v>1</v>
      </c>
    </row>
    <row r="99" spans="1:10" x14ac:dyDescent="0.3">
      <c r="A99" s="1">
        <v>98</v>
      </c>
      <c r="B99" t="s">
        <v>11</v>
      </c>
      <c r="C99" s="2">
        <v>17008</v>
      </c>
      <c r="D99" s="1">
        <v>12</v>
      </c>
      <c r="E99" s="1">
        <v>1</v>
      </c>
      <c r="F99" s="3">
        <v>19650</v>
      </c>
      <c r="G99" s="3">
        <v>9750</v>
      </c>
      <c r="H99" s="1">
        <v>90</v>
      </c>
      <c r="I99" s="1">
        <v>229</v>
      </c>
      <c r="J99" s="1">
        <v>1</v>
      </c>
    </row>
    <row r="100" spans="1:10" x14ac:dyDescent="0.3">
      <c r="A100" s="1">
        <v>99</v>
      </c>
      <c r="B100" t="s">
        <v>10</v>
      </c>
      <c r="C100" s="2">
        <v>21749</v>
      </c>
      <c r="D100" s="1">
        <v>17</v>
      </c>
      <c r="E100" s="1">
        <v>3</v>
      </c>
      <c r="F100" s="3">
        <v>68750</v>
      </c>
      <c r="G100" s="3">
        <v>27510</v>
      </c>
      <c r="H100" s="1">
        <v>89</v>
      </c>
      <c r="I100" s="1">
        <v>38</v>
      </c>
      <c r="J100" s="1">
        <v>0</v>
      </c>
    </row>
    <row r="101" spans="1:10" x14ac:dyDescent="0.3">
      <c r="A101" s="1">
        <v>100</v>
      </c>
      <c r="B101" t="s">
        <v>10</v>
      </c>
      <c r="C101" s="2">
        <v>21434</v>
      </c>
      <c r="D101" s="1">
        <v>20</v>
      </c>
      <c r="E101" s="1">
        <v>3</v>
      </c>
      <c r="F101" s="3">
        <v>59375</v>
      </c>
      <c r="G101" s="3">
        <v>30000</v>
      </c>
      <c r="H101" s="1">
        <v>89</v>
      </c>
      <c r="I101" s="1">
        <v>6</v>
      </c>
      <c r="J101" s="1">
        <v>0</v>
      </c>
    </row>
    <row r="102" spans="1:10" x14ac:dyDescent="0.3">
      <c r="A102" s="1">
        <v>101</v>
      </c>
      <c r="B102" t="s">
        <v>10</v>
      </c>
      <c r="C102" s="2">
        <v>22685</v>
      </c>
      <c r="D102" s="1">
        <v>15</v>
      </c>
      <c r="E102" s="1">
        <v>1</v>
      </c>
      <c r="F102" s="3">
        <v>31500</v>
      </c>
      <c r="G102" s="3">
        <v>15750</v>
      </c>
      <c r="H102" s="1">
        <v>89</v>
      </c>
      <c r="I102" s="1">
        <v>22</v>
      </c>
      <c r="J102" s="1">
        <v>0</v>
      </c>
    </row>
    <row r="103" spans="1:10" x14ac:dyDescent="0.3">
      <c r="A103" s="1">
        <v>102</v>
      </c>
      <c r="B103" t="s">
        <v>10</v>
      </c>
      <c r="C103" s="2">
        <v>19496</v>
      </c>
      <c r="D103" s="1">
        <v>12</v>
      </c>
      <c r="E103" s="1">
        <v>1</v>
      </c>
      <c r="F103" s="3">
        <v>27300</v>
      </c>
      <c r="G103" s="3">
        <v>17250</v>
      </c>
      <c r="H103" s="1">
        <v>89</v>
      </c>
      <c r="I103" s="1">
        <v>175</v>
      </c>
      <c r="J103" s="1">
        <v>0</v>
      </c>
    </row>
    <row r="104" spans="1:10" x14ac:dyDescent="0.3">
      <c r="A104" s="1">
        <v>103</v>
      </c>
      <c r="B104" t="s">
        <v>10</v>
      </c>
      <c r="C104" s="2">
        <v>21805</v>
      </c>
      <c r="D104" s="1">
        <v>15</v>
      </c>
      <c r="E104" s="1">
        <v>1</v>
      </c>
      <c r="F104" s="3">
        <v>27000</v>
      </c>
      <c r="G104" s="3">
        <v>15750</v>
      </c>
      <c r="H104" s="1">
        <v>89</v>
      </c>
      <c r="I104" s="1">
        <v>87</v>
      </c>
      <c r="J104" s="1">
        <v>0</v>
      </c>
    </row>
    <row r="105" spans="1:10" x14ac:dyDescent="0.3">
      <c r="A105" s="1">
        <v>104</v>
      </c>
      <c r="B105" t="s">
        <v>11</v>
      </c>
      <c r="C105" s="2">
        <v>15290</v>
      </c>
      <c r="D105" s="1">
        <v>16</v>
      </c>
      <c r="E105" s="1">
        <v>3</v>
      </c>
      <c r="F105" s="3">
        <v>41550</v>
      </c>
      <c r="G105" s="3">
        <v>24990</v>
      </c>
      <c r="H105" s="1">
        <v>89</v>
      </c>
      <c r="I105" s="1">
        <v>285</v>
      </c>
      <c r="J105" s="1">
        <v>0</v>
      </c>
    </row>
    <row r="106" spans="1:10" x14ac:dyDescent="0.3">
      <c r="A106" s="1">
        <v>105</v>
      </c>
      <c r="B106" t="s">
        <v>11</v>
      </c>
      <c r="C106" s="2">
        <v>24980</v>
      </c>
      <c r="D106" s="1">
        <v>12</v>
      </c>
      <c r="E106" s="1">
        <v>1</v>
      </c>
      <c r="F106" s="3">
        <v>26250</v>
      </c>
      <c r="G106" s="3">
        <v>10950</v>
      </c>
      <c r="H106" s="1">
        <v>89</v>
      </c>
      <c r="I106" s="1">
        <v>0</v>
      </c>
      <c r="J106" s="1">
        <v>0</v>
      </c>
    </row>
    <row r="107" spans="1:10" x14ac:dyDescent="0.3">
      <c r="A107" s="1">
        <v>106</v>
      </c>
      <c r="B107" t="s">
        <v>10</v>
      </c>
      <c r="C107" s="2">
        <v>14482</v>
      </c>
      <c r="D107" s="1">
        <v>12</v>
      </c>
      <c r="E107" s="1">
        <v>1</v>
      </c>
      <c r="F107" s="3">
        <v>22200</v>
      </c>
      <c r="G107" s="3">
        <v>15000</v>
      </c>
      <c r="H107" s="1">
        <v>88</v>
      </c>
      <c r="I107" s="1">
        <v>324</v>
      </c>
      <c r="J107" s="1">
        <v>0</v>
      </c>
    </row>
    <row r="108" spans="1:10" x14ac:dyDescent="0.3">
      <c r="A108" s="1">
        <v>107</v>
      </c>
      <c r="B108" t="s">
        <v>10</v>
      </c>
      <c r="C108" s="2">
        <v>13708</v>
      </c>
      <c r="D108" s="1">
        <v>21</v>
      </c>
      <c r="E108" s="1">
        <v>3</v>
      </c>
      <c r="F108" s="3">
        <v>65000</v>
      </c>
      <c r="G108" s="3">
        <v>37500</v>
      </c>
      <c r="H108" s="1">
        <v>88</v>
      </c>
      <c r="I108" s="1">
        <v>264</v>
      </c>
      <c r="J108" s="1">
        <v>0</v>
      </c>
    </row>
    <row r="109" spans="1:10" x14ac:dyDescent="0.3">
      <c r="A109" s="1">
        <v>108</v>
      </c>
      <c r="B109" t="s">
        <v>10</v>
      </c>
      <c r="C109" s="2">
        <v>17176</v>
      </c>
      <c r="D109" s="1">
        <v>12</v>
      </c>
      <c r="E109" s="1">
        <v>1</v>
      </c>
      <c r="F109" s="3">
        <v>30900</v>
      </c>
      <c r="G109" s="3">
        <v>15000</v>
      </c>
      <c r="H109" s="1">
        <v>88</v>
      </c>
      <c r="I109" s="1">
        <v>252</v>
      </c>
      <c r="J109" s="1">
        <v>0</v>
      </c>
    </row>
    <row r="110" spans="1:10" x14ac:dyDescent="0.3">
      <c r="A110" s="1">
        <v>109</v>
      </c>
      <c r="B110" t="s">
        <v>11</v>
      </c>
      <c r="C110" s="2">
        <v>11492</v>
      </c>
      <c r="D110" s="1">
        <v>8</v>
      </c>
      <c r="E110" s="1">
        <v>1</v>
      </c>
      <c r="F110" s="3">
        <v>20100</v>
      </c>
      <c r="G110" s="3">
        <v>13200</v>
      </c>
      <c r="H110" s="1">
        <v>88</v>
      </c>
      <c r="I110" s="1">
        <v>90</v>
      </c>
      <c r="J110" s="1">
        <v>0</v>
      </c>
    </row>
    <row r="111" spans="1:10" x14ac:dyDescent="0.3">
      <c r="A111" s="1">
        <v>110</v>
      </c>
      <c r="B111" t="s">
        <v>11</v>
      </c>
      <c r="C111" s="2">
        <v>23837</v>
      </c>
      <c r="D111" s="1">
        <v>12</v>
      </c>
      <c r="E111" s="1">
        <v>1</v>
      </c>
      <c r="F111" s="3">
        <v>22350</v>
      </c>
      <c r="G111" s="3">
        <v>13500</v>
      </c>
      <c r="H111" s="1">
        <v>88</v>
      </c>
      <c r="I111" s="1">
        <v>26</v>
      </c>
      <c r="J111" s="1">
        <v>0</v>
      </c>
    </row>
    <row r="112" spans="1:10" x14ac:dyDescent="0.3">
      <c r="A112" s="1">
        <v>111</v>
      </c>
      <c r="B112" t="s">
        <v>11</v>
      </c>
      <c r="C112" s="2">
        <v>24272</v>
      </c>
      <c r="D112" s="1">
        <v>15</v>
      </c>
      <c r="E112" s="1">
        <v>1</v>
      </c>
      <c r="F112" s="3">
        <v>35550</v>
      </c>
      <c r="G112" s="3">
        <v>13350</v>
      </c>
      <c r="H112" s="1">
        <v>88</v>
      </c>
      <c r="I112" s="1">
        <v>32</v>
      </c>
      <c r="J112" s="1">
        <v>0</v>
      </c>
    </row>
    <row r="113" spans="1:10" x14ac:dyDescent="0.3">
      <c r="A113" s="1">
        <v>112</v>
      </c>
      <c r="B113" t="s">
        <v>11</v>
      </c>
      <c r="C113" s="2">
        <v>24424</v>
      </c>
      <c r="D113" s="1">
        <v>12</v>
      </c>
      <c r="E113" s="1">
        <v>1</v>
      </c>
      <c r="F113" s="3">
        <v>28500</v>
      </c>
      <c r="G113" s="3">
        <v>13950</v>
      </c>
      <c r="H113" s="1">
        <v>88</v>
      </c>
      <c r="I113" s="1">
        <v>34</v>
      </c>
      <c r="J113" s="1">
        <v>0</v>
      </c>
    </row>
    <row r="114" spans="1:10" x14ac:dyDescent="0.3">
      <c r="A114" s="1">
        <v>113</v>
      </c>
      <c r="B114" t="s">
        <v>11</v>
      </c>
      <c r="C114" s="2">
        <v>14481</v>
      </c>
      <c r="D114" s="1">
        <v>12</v>
      </c>
      <c r="E114" s="1">
        <v>1</v>
      </c>
      <c r="F114" s="3">
        <v>24450</v>
      </c>
      <c r="G114" s="3">
        <v>13200</v>
      </c>
      <c r="H114" s="1">
        <v>88</v>
      </c>
      <c r="I114" s="1">
        <v>107</v>
      </c>
      <c r="J114" s="1">
        <v>0</v>
      </c>
    </row>
    <row r="115" spans="1:10" x14ac:dyDescent="0.3">
      <c r="A115" s="1">
        <v>114</v>
      </c>
      <c r="B115" t="s">
        <v>11</v>
      </c>
      <c r="C115" s="2">
        <v>11563</v>
      </c>
      <c r="D115" s="1">
        <v>8</v>
      </c>
      <c r="E115" s="1">
        <v>1</v>
      </c>
      <c r="F115" s="3">
        <v>16650</v>
      </c>
      <c r="G115" s="3">
        <v>9750</v>
      </c>
      <c r="H115" s="1">
        <v>88</v>
      </c>
      <c r="I115" s="1">
        <v>412</v>
      </c>
      <c r="J115" s="1">
        <v>0</v>
      </c>
    </row>
    <row r="116" spans="1:10" x14ac:dyDescent="0.3">
      <c r="A116" s="1">
        <v>115</v>
      </c>
      <c r="B116" t="s">
        <v>10</v>
      </c>
      <c r="C116" s="2">
        <v>23391</v>
      </c>
      <c r="D116" s="1">
        <v>12</v>
      </c>
      <c r="E116" s="1">
        <v>1</v>
      </c>
      <c r="F116" s="3">
        <v>26700</v>
      </c>
      <c r="G116" s="3">
        <v>13500</v>
      </c>
      <c r="H116" s="1">
        <v>88</v>
      </c>
      <c r="I116" s="1">
        <v>38</v>
      </c>
      <c r="J116" s="1">
        <v>1</v>
      </c>
    </row>
    <row r="117" spans="1:10" x14ac:dyDescent="0.3">
      <c r="A117" s="1">
        <v>116</v>
      </c>
      <c r="B117" t="s">
        <v>10</v>
      </c>
      <c r="C117" s="2">
        <v>18630</v>
      </c>
      <c r="D117" s="1">
        <v>18</v>
      </c>
      <c r="E117" s="1">
        <v>1</v>
      </c>
      <c r="F117" s="3">
        <v>43950</v>
      </c>
      <c r="G117" s="3">
        <v>23250</v>
      </c>
      <c r="H117" s="1">
        <v>88</v>
      </c>
      <c r="I117" s="1">
        <v>182</v>
      </c>
      <c r="J117" s="1">
        <v>1</v>
      </c>
    </row>
    <row r="118" spans="1:10" x14ac:dyDescent="0.3">
      <c r="A118" s="1">
        <v>117</v>
      </c>
      <c r="B118" t="s">
        <v>10</v>
      </c>
      <c r="C118" s="2">
        <v>13404</v>
      </c>
      <c r="D118" s="1">
        <v>15</v>
      </c>
      <c r="E118" s="1">
        <v>1</v>
      </c>
      <c r="F118" s="3">
        <v>23700</v>
      </c>
      <c r="G118" s="3">
        <v>13500</v>
      </c>
      <c r="H118" s="1">
        <v>88</v>
      </c>
      <c r="I118" s="1">
        <v>359</v>
      </c>
      <c r="J118" s="1">
        <v>1</v>
      </c>
    </row>
    <row r="119" spans="1:10" x14ac:dyDescent="0.3">
      <c r="A119" s="1">
        <v>118</v>
      </c>
      <c r="B119" t="s">
        <v>11</v>
      </c>
      <c r="C119" s="2">
        <v>21828</v>
      </c>
      <c r="D119" s="1">
        <v>15</v>
      </c>
      <c r="E119" s="1">
        <v>1</v>
      </c>
      <c r="F119" s="3">
        <v>26550</v>
      </c>
      <c r="G119" s="3">
        <v>14250</v>
      </c>
      <c r="H119" s="1">
        <v>88</v>
      </c>
      <c r="I119" s="1">
        <v>61</v>
      </c>
      <c r="J119" s="1">
        <v>1</v>
      </c>
    </row>
    <row r="120" spans="1:10" x14ac:dyDescent="0.3">
      <c r="A120" s="1">
        <v>119</v>
      </c>
      <c r="B120" t="s">
        <v>10</v>
      </c>
      <c r="C120" s="2">
        <v>22825</v>
      </c>
      <c r="D120" s="1">
        <v>12</v>
      </c>
      <c r="E120" s="1">
        <v>1</v>
      </c>
      <c r="F120" s="3">
        <v>27600</v>
      </c>
      <c r="G120" s="3">
        <v>15000</v>
      </c>
      <c r="H120" s="1">
        <v>87</v>
      </c>
      <c r="I120" s="1">
        <v>75</v>
      </c>
      <c r="J120" s="1">
        <v>0</v>
      </c>
    </row>
    <row r="121" spans="1:10" x14ac:dyDescent="0.3">
      <c r="A121" s="1">
        <v>120</v>
      </c>
      <c r="B121" t="s">
        <v>10</v>
      </c>
      <c r="C121" s="2">
        <v>19788</v>
      </c>
      <c r="D121" s="1">
        <v>12</v>
      </c>
      <c r="E121" s="1">
        <v>1</v>
      </c>
      <c r="F121" s="3">
        <v>25800</v>
      </c>
      <c r="G121" s="3">
        <v>15000</v>
      </c>
      <c r="H121" s="1">
        <v>87</v>
      </c>
      <c r="I121" s="1">
        <v>143</v>
      </c>
      <c r="J121" s="1">
        <v>0</v>
      </c>
    </row>
    <row r="122" spans="1:10" x14ac:dyDescent="0.3">
      <c r="A122" s="1">
        <v>121</v>
      </c>
      <c r="B122" t="s">
        <v>10</v>
      </c>
      <c r="C122" s="2">
        <v>19952</v>
      </c>
      <c r="D122" s="1">
        <v>16</v>
      </c>
      <c r="E122" s="1">
        <v>3</v>
      </c>
      <c r="F122" s="3">
        <v>42300</v>
      </c>
      <c r="G122" s="3">
        <v>26250</v>
      </c>
      <c r="H122" s="1">
        <v>87</v>
      </c>
      <c r="I122" s="1">
        <v>126</v>
      </c>
      <c r="J122" s="1">
        <v>0</v>
      </c>
    </row>
    <row r="123" spans="1:10" x14ac:dyDescent="0.3">
      <c r="A123" s="1">
        <v>122</v>
      </c>
      <c r="B123" t="s">
        <v>10</v>
      </c>
      <c r="C123" s="2">
        <v>10716</v>
      </c>
      <c r="D123" s="1">
        <v>8</v>
      </c>
      <c r="E123" s="1">
        <v>2</v>
      </c>
      <c r="F123" s="3">
        <v>30750</v>
      </c>
      <c r="G123" s="3">
        <v>15000</v>
      </c>
      <c r="H123" s="1">
        <v>87</v>
      </c>
      <c r="I123" s="1">
        <v>451</v>
      </c>
      <c r="J123" s="1">
        <v>0</v>
      </c>
    </row>
    <row r="124" spans="1:10" x14ac:dyDescent="0.3">
      <c r="A124" s="1">
        <v>123</v>
      </c>
      <c r="B124" t="s">
        <v>11</v>
      </c>
      <c r="C124" s="2">
        <v>24605</v>
      </c>
      <c r="D124" s="1">
        <v>12</v>
      </c>
      <c r="E124" s="1">
        <v>1</v>
      </c>
      <c r="F124" s="3">
        <v>26700</v>
      </c>
      <c r="G124" s="3">
        <v>12900</v>
      </c>
      <c r="H124" s="1">
        <v>87</v>
      </c>
      <c r="I124" s="1">
        <v>18</v>
      </c>
      <c r="J124" s="1">
        <v>0</v>
      </c>
    </row>
    <row r="125" spans="1:10" x14ac:dyDescent="0.3">
      <c r="A125" s="1">
        <v>124</v>
      </c>
      <c r="B125" t="s">
        <v>11</v>
      </c>
      <c r="C125" s="2">
        <v>14769</v>
      </c>
      <c r="D125" s="1">
        <v>12</v>
      </c>
      <c r="E125" s="1">
        <v>1</v>
      </c>
      <c r="F125" s="3">
        <v>20850</v>
      </c>
      <c r="G125" s="3">
        <v>12000</v>
      </c>
      <c r="H125" s="1">
        <v>87</v>
      </c>
      <c r="I125" s="1">
        <v>163</v>
      </c>
      <c r="J125" s="1">
        <v>0</v>
      </c>
    </row>
    <row r="126" spans="1:10" x14ac:dyDescent="0.3">
      <c r="A126" s="1">
        <v>125</v>
      </c>
      <c r="B126" t="s">
        <v>10</v>
      </c>
      <c r="C126" s="2">
        <v>23076</v>
      </c>
      <c r="D126" s="1">
        <v>15</v>
      </c>
      <c r="E126" s="1">
        <v>1</v>
      </c>
      <c r="F126" s="3">
        <v>35250</v>
      </c>
      <c r="G126" s="3">
        <v>15000</v>
      </c>
      <c r="H126" s="1">
        <v>87</v>
      </c>
      <c r="I126" s="1">
        <v>54</v>
      </c>
      <c r="J126" s="1">
        <v>1</v>
      </c>
    </row>
    <row r="127" spans="1:10" x14ac:dyDescent="0.3">
      <c r="A127" s="1">
        <v>126</v>
      </c>
      <c r="B127" t="s">
        <v>10</v>
      </c>
      <c r="C127" s="2">
        <v>23023</v>
      </c>
      <c r="D127" s="1">
        <v>15</v>
      </c>
      <c r="E127" s="1">
        <v>1</v>
      </c>
      <c r="F127" s="3">
        <v>26700</v>
      </c>
      <c r="G127" s="3">
        <v>15000</v>
      </c>
      <c r="H127" s="1">
        <v>87</v>
      </c>
      <c r="I127" s="1">
        <v>56</v>
      </c>
      <c r="J127" s="1">
        <v>1</v>
      </c>
    </row>
    <row r="128" spans="1:10" x14ac:dyDescent="0.3">
      <c r="A128" s="1">
        <v>127</v>
      </c>
      <c r="B128" t="s">
        <v>11</v>
      </c>
      <c r="C128" s="2">
        <v>24655</v>
      </c>
      <c r="D128" s="1">
        <v>12</v>
      </c>
      <c r="E128" s="1">
        <v>1</v>
      </c>
      <c r="F128" s="3">
        <v>26550</v>
      </c>
      <c r="G128" s="3">
        <v>13050</v>
      </c>
      <c r="H128" s="1">
        <v>87</v>
      </c>
      <c r="I128" s="1">
        <v>11</v>
      </c>
      <c r="J128" s="1">
        <v>1</v>
      </c>
    </row>
    <row r="129" spans="1:10" x14ac:dyDescent="0.3">
      <c r="A129" s="1">
        <v>128</v>
      </c>
      <c r="B129" t="s">
        <v>11</v>
      </c>
      <c r="C129" s="2">
        <v>23640</v>
      </c>
      <c r="D129" s="1">
        <v>12</v>
      </c>
      <c r="E129" s="1">
        <v>1</v>
      </c>
      <c r="F129" s="3">
        <v>27750</v>
      </c>
      <c r="G129" s="3">
        <v>12000</v>
      </c>
      <c r="H129" s="1">
        <v>87</v>
      </c>
      <c r="I129" s="1">
        <v>11</v>
      </c>
      <c r="J129" s="1">
        <v>1</v>
      </c>
    </row>
    <row r="130" spans="1:10" x14ac:dyDescent="0.3">
      <c r="A130" s="1">
        <v>129</v>
      </c>
      <c r="B130" t="s">
        <v>11</v>
      </c>
      <c r="C130" s="2">
        <v>18641</v>
      </c>
      <c r="D130" s="1">
        <v>16</v>
      </c>
      <c r="E130" s="1">
        <v>1</v>
      </c>
      <c r="F130" s="3">
        <v>25050</v>
      </c>
      <c r="G130" s="3">
        <v>12750</v>
      </c>
      <c r="H130" s="1">
        <v>87</v>
      </c>
      <c r="I130" s="1">
        <v>123</v>
      </c>
      <c r="J130" s="1">
        <v>1</v>
      </c>
    </row>
    <row r="131" spans="1:10" x14ac:dyDescent="0.3">
      <c r="A131" s="1">
        <v>130</v>
      </c>
      <c r="B131" t="s">
        <v>10</v>
      </c>
      <c r="C131" s="2">
        <v>18867</v>
      </c>
      <c r="D131" s="1">
        <v>16</v>
      </c>
      <c r="E131" s="1">
        <v>3</v>
      </c>
      <c r="F131" s="3">
        <v>66000</v>
      </c>
      <c r="G131" s="3">
        <v>47490</v>
      </c>
      <c r="H131" s="1">
        <v>86</v>
      </c>
      <c r="I131" s="1">
        <v>150</v>
      </c>
      <c r="J131" s="1">
        <v>0</v>
      </c>
    </row>
    <row r="132" spans="1:10" x14ac:dyDescent="0.3">
      <c r="A132" s="1">
        <v>131</v>
      </c>
      <c r="B132" t="s">
        <v>10</v>
      </c>
      <c r="C132" s="2">
        <v>23053</v>
      </c>
      <c r="D132" s="1">
        <v>16</v>
      </c>
      <c r="E132" s="1">
        <v>1</v>
      </c>
      <c r="F132" s="3">
        <v>52650</v>
      </c>
      <c r="G132" s="3">
        <v>19500</v>
      </c>
      <c r="H132" s="1">
        <v>86</v>
      </c>
      <c r="I132" s="1">
        <v>20</v>
      </c>
      <c r="J132" s="1">
        <v>0</v>
      </c>
    </row>
    <row r="133" spans="1:10" x14ac:dyDescent="0.3">
      <c r="A133" s="1">
        <v>132</v>
      </c>
      <c r="B133" t="s">
        <v>10</v>
      </c>
      <c r="C133" s="2">
        <v>22426</v>
      </c>
      <c r="D133" s="1">
        <v>16</v>
      </c>
      <c r="E133" s="1">
        <v>3</v>
      </c>
      <c r="F133" s="3">
        <v>45625</v>
      </c>
      <c r="G133" s="3">
        <v>23250</v>
      </c>
      <c r="H133" s="1">
        <v>86</v>
      </c>
      <c r="I133" s="1">
        <v>60</v>
      </c>
      <c r="J133" s="1">
        <v>0</v>
      </c>
    </row>
    <row r="134" spans="1:10" x14ac:dyDescent="0.3">
      <c r="A134" s="1">
        <v>133</v>
      </c>
      <c r="B134" t="s">
        <v>10</v>
      </c>
      <c r="C134" s="2">
        <v>24056</v>
      </c>
      <c r="D134" s="1">
        <v>15</v>
      </c>
      <c r="E134" s="1">
        <v>1</v>
      </c>
      <c r="F134" s="3">
        <v>30900</v>
      </c>
      <c r="G134" s="3">
        <v>15000</v>
      </c>
      <c r="H134" s="1">
        <v>86</v>
      </c>
      <c r="I134" s="1">
        <v>25</v>
      </c>
      <c r="J134" s="1">
        <v>0</v>
      </c>
    </row>
    <row r="135" spans="1:10" x14ac:dyDescent="0.3">
      <c r="A135" s="1">
        <v>134</v>
      </c>
      <c r="B135" t="s">
        <v>11</v>
      </c>
      <c r="C135" s="2">
        <v>23967</v>
      </c>
      <c r="D135" s="1">
        <v>15</v>
      </c>
      <c r="E135" s="1">
        <v>1</v>
      </c>
      <c r="F135" s="3">
        <v>29400</v>
      </c>
      <c r="G135" s="3">
        <v>16500</v>
      </c>
      <c r="H135" s="1">
        <v>86</v>
      </c>
      <c r="I135" s="1">
        <v>24</v>
      </c>
      <c r="J135" s="1">
        <v>0</v>
      </c>
    </row>
    <row r="136" spans="1:10" x14ac:dyDescent="0.3">
      <c r="A136" s="1">
        <v>135</v>
      </c>
      <c r="B136" t="s">
        <v>11</v>
      </c>
      <c r="C136" s="2">
        <v>24226</v>
      </c>
      <c r="D136" s="1">
        <v>15</v>
      </c>
      <c r="E136" s="1">
        <v>1</v>
      </c>
      <c r="F136" s="3">
        <v>33300</v>
      </c>
      <c r="G136" s="3">
        <v>13500</v>
      </c>
      <c r="H136" s="1">
        <v>86</v>
      </c>
      <c r="I136" s="1">
        <v>24</v>
      </c>
      <c r="J136" s="1">
        <v>0</v>
      </c>
    </row>
    <row r="137" spans="1:10" x14ac:dyDescent="0.3">
      <c r="A137" s="1">
        <v>136</v>
      </c>
      <c r="B137" t="s">
        <v>11</v>
      </c>
      <c r="C137" s="2">
        <v>15534</v>
      </c>
      <c r="D137" s="1">
        <v>12</v>
      </c>
      <c r="E137" s="1">
        <v>1</v>
      </c>
      <c r="F137" s="3">
        <v>21900</v>
      </c>
      <c r="G137" s="3">
        <v>9750</v>
      </c>
      <c r="H137" s="1">
        <v>86</v>
      </c>
      <c r="I137" s="1">
        <v>156</v>
      </c>
      <c r="J137" s="1">
        <v>0</v>
      </c>
    </row>
    <row r="138" spans="1:10" x14ac:dyDescent="0.3">
      <c r="A138" s="1">
        <v>137</v>
      </c>
      <c r="B138" t="s">
        <v>11</v>
      </c>
      <c r="C138" s="2">
        <v>11927</v>
      </c>
      <c r="D138" s="1">
        <v>12</v>
      </c>
      <c r="E138" s="1">
        <v>1</v>
      </c>
      <c r="F138" s="3">
        <v>18150</v>
      </c>
      <c r="G138" s="3">
        <v>9750</v>
      </c>
      <c r="H138" s="1">
        <v>86</v>
      </c>
      <c r="I138" s="1">
        <v>72</v>
      </c>
      <c r="J138" s="1">
        <v>0</v>
      </c>
    </row>
    <row r="139" spans="1:10" x14ac:dyDescent="0.3">
      <c r="A139" s="1">
        <v>138</v>
      </c>
      <c r="B139" t="s">
        <v>11</v>
      </c>
      <c r="C139" s="2">
        <v>22759</v>
      </c>
      <c r="D139" s="1">
        <v>16</v>
      </c>
      <c r="E139" s="1">
        <v>3</v>
      </c>
      <c r="F139" s="3">
        <v>46875</v>
      </c>
      <c r="G139" s="3">
        <v>17250</v>
      </c>
      <c r="H139" s="1">
        <v>86</v>
      </c>
      <c r="I139" s="1">
        <v>19</v>
      </c>
      <c r="J139" s="1">
        <v>0</v>
      </c>
    </row>
    <row r="140" spans="1:10" x14ac:dyDescent="0.3">
      <c r="A140" s="1">
        <v>139</v>
      </c>
      <c r="B140" t="s">
        <v>10</v>
      </c>
      <c r="C140" s="2">
        <v>23885</v>
      </c>
      <c r="D140" s="1">
        <v>12</v>
      </c>
      <c r="E140" s="1">
        <v>1</v>
      </c>
      <c r="F140" s="3">
        <v>25500</v>
      </c>
      <c r="G140" s="3">
        <v>14400</v>
      </c>
      <c r="H140" s="1">
        <v>86</v>
      </c>
      <c r="I140" s="1">
        <v>37</v>
      </c>
      <c r="J140" s="1">
        <v>1</v>
      </c>
    </row>
    <row r="141" spans="1:10" x14ac:dyDescent="0.3">
      <c r="A141" s="1">
        <v>140</v>
      </c>
      <c r="B141" t="s">
        <v>10</v>
      </c>
      <c r="C141" s="2">
        <v>23541</v>
      </c>
      <c r="D141" s="1">
        <v>12</v>
      </c>
      <c r="E141" s="1">
        <v>1</v>
      </c>
      <c r="F141" s="3">
        <v>26550</v>
      </c>
      <c r="G141" s="3">
        <v>15000</v>
      </c>
      <c r="H141" s="1">
        <v>86</v>
      </c>
      <c r="I141" s="1">
        <v>38</v>
      </c>
      <c r="J141" s="1">
        <v>1</v>
      </c>
    </row>
    <row r="142" spans="1:10" x14ac:dyDescent="0.3">
      <c r="A142" s="1">
        <v>141</v>
      </c>
      <c r="B142" t="s">
        <v>10</v>
      </c>
      <c r="C142" s="2">
        <v>10979</v>
      </c>
      <c r="D142" s="1">
        <v>12</v>
      </c>
      <c r="E142" s="1">
        <v>1</v>
      </c>
      <c r="F142" s="3">
        <v>26700</v>
      </c>
      <c r="G142" s="3">
        <v>13500</v>
      </c>
      <c r="H142" s="1">
        <v>86</v>
      </c>
      <c r="I142" s="1">
        <v>367</v>
      </c>
      <c r="J142" s="1">
        <v>1</v>
      </c>
    </row>
    <row r="143" spans="1:10" x14ac:dyDescent="0.3">
      <c r="A143" s="1">
        <v>142</v>
      </c>
      <c r="B143" t="s">
        <v>11</v>
      </c>
      <c r="C143" s="2">
        <v>19523</v>
      </c>
      <c r="D143" s="1">
        <v>15</v>
      </c>
      <c r="E143" s="1">
        <v>1</v>
      </c>
      <c r="F143" s="3">
        <v>29850</v>
      </c>
      <c r="G143" s="3">
        <v>15000</v>
      </c>
      <c r="H143" s="1">
        <v>86</v>
      </c>
      <c r="I143" s="1">
        <v>79</v>
      </c>
      <c r="J143" s="1">
        <v>1</v>
      </c>
    </row>
    <row r="144" spans="1:10" x14ac:dyDescent="0.3">
      <c r="A144" s="1">
        <v>143</v>
      </c>
      <c r="B144" t="s">
        <v>10</v>
      </c>
      <c r="C144" s="2">
        <v>18278</v>
      </c>
      <c r="D144" s="1">
        <v>20</v>
      </c>
      <c r="E144" s="1">
        <v>3</v>
      </c>
      <c r="F144" s="3">
        <v>69250</v>
      </c>
      <c r="G144" s="3">
        <v>42480</v>
      </c>
      <c r="H144" s="1">
        <v>85</v>
      </c>
      <c r="I144" s="1">
        <v>134</v>
      </c>
      <c r="J144" s="1">
        <v>0</v>
      </c>
    </row>
    <row r="145" spans="1:10" x14ac:dyDescent="0.3">
      <c r="A145" s="1">
        <v>144</v>
      </c>
      <c r="B145" t="s">
        <v>10</v>
      </c>
      <c r="C145" s="2">
        <v>12791</v>
      </c>
      <c r="D145" s="1">
        <v>8</v>
      </c>
      <c r="E145" s="1">
        <v>2</v>
      </c>
      <c r="F145" s="3">
        <v>31950</v>
      </c>
      <c r="G145" s="3">
        <v>15000</v>
      </c>
      <c r="H145" s="1">
        <v>85</v>
      </c>
      <c r="I145" s="1">
        <v>438</v>
      </c>
      <c r="J145" s="1">
        <v>0</v>
      </c>
    </row>
    <row r="146" spans="1:10" x14ac:dyDescent="0.3">
      <c r="A146" s="1">
        <v>145</v>
      </c>
      <c r="B146" t="s">
        <v>10</v>
      </c>
      <c r="C146" s="2">
        <v>13888</v>
      </c>
      <c r="D146" s="1">
        <v>8</v>
      </c>
      <c r="E146" s="1">
        <v>1</v>
      </c>
      <c r="F146" s="3">
        <v>26250</v>
      </c>
      <c r="G146" s="3">
        <v>15600</v>
      </c>
      <c r="H146" s="1">
        <v>85</v>
      </c>
      <c r="I146" s="1">
        <v>171</v>
      </c>
      <c r="J146" s="1">
        <v>0</v>
      </c>
    </row>
    <row r="147" spans="1:10" x14ac:dyDescent="0.3">
      <c r="A147" s="1">
        <v>146</v>
      </c>
      <c r="B147" t="s">
        <v>11</v>
      </c>
      <c r="C147" s="2">
        <v>22924</v>
      </c>
      <c r="D147" s="1">
        <v>16</v>
      </c>
      <c r="E147" s="1">
        <v>1</v>
      </c>
      <c r="F147" s="3">
        <v>35700</v>
      </c>
      <c r="G147" s="3">
        <v>17250</v>
      </c>
      <c r="H147" s="1">
        <v>85</v>
      </c>
      <c r="I147" s="1">
        <v>19</v>
      </c>
      <c r="J147" s="1">
        <v>0</v>
      </c>
    </row>
    <row r="148" spans="1:10" x14ac:dyDescent="0.3">
      <c r="A148" s="1">
        <v>147</v>
      </c>
      <c r="B148" t="s">
        <v>11</v>
      </c>
      <c r="C148" s="2">
        <v>22869</v>
      </c>
      <c r="D148" s="1">
        <v>12</v>
      </c>
      <c r="E148" s="1">
        <v>1</v>
      </c>
      <c r="F148" s="3">
        <v>28500</v>
      </c>
      <c r="G148" s="3">
        <v>16500</v>
      </c>
      <c r="H148" s="1">
        <v>85</v>
      </c>
      <c r="I148" s="1">
        <v>69</v>
      </c>
      <c r="J148" s="1">
        <v>0</v>
      </c>
    </row>
    <row r="149" spans="1:10" x14ac:dyDescent="0.3">
      <c r="A149" s="1">
        <v>148</v>
      </c>
      <c r="B149" t="s">
        <v>11</v>
      </c>
      <c r="C149" s="2">
        <v>13897</v>
      </c>
      <c r="D149" s="1">
        <v>12</v>
      </c>
      <c r="E149" s="1">
        <v>1</v>
      </c>
      <c r="F149" s="3">
        <v>17100</v>
      </c>
      <c r="G149" s="3">
        <v>10200</v>
      </c>
      <c r="H149" s="1">
        <v>85</v>
      </c>
      <c r="I149" s="1">
        <v>72</v>
      </c>
      <c r="J149" s="1">
        <v>0</v>
      </c>
    </row>
    <row r="150" spans="1:10" x14ac:dyDescent="0.3">
      <c r="A150" s="1">
        <v>149</v>
      </c>
      <c r="B150" t="s">
        <v>10</v>
      </c>
      <c r="C150" s="2">
        <v>23761</v>
      </c>
      <c r="D150" s="1">
        <v>12</v>
      </c>
      <c r="E150" s="1">
        <v>1</v>
      </c>
      <c r="F150" s="3">
        <v>25200</v>
      </c>
      <c r="G150" s="3">
        <v>13050</v>
      </c>
      <c r="H150" s="1">
        <v>85</v>
      </c>
      <c r="I150" s="1">
        <v>29</v>
      </c>
      <c r="J150" s="1">
        <v>1</v>
      </c>
    </row>
    <row r="151" spans="1:10" x14ac:dyDescent="0.3">
      <c r="A151" s="1">
        <v>150</v>
      </c>
      <c r="B151" t="s">
        <v>11</v>
      </c>
      <c r="C151" s="2">
        <v>21938</v>
      </c>
      <c r="D151" s="1">
        <v>12</v>
      </c>
      <c r="E151" s="1">
        <v>1</v>
      </c>
      <c r="F151" s="3">
        <v>24000</v>
      </c>
      <c r="G151" s="3">
        <v>12750</v>
      </c>
      <c r="H151" s="1">
        <v>85</v>
      </c>
      <c r="I151" s="1">
        <v>59</v>
      </c>
      <c r="J151" s="1">
        <v>1</v>
      </c>
    </row>
    <row r="152" spans="1:10" x14ac:dyDescent="0.3">
      <c r="A152" s="1">
        <v>151</v>
      </c>
      <c r="B152" t="s">
        <v>11</v>
      </c>
      <c r="C152" s="2">
        <v>14249</v>
      </c>
      <c r="D152" s="1">
        <v>12</v>
      </c>
      <c r="E152" s="1">
        <v>1</v>
      </c>
      <c r="F152" s="3">
        <v>27450</v>
      </c>
      <c r="G152" s="3">
        <v>10200</v>
      </c>
      <c r="H152" s="1">
        <v>85</v>
      </c>
      <c r="I152" s="1">
        <v>101</v>
      </c>
      <c r="J152" s="1">
        <v>1</v>
      </c>
    </row>
    <row r="153" spans="1:10" x14ac:dyDescent="0.3">
      <c r="A153" s="1">
        <v>152</v>
      </c>
      <c r="B153" t="s">
        <v>11</v>
      </c>
      <c r="C153" s="2">
        <v>15773</v>
      </c>
      <c r="D153" s="1">
        <v>12</v>
      </c>
      <c r="E153" s="1">
        <v>1</v>
      </c>
      <c r="F153" s="3">
        <v>18450</v>
      </c>
      <c r="G153" s="3">
        <v>10200</v>
      </c>
      <c r="H153" s="1">
        <v>85</v>
      </c>
      <c r="I153" s="1">
        <v>228</v>
      </c>
      <c r="J153" s="1">
        <v>1</v>
      </c>
    </row>
    <row r="154" spans="1:10" x14ac:dyDescent="0.3">
      <c r="A154" s="1">
        <v>153</v>
      </c>
      <c r="B154" t="s">
        <v>10</v>
      </c>
      <c r="C154" s="2">
        <v>21976</v>
      </c>
      <c r="D154" s="1">
        <v>15</v>
      </c>
      <c r="E154" s="1">
        <v>1</v>
      </c>
      <c r="F154" s="3">
        <v>39300</v>
      </c>
      <c r="G154" s="3">
        <v>15750</v>
      </c>
      <c r="H154" s="1">
        <v>84</v>
      </c>
      <c r="I154" s="1">
        <v>72</v>
      </c>
      <c r="J154" s="1">
        <v>0</v>
      </c>
    </row>
    <row r="155" spans="1:10" x14ac:dyDescent="0.3">
      <c r="A155" s="1">
        <v>154</v>
      </c>
      <c r="B155" t="s">
        <v>10</v>
      </c>
      <c r="C155" s="2">
        <v>23686</v>
      </c>
      <c r="D155" s="1">
        <v>15</v>
      </c>
      <c r="E155" s="1">
        <v>1</v>
      </c>
      <c r="F155" s="3">
        <v>38850</v>
      </c>
      <c r="G155" s="3">
        <v>15000</v>
      </c>
      <c r="H155" s="1">
        <v>84</v>
      </c>
      <c r="I155" s="1">
        <v>53</v>
      </c>
      <c r="J155" s="1">
        <v>0</v>
      </c>
    </row>
    <row r="156" spans="1:10" x14ac:dyDescent="0.3">
      <c r="A156" s="1">
        <v>155</v>
      </c>
      <c r="B156" t="s">
        <v>10</v>
      </c>
      <c r="C156" s="2">
        <v>11198</v>
      </c>
      <c r="D156" s="1">
        <v>8</v>
      </c>
      <c r="E156" s="1">
        <v>2</v>
      </c>
      <c r="F156" s="3">
        <v>30750</v>
      </c>
      <c r="G156" s="3">
        <v>15000</v>
      </c>
      <c r="H156" s="1">
        <v>84</v>
      </c>
      <c r="I156" s="1">
        <v>380</v>
      </c>
      <c r="J156" s="1">
        <v>0</v>
      </c>
    </row>
    <row r="157" spans="1:10" x14ac:dyDescent="0.3">
      <c r="A157" s="1">
        <v>156</v>
      </c>
      <c r="B157" t="s">
        <v>10</v>
      </c>
      <c r="C157" s="2">
        <v>23564</v>
      </c>
      <c r="D157" s="1">
        <v>15</v>
      </c>
      <c r="E157" s="1">
        <v>1</v>
      </c>
      <c r="F157" s="3">
        <v>37500</v>
      </c>
      <c r="G157" s="3">
        <v>20400</v>
      </c>
      <c r="H157" s="1">
        <v>84</v>
      </c>
      <c r="I157" s="1">
        <v>33</v>
      </c>
      <c r="J157" s="1">
        <v>0</v>
      </c>
    </row>
    <row r="158" spans="1:10" x14ac:dyDescent="0.3">
      <c r="A158" s="1">
        <v>157</v>
      </c>
      <c r="B158" t="s">
        <v>10</v>
      </c>
      <c r="C158" s="2">
        <v>23221</v>
      </c>
      <c r="D158" s="1">
        <v>16</v>
      </c>
      <c r="E158" s="1">
        <v>3</v>
      </c>
      <c r="F158" s="3">
        <v>58750</v>
      </c>
      <c r="G158" s="3">
        <v>21750</v>
      </c>
      <c r="H158" s="1">
        <v>84</v>
      </c>
      <c r="I158" s="1">
        <v>13</v>
      </c>
      <c r="J158" s="1">
        <v>0</v>
      </c>
    </row>
    <row r="159" spans="1:10" x14ac:dyDescent="0.3">
      <c r="A159" s="1">
        <v>158</v>
      </c>
      <c r="B159" t="s">
        <v>11</v>
      </c>
      <c r="C159" s="2">
        <v>12454</v>
      </c>
      <c r="D159" s="1">
        <v>12</v>
      </c>
      <c r="E159" s="1">
        <v>1</v>
      </c>
      <c r="F159" s="3">
        <v>34500</v>
      </c>
      <c r="G159" s="3">
        <v>18750</v>
      </c>
      <c r="H159" s="1">
        <v>84</v>
      </c>
      <c r="I159" s="1">
        <v>208</v>
      </c>
      <c r="J159" s="1">
        <v>0</v>
      </c>
    </row>
    <row r="160" spans="1:10" x14ac:dyDescent="0.3">
      <c r="A160" s="1">
        <v>159</v>
      </c>
      <c r="B160" t="s">
        <v>11</v>
      </c>
      <c r="C160" s="2">
        <v>18350</v>
      </c>
      <c r="D160" s="1">
        <v>12</v>
      </c>
      <c r="E160" s="1">
        <v>1</v>
      </c>
      <c r="F160" s="3">
        <v>36000</v>
      </c>
      <c r="G160" s="3">
        <v>19980</v>
      </c>
      <c r="H160" s="1">
        <v>84</v>
      </c>
      <c r="I160" s="1">
        <v>240</v>
      </c>
      <c r="J160" s="1">
        <v>0</v>
      </c>
    </row>
    <row r="161" spans="1:10" x14ac:dyDescent="0.3">
      <c r="A161" s="1">
        <v>160</v>
      </c>
      <c r="B161" t="s">
        <v>11</v>
      </c>
      <c r="C161" s="2">
        <v>12008</v>
      </c>
      <c r="D161" s="1">
        <v>8</v>
      </c>
      <c r="E161" s="1">
        <v>1</v>
      </c>
      <c r="F161" s="3">
        <v>29100</v>
      </c>
      <c r="G161" s="3">
        <v>16500</v>
      </c>
      <c r="H161" s="1">
        <v>84</v>
      </c>
      <c r="I161" s="1">
        <v>35</v>
      </c>
      <c r="J161" s="1">
        <v>0</v>
      </c>
    </row>
    <row r="162" spans="1:10" x14ac:dyDescent="0.3">
      <c r="A162" s="1">
        <v>161</v>
      </c>
      <c r="B162" t="s">
        <v>11</v>
      </c>
      <c r="C162" s="2">
        <v>11619</v>
      </c>
      <c r="D162" s="1">
        <v>12</v>
      </c>
      <c r="E162" s="1">
        <v>1</v>
      </c>
      <c r="F162" s="3">
        <v>16500</v>
      </c>
      <c r="G162" s="3">
        <v>10200</v>
      </c>
      <c r="H162" s="1">
        <v>84</v>
      </c>
      <c r="I162" s="1">
        <v>288</v>
      </c>
      <c r="J162" s="1">
        <v>0</v>
      </c>
    </row>
    <row r="163" spans="1:10" x14ac:dyDescent="0.3">
      <c r="A163" s="1">
        <v>162</v>
      </c>
      <c r="B163" t="s">
        <v>10</v>
      </c>
      <c r="C163" s="2">
        <v>18180</v>
      </c>
      <c r="D163" s="1">
        <v>12</v>
      </c>
      <c r="E163" s="1">
        <v>1</v>
      </c>
      <c r="F163" s="3">
        <v>19650</v>
      </c>
      <c r="G163" s="3">
        <v>12750</v>
      </c>
      <c r="H163" s="1">
        <v>84</v>
      </c>
      <c r="I163" s="1">
        <v>180</v>
      </c>
      <c r="J163" s="1">
        <v>1</v>
      </c>
    </row>
    <row r="164" spans="1:10" x14ac:dyDescent="0.3">
      <c r="A164" s="1">
        <v>163</v>
      </c>
      <c r="B164" t="s">
        <v>11</v>
      </c>
      <c r="C164" s="2">
        <v>24310</v>
      </c>
      <c r="D164" s="1">
        <v>12</v>
      </c>
      <c r="E164" s="1">
        <v>1</v>
      </c>
      <c r="F164" s="3">
        <v>24750</v>
      </c>
      <c r="G164" s="3">
        <v>12000</v>
      </c>
      <c r="H164" s="1">
        <v>84</v>
      </c>
      <c r="I164" s="1">
        <v>41</v>
      </c>
      <c r="J164" s="1">
        <v>1</v>
      </c>
    </row>
    <row r="165" spans="1:10" x14ac:dyDescent="0.3">
      <c r="A165" s="1">
        <v>164</v>
      </c>
      <c r="B165" t="s">
        <v>11</v>
      </c>
      <c r="C165" s="2">
        <v>13980</v>
      </c>
      <c r="D165" s="1">
        <v>15</v>
      </c>
      <c r="E165" s="1">
        <v>1</v>
      </c>
      <c r="F165" s="3">
        <v>27150</v>
      </c>
      <c r="G165" s="3">
        <v>15750</v>
      </c>
      <c r="H165" s="1">
        <v>84</v>
      </c>
      <c r="I165" s="1">
        <v>231</v>
      </c>
      <c r="J165" s="1">
        <v>1</v>
      </c>
    </row>
    <row r="166" spans="1:10" x14ac:dyDescent="0.3">
      <c r="A166" s="1">
        <v>165</v>
      </c>
      <c r="B166" t="s">
        <v>11</v>
      </c>
      <c r="C166" s="2">
        <v>20399</v>
      </c>
      <c r="D166" s="1">
        <v>12</v>
      </c>
      <c r="E166" s="1">
        <v>1</v>
      </c>
      <c r="F166" s="3">
        <v>26400</v>
      </c>
      <c r="G166" s="3">
        <v>12750</v>
      </c>
      <c r="H166" s="1">
        <v>84</v>
      </c>
      <c r="I166" s="1">
        <v>36</v>
      </c>
      <c r="J166" s="1">
        <v>1</v>
      </c>
    </row>
    <row r="167" spans="1:10" x14ac:dyDescent="0.3">
      <c r="A167" s="1">
        <v>166</v>
      </c>
      <c r="B167" t="s">
        <v>11</v>
      </c>
      <c r="C167" s="2">
        <v>16864</v>
      </c>
      <c r="D167" s="1">
        <v>16</v>
      </c>
      <c r="E167" s="1">
        <v>1</v>
      </c>
      <c r="F167" s="3">
        <v>23100</v>
      </c>
      <c r="G167" s="3">
        <v>12000</v>
      </c>
      <c r="H167" s="1">
        <v>84</v>
      </c>
      <c r="I167" s="1">
        <v>214</v>
      </c>
      <c r="J167" s="1">
        <v>1</v>
      </c>
    </row>
    <row r="168" spans="1:10" x14ac:dyDescent="0.3">
      <c r="A168" s="1">
        <v>167</v>
      </c>
      <c r="B168" t="s">
        <v>10</v>
      </c>
      <c r="C168" s="2">
        <v>22920</v>
      </c>
      <c r="D168" s="1">
        <v>15</v>
      </c>
      <c r="E168" s="1">
        <v>3</v>
      </c>
      <c r="F168" s="3">
        <v>54900</v>
      </c>
      <c r="G168" s="3">
        <v>25500</v>
      </c>
      <c r="H168" s="1">
        <v>83</v>
      </c>
      <c r="I168" s="1">
        <v>49</v>
      </c>
      <c r="J168" s="1">
        <v>0</v>
      </c>
    </row>
    <row r="169" spans="1:10" x14ac:dyDescent="0.3">
      <c r="A169" s="1">
        <v>168</v>
      </c>
      <c r="B169" t="s">
        <v>10</v>
      </c>
      <c r="C169" s="2">
        <v>19070</v>
      </c>
      <c r="D169" s="1">
        <v>19</v>
      </c>
      <c r="E169" s="1">
        <v>3</v>
      </c>
      <c r="F169" s="3">
        <v>70875</v>
      </c>
      <c r="G169" s="3">
        <v>43500</v>
      </c>
      <c r="H169" s="1">
        <v>83</v>
      </c>
      <c r="I169" s="1">
        <v>156</v>
      </c>
      <c r="J169" s="1">
        <v>0</v>
      </c>
    </row>
    <row r="170" spans="1:10" x14ac:dyDescent="0.3">
      <c r="A170" s="1">
        <v>169</v>
      </c>
      <c r="B170" t="s">
        <v>10</v>
      </c>
      <c r="C170" s="2">
        <v>21218</v>
      </c>
      <c r="D170" s="1">
        <v>16</v>
      </c>
      <c r="E170" s="1">
        <v>3</v>
      </c>
      <c r="F170" s="3">
        <v>51250</v>
      </c>
      <c r="G170" s="3">
        <v>27480</v>
      </c>
      <c r="H170" s="1">
        <v>83</v>
      </c>
      <c r="I170" s="1">
        <v>69</v>
      </c>
      <c r="J170" s="1">
        <v>0</v>
      </c>
    </row>
    <row r="171" spans="1:10" x14ac:dyDescent="0.3">
      <c r="A171" s="1">
        <v>170</v>
      </c>
      <c r="B171" t="s">
        <v>10</v>
      </c>
      <c r="C171" s="2">
        <v>23055</v>
      </c>
      <c r="D171" s="1">
        <v>17</v>
      </c>
      <c r="E171" s="1">
        <v>3</v>
      </c>
      <c r="F171" s="3">
        <v>67500</v>
      </c>
      <c r="G171" s="3">
        <v>34980</v>
      </c>
      <c r="H171" s="1">
        <v>83</v>
      </c>
      <c r="I171" s="1">
        <v>9</v>
      </c>
      <c r="J171" s="1">
        <v>0</v>
      </c>
    </row>
    <row r="172" spans="1:10" x14ac:dyDescent="0.3">
      <c r="A172" s="1">
        <v>171</v>
      </c>
      <c r="B172" t="s">
        <v>10</v>
      </c>
      <c r="C172" s="2">
        <v>20217</v>
      </c>
      <c r="D172" s="1">
        <v>12</v>
      </c>
      <c r="E172" s="1">
        <v>1</v>
      </c>
      <c r="F172" s="3">
        <v>29340</v>
      </c>
      <c r="G172" s="3">
        <v>19500</v>
      </c>
      <c r="H172" s="1">
        <v>83</v>
      </c>
      <c r="I172" s="1">
        <v>150</v>
      </c>
      <c r="J172" s="1">
        <v>0</v>
      </c>
    </row>
    <row r="173" spans="1:10" x14ac:dyDescent="0.3">
      <c r="A173" s="1">
        <v>172</v>
      </c>
      <c r="B173" t="s">
        <v>10</v>
      </c>
      <c r="C173" s="2">
        <v>23087</v>
      </c>
      <c r="D173" s="1">
        <v>15</v>
      </c>
      <c r="E173" s="1">
        <v>1</v>
      </c>
      <c r="F173" s="3">
        <v>39600</v>
      </c>
      <c r="G173" s="3">
        <v>16500</v>
      </c>
      <c r="H173" s="1">
        <v>83</v>
      </c>
      <c r="I173" s="1">
        <v>47</v>
      </c>
      <c r="J173" s="1">
        <v>0</v>
      </c>
    </row>
    <row r="174" spans="1:10" x14ac:dyDescent="0.3">
      <c r="A174" s="1">
        <v>173</v>
      </c>
      <c r="B174" t="s">
        <v>10</v>
      </c>
      <c r="C174" s="2">
        <v>23453</v>
      </c>
      <c r="D174" s="1">
        <v>12</v>
      </c>
      <c r="E174" s="1">
        <v>1</v>
      </c>
      <c r="F174" s="3">
        <v>29100</v>
      </c>
      <c r="G174" s="3">
        <v>15000</v>
      </c>
      <c r="H174" s="1">
        <v>83</v>
      </c>
      <c r="I174" s="1">
        <v>50</v>
      </c>
      <c r="J174" s="1">
        <v>0</v>
      </c>
    </row>
    <row r="175" spans="1:10" x14ac:dyDescent="0.3">
      <c r="A175" s="1">
        <v>174</v>
      </c>
      <c r="B175" t="s">
        <v>10</v>
      </c>
      <c r="C175" s="2">
        <v>22210</v>
      </c>
      <c r="D175" s="1">
        <v>15</v>
      </c>
      <c r="E175" s="1">
        <v>1</v>
      </c>
      <c r="F175" s="3">
        <v>33150</v>
      </c>
      <c r="G175" s="3">
        <v>16500</v>
      </c>
      <c r="H175" s="1">
        <v>83</v>
      </c>
      <c r="I175" s="1">
        <v>69</v>
      </c>
      <c r="J175" s="1">
        <v>0</v>
      </c>
    </row>
    <row r="176" spans="1:10" x14ac:dyDescent="0.3">
      <c r="A176" s="1">
        <v>175</v>
      </c>
      <c r="B176" t="s">
        <v>10</v>
      </c>
      <c r="C176" s="2">
        <v>16245</v>
      </c>
      <c r="D176" s="1">
        <v>16</v>
      </c>
      <c r="E176" s="1">
        <v>3</v>
      </c>
      <c r="F176" s="3">
        <v>66750</v>
      </c>
      <c r="G176" s="3">
        <v>52500</v>
      </c>
      <c r="H176" s="1">
        <v>83</v>
      </c>
      <c r="I176" s="1">
        <v>258</v>
      </c>
      <c r="J176" s="1">
        <v>0</v>
      </c>
    </row>
    <row r="177" spans="1:10" x14ac:dyDescent="0.3">
      <c r="A177" s="1">
        <v>176</v>
      </c>
      <c r="B177" t="s">
        <v>10</v>
      </c>
      <c r="C177" s="2">
        <v>15848</v>
      </c>
      <c r="D177" s="1">
        <v>12</v>
      </c>
      <c r="E177" s="1">
        <v>2</v>
      </c>
      <c r="F177" s="3">
        <v>33750</v>
      </c>
      <c r="G177" s="3">
        <v>15000</v>
      </c>
      <c r="H177" s="1">
        <v>83</v>
      </c>
      <c r="I177" s="1">
        <v>284</v>
      </c>
      <c r="J177" s="1">
        <v>0</v>
      </c>
    </row>
    <row r="178" spans="1:10" x14ac:dyDescent="0.3">
      <c r="A178" s="1">
        <v>177</v>
      </c>
      <c r="B178" t="s">
        <v>10</v>
      </c>
      <c r="C178" s="2">
        <v>21596</v>
      </c>
      <c r="D178" s="1">
        <v>15</v>
      </c>
      <c r="E178" s="1">
        <v>1</v>
      </c>
      <c r="F178" s="3">
        <v>27300</v>
      </c>
      <c r="G178" s="3">
        <v>17250</v>
      </c>
      <c r="H178" s="1">
        <v>83</v>
      </c>
      <c r="I178" s="1">
        <v>91</v>
      </c>
      <c r="J178" s="1">
        <v>0</v>
      </c>
    </row>
    <row r="179" spans="1:10" x14ac:dyDescent="0.3">
      <c r="A179" s="1">
        <v>178</v>
      </c>
      <c r="B179" t="s">
        <v>11</v>
      </c>
      <c r="C179" s="2">
        <v>25170</v>
      </c>
      <c r="D179" s="1">
        <v>12</v>
      </c>
      <c r="E179" s="1">
        <v>1</v>
      </c>
      <c r="F179" s="3">
        <v>24000</v>
      </c>
      <c r="G179" s="3">
        <v>11250</v>
      </c>
      <c r="H179" s="1">
        <v>83</v>
      </c>
      <c r="I179" s="1">
        <v>16</v>
      </c>
      <c r="J179" s="1">
        <v>0</v>
      </c>
    </row>
    <row r="180" spans="1:10" x14ac:dyDescent="0.3">
      <c r="A180" s="1">
        <v>179</v>
      </c>
      <c r="B180" t="s">
        <v>11</v>
      </c>
      <c r="C180" s="2">
        <v>12433</v>
      </c>
      <c r="D180" s="1">
        <v>8</v>
      </c>
      <c r="E180" s="1">
        <v>1</v>
      </c>
      <c r="F180" s="3">
        <v>19800</v>
      </c>
      <c r="G180" s="3">
        <v>10200</v>
      </c>
      <c r="H180" s="1">
        <v>83</v>
      </c>
      <c r="I180" s="1">
        <v>75</v>
      </c>
      <c r="J180" s="1">
        <v>0</v>
      </c>
    </row>
    <row r="181" spans="1:10" x14ac:dyDescent="0.3">
      <c r="A181" s="1">
        <v>180</v>
      </c>
      <c r="B181" t="s">
        <v>10</v>
      </c>
      <c r="C181" s="2">
        <v>18022</v>
      </c>
      <c r="D181" s="1">
        <v>15</v>
      </c>
      <c r="E181" s="1">
        <v>1</v>
      </c>
      <c r="F181" s="3">
        <v>30600</v>
      </c>
      <c r="G181" s="3">
        <v>16500</v>
      </c>
      <c r="H181" s="1">
        <v>83</v>
      </c>
      <c r="I181" s="1">
        <v>216</v>
      </c>
      <c r="J181" s="1">
        <v>1</v>
      </c>
    </row>
    <row r="182" spans="1:10" x14ac:dyDescent="0.3">
      <c r="A182" s="1">
        <v>181</v>
      </c>
      <c r="B182" t="s">
        <v>10</v>
      </c>
      <c r="C182" s="2">
        <v>18575</v>
      </c>
      <c r="D182" s="1">
        <v>15</v>
      </c>
      <c r="E182" s="1">
        <v>1</v>
      </c>
      <c r="F182" s="3">
        <v>28950</v>
      </c>
      <c r="G182" s="3">
        <v>15000</v>
      </c>
      <c r="H182" s="1">
        <v>83</v>
      </c>
      <c r="I182" s="1">
        <v>108</v>
      </c>
      <c r="J182" s="1">
        <v>1</v>
      </c>
    </row>
    <row r="183" spans="1:10" x14ac:dyDescent="0.3">
      <c r="A183" s="1">
        <v>182</v>
      </c>
      <c r="B183" t="s">
        <v>10</v>
      </c>
      <c r="C183" s="2">
        <v>23876</v>
      </c>
      <c r="D183" s="1">
        <v>15</v>
      </c>
      <c r="E183" s="1">
        <v>1</v>
      </c>
      <c r="F183" s="3">
        <v>38400</v>
      </c>
      <c r="G183" s="3">
        <v>16500</v>
      </c>
      <c r="H183" s="1">
        <v>83</v>
      </c>
      <c r="I183" s="1">
        <v>64</v>
      </c>
      <c r="J183" s="1">
        <v>1</v>
      </c>
    </row>
    <row r="184" spans="1:10" x14ac:dyDescent="0.3">
      <c r="A184" s="1">
        <v>183</v>
      </c>
      <c r="B184" t="s">
        <v>10</v>
      </c>
      <c r="C184" s="2">
        <v>16730</v>
      </c>
      <c r="D184" s="1">
        <v>8</v>
      </c>
      <c r="E184" s="1">
        <v>2</v>
      </c>
      <c r="F184" s="3">
        <v>30750</v>
      </c>
      <c r="G184" s="3">
        <v>15000</v>
      </c>
      <c r="H184" s="1">
        <v>83</v>
      </c>
      <c r="I184" s="1">
        <v>302</v>
      </c>
      <c r="J184" s="1">
        <v>1</v>
      </c>
    </row>
    <row r="185" spans="1:10" x14ac:dyDescent="0.3">
      <c r="A185" s="1">
        <v>184</v>
      </c>
      <c r="B185" t="s">
        <v>11</v>
      </c>
      <c r="C185" s="2">
        <v>25094</v>
      </c>
      <c r="D185" s="1">
        <v>12</v>
      </c>
      <c r="E185" s="1">
        <v>1</v>
      </c>
      <c r="F185" s="3">
        <v>20400</v>
      </c>
      <c r="G185" s="3">
        <v>10950</v>
      </c>
      <c r="H185" s="1">
        <v>83</v>
      </c>
      <c r="I185" s="1">
        <v>9</v>
      </c>
      <c r="J185" s="1">
        <v>1</v>
      </c>
    </row>
    <row r="186" spans="1:10" x14ac:dyDescent="0.3">
      <c r="A186" s="1">
        <v>185</v>
      </c>
      <c r="B186" t="s">
        <v>11</v>
      </c>
      <c r="C186" s="2">
        <v>25096</v>
      </c>
      <c r="D186" s="1">
        <v>12</v>
      </c>
      <c r="E186" s="1">
        <v>1</v>
      </c>
      <c r="F186" s="3">
        <v>19200</v>
      </c>
      <c r="G186" s="3">
        <v>11100</v>
      </c>
      <c r="H186" s="1">
        <v>83</v>
      </c>
      <c r="I186" s="1">
        <v>7</v>
      </c>
      <c r="J186" s="1">
        <v>1</v>
      </c>
    </row>
    <row r="187" spans="1:10" x14ac:dyDescent="0.3">
      <c r="A187" s="1">
        <v>186</v>
      </c>
      <c r="B187" t="s">
        <v>10</v>
      </c>
      <c r="C187" s="2">
        <v>23513</v>
      </c>
      <c r="D187" s="1">
        <v>15</v>
      </c>
      <c r="E187" s="1">
        <v>1</v>
      </c>
      <c r="F187" s="3">
        <v>30150</v>
      </c>
      <c r="G187" s="3">
        <v>15750</v>
      </c>
      <c r="H187" s="1">
        <v>82</v>
      </c>
      <c r="I187" s="1">
        <v>72</v>
      </c>
      <c r="J187" s="1">
        <v>0</v>
      </c>
    </row>
    <row r="188" spans="1:10" x14ac:dyDescent="0.3">
      <c r="A188" s="1">
        <v>187</v>
      </c>
      <c r="B188" t="s">
        <v>10</v>
      </c>
      <c r="C188" s="2">
        <v>17972</v>
      </c>
      <c r="D188" s="1">
        <v>16</v>
      </c>
      <c r="E188" s="1">
        <v>1</v>
      </c>
      <c r="F188" s="3">
        <v>34620</v>
      </c>
      <c r="G188" s="3">
        <v>27750</v>
      </c>
      <c r="H188" s="1">
        <v>82</v>
      </c>
      <c r="I188" s="1">
        <v>149</v>
      </c>
      <c r="J188" s="1">
        <v>0</v>
      </c>
    </row>
    <row r="189" spans="1:10" x14ac:dyDescent="0.3">
      <c r="A189" s="1">
        <v>188</v>
      </c>
      <c r="B189" t="s">
        <v>10</v>
      </c>
      <c r="C189" s="2">
        <v>23457</v>
      </c>
      <c r="D189" s="1">
        <v>15</v>
      </c>
      <c r="E189" s="1">
        <v>1</v>
      </c>
      <c r="F189" s="3">
        <v>80000</v>
      </c>
      <c r="G189" s="3">
        <v>15750</v>
      </c>
      <c r="H189" s="1">
        <v>82</v>
      </c>
      <c r="I189" s="1">
        <v>34</v>
      </c>
      <c r="J189" s="1">
        <v>0</v>
      </c>
    </row>
    <row r="190" spans="1:10" x14ac:dyDescent="0.3">
      <c r="A190" s="1">
        <v>189</v>
      </c>
      <c r="B190" t="s">
        <v>10</v>
      </c>
      <c r="C190" s="2">
        <v>23044</v>
      </c>
      <c r="D190" s="1">
        <v>12</v>
      </c>
      <c r="E190" s="1">
        <v>1</v>
      </c>
      <c r="F190" s="3">
        <v>25350</v>
      </c>
      <c r="G190" s="3">
        <v>15000</v>
      </c>
      <c r="H190" s="1">
        <v>82</v>
      </c>
      <c r="I190" s="1">
        <v>32</v>
      </c>
      <c r="J190" s="1">
        <v>0</v>
      </c>
    </row>
    <row r="191" spans="1:10" x14ac:dyDescent="0.3">
      <c r="A191" s="1">
        <v>190</v>
      </c>
      <c r="B191" t="s">
        <v>10</v>
      </c>
      <c r="C191" s="2">
        <v>23240</v>
      </c>
      <c r="D191" s="1">
        <v>12</v>
      </c>
      <c r="E191" s="1">
        <v>1</v>
      </c>
      <c r="F191" s="3">
        <v>29850</v>
      </c>
      <c r="G191" s="3">
        <v>15750</v>
      </c>
      <c r="H191" s="1">
        <v>82</v>
      </c>
      <c r="I191" s="1">
        <v>85</v>
      </c>
      <c r="J191" s="1">
        <v>0</v>
      </c>
    </row>
    <row r="192" spans="1:10" x14ac:dyDescent="0.3">
      <c r="A192" s="1">
        <v>191</v>
      </c>
      <c r="B192" t="s">
        <v>11</v>
      </c>
      <c r="C192" s="2">
        <v>17309</v>
      </c>
      <c r="D192" s="1">
        <v>12</v>
      </c>
      <c r="E192" s="1">
        <v>1</v>
      </c>
      <c r="F192" s="3">
        <v>24000</v>
      </c>
      <c r="G192" s="3">
        <v>13800</v>
      </c>
      <c r="H192" s="1">
        <v>82</v>
      </c>
      <c r="I192" s="1">
        <v>97</v>
      </c>
      <c r="J192" s="1">
        <v>0</v>
      </c>
    </row>
    <row r="193" spans="1:10" x14ac:dyDescent="0.3">
      <c r="A193" s="1">
        <v>192</v>
      </c>
      <c r="B193" t="s">
        <v>11</v>
      </c>
      <c r="C193" s="2">
        <v>13042</v>
      </c>
      <c r="D193" s="1">
        <v>15</v>
      </c>
      <c r="E193" s="1">
        <v>1</v>
      </c>
      <c r="F193" s="3">
        <v>27750</v>
      </c>
      <c r="G193" s="3">
        <v>19500</v>
      </c>
      <c r="H193" s="1">
        <v>82</v>
      </c>
      <c r="I193" s="1">
        <v>265</v>
      </c>
      <c r="J193" s="1">
        <v>0</v>
      </c>
    </row>
    <row r="194" spans="1:10" x14ac:dyDescent="0.3">
      <c r="A194" s="1">
        <v>193</v>
      </c>
      <c r="B194" t="s">
        <v>11</v>
      </c>
      <c r="C194" s="2">
        <v>15414</v>
      </c>
      <c r="D194" s="1">
        <v>8</v>
      </c>
      <c r="E194" s="1">
        <v>1</v>
      </c>
      <c r="F194" s="3">
        <v>22350</v>
      </c>
      <c r="G194" s="3">
        <v>10200</v>
      </c>
      <c r="H194" s="1">
        <v>82</v>
      </c>
      <c r="I194" s="1">
        <v>48</v>
      </c>
      <c r="J194" s="1">
        <v>0</v>
      </c>
    </row>
    <row r="195" spans="1:10" x14ac:dyDescent="0.3">
      <c r="A195" s="1">
        <v>194</v>
      </c>
      <c r="B195" t="s">
        <v>11</v>
      </c>
      <c r="C195" s="2">
        <v>12743</v>
      </c>
      <c r="D195" s="1">
        <v>12</v>
      </c>
      <c r="E195" s="1">
        <v>1</v>
      </c>
      <c r="F195" s="3">
        <v>16200</v>
      </c>
      <c r="G195" s="3">
        <v>10200</v>
      </c>
      <c r="H195" s="1">
        <v>82</v>
      </c>
      <c r="I195" s="1">
        <v>0</v>
      </c>
      <c r="J195" s="1">
        <v>0</v>
      </c>
    </row>
    <row r="196" spans="1:10" x14ac:dyDescent="0.3">
      <c r="A196" s="1">
        <v>195</v>
      </c>
      <c r="B196" t="s">
        <v>11</v>
      </c>
      <c r="C196" s="2">
        <v>24758</v>
      </c>
      <c r="D196" s="1">
        <v>15</v>
      </c>
      <c r="E196" s="1">
        <v>1</v>
      </c>
      <c r="F196" s="3">
        <v>21900</v>
      </c>
      <c r="G196" s="3">
        <v>12750</v>
      </c>
      <c r="H196" s="1">
        <v>82</v>
      </c>
      <c r="I196" s="1">
        <v>0</v>
      </c>
      <c r="J196" s="1">
        <v>0</v>
      </c>
    </row>
    <row r="197" spans="1:10" x14ac:dyDescent="0.3">
      <c r="A197" s="1">
        <v>196</v>
      </c>
      <c r="B197" t="s">
        <v>11</v>
      </c>
      <c r="C197" s="2">
        <v>23549</v>
      </c>
      <c r="D197" s="1">
        <v>16</v>
      </c>
      <c r="E197" s="1">
        <v>1</v>
      </c>
      <c r="F197" s="3">
        <v>23250</v>
      </c>
      <c r="G197" s="3">
        <v>15750</v>
      </c>
      <c r="H197" s="1">
        <v>82</v>
      </c>
      <c r="I197" s="1">
        <v>4</v>
      </c>
      <c r="J197" s="1">
        <v>0</v>
      </c>
    </row>
    <row r="198" spans="1:10" x14ac:dyDescent="0.3">
      <c r="A198" s="1">
        <v>197</v>
      </c>
      <c r="B198" t="s">
        <v>11</v>
      </c>
      <c r="C198" s="2">
        <v>23940</v>
      </c>
      <c r="D198" s="1">
        <v>12</v>
      </c>
      <c r="E198" s="1">
        <v>1</v>
      </c>
      <c r="F198" s="3">
        <v>33900</v>
      </c>
      <c r="G198" s="3">
        <v>12000</v>
      </c>
      <c r="H198" s="1">
        <v>82</v>
      </c>
      <c r="I198" s="1">
        <v>11</v>
      </c>
      <c r="J198" s="1">
        <v>0</v>
      </c>
    </row>
    <row r="199" spans="1:10" x14ac:dyDescent="0.3">
      <c r="A199" s="1">
        <v>198</v>
      </c>
      <c r="B199" t="s">
        <v>11</v>
      </c>
      <c r="C199" s="2">
        <v>23275</v>
      </c>
      <c r="D199" s="1">
        <v>15</v>
      </c>
      <c r="E199" s="1">
        <v>1</v>
      </c>
      <c r="F199" s="3">
        <v>25650</v>
      </c>
      <c r="G199" s="3">
        <v>14250</v>
      </c>
      <c r="H199" s="1">
        <v>82</v>
      </c>
      <c r="I199" s="1">
        <v>51</v>
      </c>
      <c r="J199" s="1">
        <v>0</v>
      </c>
    </row>
    <row r="200" spans="1:10" x14ac:dyDescent="0.3">
      <c r="A200" s="1">
        <v>199</v>
      </c>
      <c r="B200" t="s">
        <v>11</v>
      </c>
      <c r="C200" s="2">
        <v>14844</v>
      </c>
      <c r="D200" s="1">
        <v>12</v>
      </c>
      <c r="E200" s="1">
        <v>1</v>
      </c>
      <c r="F200" s="3">
        <v>17250</v>
      </c>
      <c r="G200" s="3">
        <v>10200</v>
      </c>
      <c r="H200" s="1">
        <v>82</v>
      </c>
      <c r="I200" s="1">
        <v>358</v>
      </c>
      <c r="J200" s="1">
        <v>0</v>
      </c>
    </row>
    <row r="201" spans="1:10" x14ac:dyDescent="0.3">
      <c r="A201" s="1">
        <v>200</v>
      </c>
      <c r="B201" t="s">
        <v>10</v>
      </c>
      <c r="C201" s="2">
        <v>12454</v>
      </c>
      <c r="D201" s="1">
        <v>15</v>
      </c>
      <c r="E201" s="1">
        <v>1</v>
      </c>
      <c r="F201" s="3">
        <v>22500</v>
      </c>
      <c r="G201" s="3">
        <v>15000</v>
      </c>
      <c r="H201" s="1">
        <v>82</v>
      </c>
      <c r="I201" s="1">
        <v>371</v>
      </c>
      <c r="J201" s="1">
        <v>1</v>
      </c>
    </row>
    <row r="202" spans="1:10" x14ac:dyDescent="0.3">
      <c r="A202" s="1">
        <v>201</v>
      </c>
      <c r="B202" t="s">
        <v>10</v>
      </c>
      <c r="C202" s="2">
        <v>23751</v>
      </c>
      <c r="D202" s="1">
        <v>16</v>
      </c>
      <c r="E202" s="1">
        <v>3</v>
      </c>
      <c r="F202" s="3">
        <v>40200</v>
      </c>
      <c r="G202" s="3">
        <v>21000</v>
      </c>
      <c r="H202" s="1">
        <v>81</v>
      </c>
      <c r="I202" s="1">
        <v>3</v>
      </c>
      <c r="J202" s="1">
        <v>0</v>
      </c>
    </row>
    <row r="203" spans="1:10" x14ac:dyDescent="0.3">
      <c r="A203" s="1">
        <v>202</v>
      </c>
      <c r="B203" t="s">
        <v>10</v>
      </c>
      <c r="C203" s="2">
        <v>23267</v>
      </c>
      <c r="D203" s="1">
        <v>19</v>
      </c>
      <c r="E203" s="1">
        <v>3</v>
      </c>
      <c r="F203" s="3">
        <v>55500</v>
      </c>
      <c r="G203" s="3">
        <v>33750</v>
      </c>
      <c r="H203" s="1">
        <v>81</v>
      </c>
      <c r="I203" s="1">
        <v>62</v>
      </c>
      <c r="J203" s="1">
        <v>0</v>
      </c>
    </row>
    <row r="204" spans="1:10" x14ac:dyDescent="0.3">
      <c r="A204" s="1">
        <v>203</v>
      </c>
      <c r="B204" t="s">
        <v>10</v>
      </c>
      <c r="C204" s="2">
        <v>23213</v>
      </c>
      <c r="D204" s="1">
        <v>15</v>
      </c>
      <c r="E204" s="1">
        <v>1</v>
      </c>
      <c r="F204" s="3">
        <v>26550</v>
      </c>
      <c r="G204" s="3">
        <v>15000</v>
      </c>
      <c r="H204" s="1">
        <v>81</v>
      </c>
      <c r="I204" s="1">
        <v>52</v>
      </c>
      <c r="J204" s="1">
        <v>0</v>
      </c>
    </row>
    <row r="205" spans="1:10" x14ac:dyDescent="0.3">
      <c r="A205" s="1">
        <v>204</v>
      </c>
      <c r="B205" t="s">
        <v>10</v>
      </c>
      <c r="C205" s="2">
        <v>22232</v>
      </c>
      <c r="D205" s="1">
        <v>15</v>
      </c>
      <c r="E205" s="1">
        <v>1</v>
      </c>
      <c r="F205" s="3">
        <v>50550</v>
      </c>
      <c r="G205" s="3">
        <v>19500</v>
      </c>
      <c r="H205" s="1">
        <v>81</v>
      </c>
      <c r="I205" s="1">
        <v>44</v>
      </c>
      <c r="J205" s="1">
        <v>0</v>
      </c>
    </row>
    <row r="206" spans="1:10" x14ac:dyDescent="0.3">
      <c r="A206" s="1">
        <v>205</v>
      </c>
      <c r="B206" t="s">
        <v>10</v>
      </c>
      <c r="C206" s="2">
        <v>22900</v>
      </c>
      <c r="D206" s="1">
        <v>19</v>
      </c>
      <c r="E206" s="1">
        <v>3</v>
      </c>
      <c r="F206" s="3">
        <v>75000</v>
      </c>
      <c r="G206" s="3">
        <v>31500</v>
      </c>
      <c r="H206" s="1">
        <v>81</v>
      </c>
      <c r="I206" s="1">
        <v>13</v>
      </c>
      <c r="J206" s="1">
        <v>0</v>
      </c>
    </row>
    <row r="207" spans="1:10" x14ac:dyDescent="0.3">
      <c r="A207" s="1">
        <v>206</v>
      </c>
      <c r="B207" t="s">
        <v>11</v>
      </c>
      <c r="C207" s="2">
        <v>25325</v>
      </c>
      <c r="D207" s="1">
        <v>8</v>
      </c>
      <c r="E207" s="1">
        <v>1</v>
      </c>
      <c r="F207" s="3">
        <v>27450</v>
      </c>
      <c r="G207" s="3">
        <v>12000</v>
      </c>
      <c r="H207" s="1">
        <v>81</v>
      </c>
      <c r="I207" s="1">
        <v>9</v>
      </c>
      <c r="J207" s="1">
        <v>0</v>
      </c>
    </row>
    <row r="208" spans="1:10" x14ac:dyDescent="0.3">
      <c r="A208" s="1">
        <v>207</v>
      </c>
      <c r="B208" t="s">
        <v>11</v>
      </c>
      <c r="C208" s="2">
        <v>25358</v>
      </c>
      <c r="D208" s="1">
        <v>12</v>
      </c>
      <c r="E208" s="1">
        <v>1</v>
      </c>
      <c r="F208" s="3">
        <v>22650</v>
      </c>
      <c r="G208" s="3">
        <v>11250</v>
      </c>
      <c r="H208" s="1">
        <v>81</v>
      </c>
      <c r="I208" s="1">
        <v>0</v>
      </c>
      <c r="J208" s="1">
        <v>0</v>
      </c>
    </row>
    <row r="209" spans="1:10" x14ac:dyDescent="0.3">
      <c r="A209" s="1">
        <v>208</v>
      </c>
      <c r="B209" t="s">
        <v>11</v>
      </c>
      <c r="C209" s="2">
        <v>25369</v>
      </c>
      <c r="D209" s="1">
        <v>12</v>
      </c>
      <c r="E209" s="1">
        <v>1</v>
      </c>
      <c r="F209" s="3">
        <v>27300</v>
      </c>
      <c r="G209" s="3">
        <v>11250</v>
      </c>
      <c r="H209" s="1">
        <v>81</v>
      </c>
      <c r="I209" s="1">
        <v>5</v>
      </c>
      <c r="J209" s="1">
        <v>0</v>
      </c>
    </row>
    <row r="210" spans="1:10" x14ac:dyDescent="0.3">
      <c r="A210" s="1">
        <v>209</v>
      </c>
      <c r="B210" t="s">
        <v>11</v>
      </c>
      <c r="C210" s="2">
        <v>25460</v>
      </c>
      <c r="D210" s="1">
        <v>12</v>
      </c>
      <c r="E210" s="1">
        <v>1</v>
      </c>
      <c r="F210" s="3">
        <v>27750</v>
      </c>
      <c r="G210" s="3">
        <v>11225</v>
      </c>
      <c r="H210" s="1">
        <v>81</v>
      </c>
      <c r="I210" s="1">
        <v>5</v>
      </c>
      <c r="J210" s="1">
        <v>0</v>
      </c>
    </row>
    <row r="211" spans="1:10" x14ac:dyDescent="0.3">
      <c r="A211" s="1">
        <v>210</v>
      </c>
      <c r="B211" t="s">
        <v>10</v>
      </c>
      <c r="C211" s="2">
        <v>25271</v>
      </c>
      <c r="D211" s="1">
        <v>8</v>
      </c>
      <c r="E211" s="1">
        <v>1</v>
      </c>
      <c r="F211" s="3">
        <v>21300</v>
      </c>
      <c r="G211" s="3">
        <v>11550</v>
      </c>
      <c r="H211" s="1">
        <v>80</v>
      </c>
      <c r="I211" s="1">
        <v>24</v>
      </c>
      <c r="J211" s="1">
        <v>0</v>
      </c>
    </row>
    <row r="212" spans="1:10" x14ac:dyDescent="0.3">
      <c r="A212" s="1">
        <v>211</v>
      </c>
      <c r="B212" t="s">
        <v>11</v>
      </c>
      <c r="C212" s="2">
        <v>25277</v>
      </c>
      <c r="D212" s="1">
        <v>12</v>
      </c>
      <c r="E212" s="1">
        <v>1</v>
      </c>
      <c r="F212" s="3">
        <v>19650</v>
      </c>
      <c r="G212" s="3">
        <v>11250</v>
      </c>
      <c r="H212" s="1">
        <v>80</v>
      </c>
      <c r="I212" s="1">
        <v>5</v>
      </c>
      <c r="J212" s="1">
        <v>0</v>
      </c>
    </row>
    <row r="213" spans="1:10" x14ac:dyDescent="0.3">
      <c r="A213" s="1">
        <v>212</v>
      </c>
      <c r="B213" t="s">
        <v>11</v>
      </c>
      <c r="C213" s="2">
        <v>25254</v>
      </c>
      <c r="D213" s="1">
        <v>12</v>
      </c>
      <c r="E213" s="1">
        <v>1</v>
      </c>
      <c r="F213" s="3">
        <v>22350</v>
      </c>
      <c r="G213" s="3">
        <v>11250</v>
      </c>
      <c r="H213" s="1">
        <v>80</v>
      </c>
      <c r="I213" s="1">
        <v>5</v>
      </c>
      <c r="J213" s="1">
        <v>0</v>
      </c>
    </row>
    <row r="214" spans="1:10" x14ac:dyDescent="0.3">
      <c r="A214" s="1">
        <v>213</v>
      </c>
      <c r="B214" t="s">
        <v>11</v>
      </c>
      <c r="C214" s="2">
        <v>25289</v>
      </c>
      <c r="D214" s="1">
        <v>12</v>
      </c>
      <c r="E214" s="1">
        <v>1</v>
      </c>
      <c r="F214" s="3">
        <v>23400</v>
      </c>
      <c r="G214" s="3">
        <v>11250</v>
      </c>
      <c r="H214" s="1">
        <v>80</v>
      </c>
      <c r="I214" s="1">
        <v>18</v>
      </c>
      <c r="J214" s="1">
        <v>0</v>
      </c>
    </row>
    <row r="215" spans="1:10" x14ac:dyDescent="0.3">
      <c r="A215" s="1">
        <v>214</v>
      </c>
      <c r="B215" t="s">
        <v>11</v>
      </c>
      <c r="C215" s="2">
        <v>25009</v>
      </c>
      <c r="D215" s="1">
        <v>12</v>
      </c>
      <c r="E215" s="1">
        <v>1</v>
      </c>
      <c r="F215" s="3">
        <v>24300</v>
      </c>
      <c r="G215" s="3">
        <v>10950</v>
      </c>
      <c r="H215" s="1">
        <v>80</v>
      </c>
      <c r="I215" s="1">
        <v>8</v>
      </c>
      <c r="J215" s="1">
        <v>0</v>
      </c>
    </row>
    <row r="216" spans="1:10" x14ac:dyDescent="0.3">
      <c r="A216" s="1">
        <v>215</v>
      </c>
      <c r="B216" t="s">
        <v>11</v>
      </c>
      <c r="C216" s="2">
        <v>25124</v>
      </c>
      <c r="D216" s="1">
        <v>12</v>
      </c>
      <c r="E216" s="1">
        <v>1</v>
      </c>
      <c r="F216" s="3">
        <v>28500</v>
      </c>
      <c r="G216" s="3">
        <v>11250</v>
      </c>
      <c r="H216" s="1">
        <v>80</v>
      </c>
      <c r="I216" s="1">
        <v>4</v>
      </c>
      <c r="J216" s="1">
        <v>0</v>
      </c>
    </row>
    <row r="217" spans="1:10" x14ac:dyDescent="0.3">
      <c r="A217" s="1">
        <v>216</v>
      </c>
      <c r="B217" t="s">
        <v>11</v>
      </c>
      <c r="C217" s="2">
        <v>25219</v>
      </c>
      <c r="D217" s="1">
        <v>12</v>
      </c>
      <c r="E217" s="1">
        <v>1</v>
      </c>
      <c r="F217" s="3">
        <v>19950</v>
      </c>
      <c r="G217" s="3">
        <v>11250</v>
      </c>
      <c r="H217" s="1">
        <v>80</v>
      </c>
      <c r="I217" s="1">
        <v>8</v>
      </c>
      <c r="J217" s="1">
        <v>0</v>
      </c>
    </row>
    <row r="218" spans="1:10" x14ac:dyDescent="0.3">
      <c r="A218" s="1">
        <v>217</v>
      </c>
      <c r="B218" t="s">
        <v>11</v>
      </c>
      <c r="C218" s="2">
        <v>25470</v>
      </c>
      <c r="D218" s="1">
        <v>12</v>
      </c>
      <c r="E218" s="1">
        <v>1</v>
      </c>
      <c r="F218" s="3">
        <v>23400</v>
      </c>
      <c r="G218" s="3">
        <v>11250</v>
      </c>
      <c r="H218" s="1">
        <v>80</v>
      </c>
      <c r="I218" s="1">
        <v>0</v>
      </c>
      <c r="J218" s="1">
        <v>0</v>
      </c>
    </row>
    <row r="219" spans="1:10" x14ac:dyDescent="0.3">
      <c r="A219" s="1">
        <v>218</v>
      </c>
      <c r="B219" t="s">
        <v>11</v>
      </c>
      <c r="C219" s="2">
        <v>23291</v>
      </c>
      <c r="D219" s="1">
        <v>16</v>
      </c>
      <c r="E219" s="1">
        <v>1</v>
      </c>
      <c r="F219" s="3">
        <v>34500</v>
      </c>
      <c r="G219" s="3">
        <v>17250</v>
      </c>
      <c r="H219" s="1">
        <v>80</v>
      </c>
      <c r="I219" s="1">
        <v>3</v>
      </c>
      <c r="J219" s="1">
        <v>0</v>
      </c>
    </row>
    <row r="220" spans="1:10" x14ac:dyDescent="0.3">
      <c r="A220" s="1">
        <v>219</v>
      </c>
      <c r="B220" t="s">
        <v>11</v>
      </c>
      <c r="C220" s="2">
        <v>25439</v>
      </c>
      <c r="D220" s="1">
        <v>12</v>
      </c>
      <c r="E220" s="1">
        <v>1</v>
      </c>
      <c r="F220" s="3">
        <v>18150</v>
      </c>
      <c r="G220" s="3">
        <v>10950</v>
      </c>
      <c r="H220" s="1">
        <v>80</v>
      </c>
      <c r="I220" s="1">
        <v>0</v>
      </c>
      <c r="J220" s="1">
        <v>0</v>
      </c>
    </row>
    <row r="221" spans="1:10" x14ac:dyDescent="0.3">
      <c r="A221" s="1">
        <v>220</v>
      </c>
      <c r="B221" t="s">
        <v>10</v>
      </c>
      <c r="C221" s="2">
        <v>13286</v>
      </c>
      <c r="D221" s="1">
        <v>12</v>
      </c>
      <c r="E221" s="1">
        <v>1</v>
      </c>
      <c r="F221" s="3">
        <v>22350</v>
      </c>
      <c r="G221" s="3">
        <v>15000</v>
      </c>
      <c r="H221" s="1">
        <v>80</v>
      </c>
      <c r="I221" s="1">
        <v>272</v>
      </c>
      <c r="J221" s="1">
        <v>1</v>
      </c>
    </row>
    <row r="222" spans="1:10" x14ac:dyDescent="0.3">
      <c r="A222" s="1">
        <v>221</v>
      </c>
      <c r="B222" t="s">
        <v>10</v>
      </c>
      <c r="C222" s="2">
        <v>24183</v>
      </c>
      <c r="D222" s="1">
        <v>15</v>
      </c>
      <c r="E222" s="1">
        <v>1</v>
      </c>
      <c r="F222" s="3">
        <v>40200</v>
      </c>
      <c r="G222" s="3">
        <v>17250</v>
      </c>
      <c r="H222" s="1">
        <v>79</v>
      </c>
      <c r="I222" s="1">
        <v>38</v>
      </c>
      <c r="J222" s="1">
        <v>0</v>
      </c>
    </row>
    <row r="223" spans="1:10" x14ac:dyDescent="0.3">
      <c r="A223" s="1">
        <v>222</v>
      </c>
      <c r="B223" t="s">
        <v>10</v>
      </c>
      <c r="C223" s="2">
        <v>17469</v>
      </c>
      <c r="D223" s="1">
        <v>15</v>
      </c>
      <c r="E223" s="1">
        <v>1</v>
      </c>
      <c r="F223" s="3">
        <v>28650</v>
      </c>
      <c r="G223" s="3">
        <v>18000</v>
      </c>
      <c r="H223" s="1">
        <v>79</v>
      </c>
      <c r="I223" s="1">
        <v>261</v>
      </c>
      <c r="J223" s="1">
        <v>0</v>
      </c>
    </row>
    <row r="224" spans="1:10" x14ac:dyDescent="0.3">
      <c r="A224" s="1">
        <v>223</v>
      </c>
      <c r="B224" t="s">
        <v>10</v>
      </c>
      <c r="C224" s="2">
        <v>23247</v>
      </c>
      <c r="D224" s="1">
        <v>15</v>
      </c>
      <c r="E224" s="1">
        <v>1</v>
      </c>
      <c r="F224" s="3">
        <v>27750</v>
      </c>
      <c r="G224" s="3">
        <v>16500</v>
      </c>
      <c r="H224" s="1">
        <v>79</v>
      </c>
      <c r="I224" s="1">
        <v>55</v>
      </c>
      <c r="J224" s="1">
        <v>0</v>
      </c>
    </row>
    <row r="225" spans="1:10" x14ac:dyDescent="0.3">
      <c r="A225" s="1">
        <v>224</v>
      </c>
      <c r="B225" t="s">
        <v>10</v>
      </c>
      <c r="C225" s="2">
        <v>23545</v>
      </c>
      <c r="D225" s="1">
        <v>18</v>
      </c>
      <c r="E225" s="1">
        <v>1</v>
      </c>
      <c r="F225" s="3">
        <v>66875</v>
      </c>
      <c r="G225" s="3">
        <v>31980</v>
      </c>
      <c r="H225" s="1">
        <v>79</v>
      </c>
      <c r="I225" s="1">
        <v>30</v>
      </c>
      <c r="J225" s="1">
        <v>0</v>
      </c>
    </row>
    <row r="226" spans="1:10" x14ac:dyDescent="0.3">
      <c r="A226" s="1">
        <v>225</v>
      </c>
      <c r="B226" t="s">
        <v>10</v>
      </c>
      <c r="C226" s="2">
        <v>14561</v>
      </c>
      <c r="D226" s="1">
        <v>12</v>
      </c>
      <c r="E226" s="1">
        <v>2</v>
      </c>
      <c r="F226" s="3">
        <v>30000</v>
      </c>
      <c r="G226" s="3">
        <v>15750</v>
      </c>
      <c r="H226" s="1">
        <v>79</v>
      </c>
      <c r="I226" s="1">
        <v>308</v>
      </c>
      <c r="J226" s="1">
        <v>0</v>
      </c>
    </row>
    <row r="227" spans="1:10" x14ac:dyDescent="0.3">
      <c r="A227" s="1">
        <v>226</v>
      </c>
      <c r="B227" t="s">
        <v>10</v>
      </c>
      <c r="C227" s="2">
        <v>23593</v>
      </c>
      <c r="D227" s="1">
        <v>16</v>
      </c>
      <c r="E227" s="1">
        <v>3</v>
      </c>
      <c r="F227" s="3">
        <v>83750</v>
      </c>
      <c r="G227" s="3">
        <v>21750</v>
      </c>
      <c r="H227" s="1">
        <v>79</v>
      </c>
      <c r="I227" s="1">
        <v>12</v>
      </c>
      <c r="J227" s="1">
        <v>0</v>
      </c>
    </row>
    <row r="228" spans="1:10" x14ac:dyDescent="0.3">
      <c r="A228" s="1">
        <v>227</v>
      </c>
      <c r="B228" t="s">
        <v>10</v>
      </c>
      <c r="C228" s="2">
        <v>23025</v>
      </c>
      <c r="D228" s="1">
        <v>12</v>
      </c>
      <c r="E228" s="1">
        <v>1</v>
      </c>
      <c r="F228" s="3">
        <v>33900</v>
      </c>
      <c r="G228" s="3">
        <v>16500</v>
      </c>
      <c r="H228" s="1">
        <v>79</v>
      </c>
      <c r="I228" s="1">
        <v>94</v>
      </c>
      <c r="J228" s="1">
        <v>0</v>
      </c>
    </row>
    <row r="229" spans="1:10" x14ac:dyDescent="0.3">
      <c r="A229" s="1">
        <v>228</v>
      </c>
      <c r="B229" t="s">
        <v>10</v>
      </c>
      <c r="C229" s="2">
        <v>23873</v>
      </c>
      <c r="D229" s="1">
        <v>16</v>
      </c>
      <c r="E229" s="1">
        <v>3</v>
      </c>
      <c r="F229" s="3">
        <v>56500</v>
      </c>
      <c r="G229" s="3">
        <v>21000</v>
      </c>
      <c r="H229" s="1">
        <v>79</v>
      </c>
      <c r="I229" s="1">
        <v>12</v>
      </c>
      <c r="J229" s="1">
        <v>0</v>
      </c>
    </row>
    <row r="230" spans="1:10" x14ac:dyDescent="0.3">
      <c r="A230" s="1">
        <v>229</v>
      </c>
      <c r="B230" t="s">
        <v>11</v>
      </c>
      <c r="C230" s="2">
        <v>23882</v>
      </c>
      <c r="D230" s="1">
        <v>16</v>
      </c>
      <c r="E230" s="1">
        <v>3</v>
      </c>
      <c r="F230" s="3">
        <v>43000</v>
      </c>
      <c r="G230" s="3">
        <v>17490</v>
      </c>
      <c r="H230" s="1">
        <v>79</v>
      </c>
      <c r="I230" s="1">
        <v>20</v>
      </c>
      <c r="J230" s="1">
        <v>0</v>
      </c>
    </row>
    <row r="231" spans="1:10" x14ac:dyDescent="0.3">
      <c r="A231" s="1">
        <v>230</v>
      </c>
      <c r="B231" t="s">
        <v>11</v>
      </c>
      <c r="C231" s="2">
        <v>15869</v>
      </c>
      <c r="D231" s="1">
        <v>8</v>
      </c>
      <c r="E231" s="1">
        <v>1</v>
      </c>
      <c r="F231" s="3">
        <v>20850</v>
      </c>
      <c r="G231" s="3">
        <v>12000</v>
      </c>
      <c r="H231" s="1">
        <v>79</v>
      </c>
      <c r="I231" s="1">
        <v>70</v>
      </c>
      <c r="J231" s="1">
        <v>0</v>
      </c>
    </row>
    <row r="232" spans="1:10" x14ac:dyDescent="0.3">
      <c r="A232" s="1">
        <v>231</v>
      </c>
      <c r="B232" t="s">
        <v>11</v>
      </c>
      <c r="C232" s="2">
        <v>25309</v>
      </c>
      <c r="D232" s="1">
        <v>12</v>
      </c>
      <c r="E232" s="1">
        <v>1</v>
      </c>
      <c r="F232" s="3">
        <v>24450</v>
      </c>
      <c r="G232" s="3">
        <v>12000</v>
      </c>
      <c r="H232" s="1">
        <v>79</v>
      </c>
      <c r="I232" s="1">
        <v>8</v>
      </c>
      <c r="J232" s="1">
        <v>0</v>
      </c>
    </row>
    <row r="233" spans="1:10" x14ac:dyDescent="0.3">
      <c r="A233" s="1">
        <v>232</v>
      </c>
      <c r="B233" t="s">
        <v>11</v>
      </c>
      <c r="C233" s="2">
        <v>25496</v>
      </c>
      <c r="D233" s="1">
        <v>12</v>
      </c>
      <c r="E233" s="1">
        <v>1</v>
      </c>
      <c r="F233" s="3">
        <v>24750</v>
      </c>
      <c r="G233" s="3">
        <v>10950</v>
      </c>
      <c r="H233" s="1">
        <v>79</v>
      </c>
      <c r="I233" s="1">
        <v>5</v>
      </c>
      <c r="J233" s="1">
        <v>0</v>
      </c>
    </row>
    <row r="234" spans="1:10" x14ac:dyDescent="0.3">
      <c r="A234" s="1">
        <v>233</v>
      </c>
      <c r="B234" t="s">
        <v>10</v>
      </c>
      <c r="C234" s="2">
        <v>16486</v>
      </c>
      <c r="D234" s="1">
        <v>8</v>
      </c>
      <c r="E234" s="1">
        <v>2</v>
      </c>
      <c r="F234" s="3">
        <v>34500</v>
      </c>
      <c r="G234" s="3">
        <v>15750</v>
      </c>
      <c r="H234" s="1">
        <v>79</v>
      </c>
      <c r="I234" s="1">
        <v>246</v>
      </c>
      <c r="J234" s="1">
        <v>1</v>
      </c>
    </row>
    <row r="235" spans="1:10" x14ac:dyDescent="0.3">
      <c r="A235" s="1">
        <v>234</v>
      </c>
      <c r="B235" t="s">
        <v>10</v>
      </c>
      <c r="C235" s="2">
        <v>23269</v>
      </c>
      <c r="D235" s="1">
        <v>14</v>
      </c>
      <c r="E235" s="1">
        <v>1</v>
      </c>
      <c r="F235" s="3">
        <v>27900</v>
      </c>
      <c r="G235" s="3">
        <v>15000</v>
      </c>
      <c r="H235" s="1">
        <v>79</v>
      </c>
      <c r="I235" s="1">
        <v>47</v>
      </c>
      <c r="J235" s="1">
        <v>1</v>
      </c>
    </row>
    <row r="236" spans="1:10" x14ac:dyDescent="0.3">
      <c r="A236" s="1">
        <v>235</v>
      </c>
      <c r="B236" t="s">
        <v>10</v>
      </c>
      <c r="C236" s="2">
        <v>23067</v>
      </c>
      <c r="D236" s="1">
        <v>19</v>
      </c>
      <c r="E236" s="1">
        <v>3</v>
      </c>
      <c r="F236" s="3">
        <v>68125</v>
      </c>
      <c r="G236" s="3">
        <v>32010</v>
      </c>
      <c r="H236" s="1">
        <v>78</v>
      </c>
      <c r="I236" s="1">
        <v>35</v>
      </c>
      <c r="J236" s="1">
        <v>0</v>
      </c>
    </row>
    <row r="237" spans="1:10" x14ac:dyDescent="0.3">
      <c r="A237" s="1">
        <v>236</v>
      </c>
      <c r="B237" t="s">
        <v>10</v>
      </c>
      <c r="C237" s="2">
        <v>22564</v>
      </c>
      <c r="D237" s="1">
        <v>19</v>
      </c>
      <c r="E237" s="1">
        <v>3</v>
      </c>
      <c r="F237" s="3">
        <v>73500</v>
      </c>
      <c r="G237" s="3">
        <v>33000</v>
      </c>
      <c r="H237" s="1">
        <v>78</v>
      </c>
      <c r="I237" s="1">
        <v>45</v>
      </c>
      <c r="J237" s="1">
        <v>0</v>
      </c>
    </row>
    <row r="238" spans="1:10" x14ac:dyDescent="0.3">
      <c r="A238" s="1">
        <v>237</v>
      </c>
      <c r="B238" t="s">
        <v>10</v>
      </c>
      <c r="C238" s="2">
        <v>11106</v>
      </c>
      <c r="D238" s="1">
        <v>8</v>
      </c>
      <c r="E238" s="1">
        <v>2</v>
      </c>
      <c r="F238" s="3">
        <v>30750</v>
      </c>
      <c r="G238" s="3">
        <v>15750</v>
      </c>
      <c r="H238" s="1">
        <v>78</v>
      </c>
      <c r="I238" s="1">
        <v>429</v>
      </c>
      <c r="J238" s="1">
        <v>0</v>
      </c>
    </row>
    <row r="239" spans="1:10" x14ac:dyDescent="0.3">
      <c r="A239" s="1">
        <v>238</v>
      </c>
      <c r="B239" t="s">
        <v>10</v>
      </c>
      <c r="C239" s="2">
        <v>21251</v>
      </c>
      <c r="D239" s="1">
        <v>15</v>
      </c>
      <c r="E239" s="1">
        <v>3</v>
      </c>
      <c r="F239" s="3">
        <v>40050</v>
      </c>
      <c r="G239" s="3">
        <v>25500</v>
      </c>
      <c r="H239" s="1">
        <v>78</v>
      </c>
      <c r="I239" s="1">
        <v>133</v>
      </c>
      <c r="J239" s="1">
        <v>0</v>
      </c>
    </row>
    <row r="240" spans="1:10" x14ac:dyDescent="0.3">
      <c r="A240" s="1">
        <v>239</v>
      </c>
      <c r="B240" t="s">
        <v>10</v>
      </c>
      <c r="C240" s="2">
        <v>23760</v>
      </c>
      <c r="D240" s="1">
        <v>16</v>
      </c>
      <c r="E240" s="1">
        <v>1</v>
      </c>
      <c r="F240" s="3">
        <v>40350</v>
      </c>
      <c r="G240" s="3">
        <v>19500</v>
      </c>
      <c r="H240" s="1">
        <v>78</v>
      </c>
      <c r="I240" s="1">
        <v>20</v>
      </c>
      <c r="J240" s="1">
        <v>0</v>
      </c>
    </row>
    <row r="241" spans="1:10" x14ac:dyDescent="0.3">
      <c r="A241" s="1">
        <v>240</v>
      </c>
      <c r="B241" t="s">
        <v>10</v>
      </c>
      <c r="C241" s="2">
        <v>20111</v>
      </c>
      <c r="D241" s="1">
        <v>15</v>
      </c>
      <c r="E241" s="1">
        <v>3</v>
      </c>
      <c r="F241" s="3">
        <v>38700</v>
      </c>
      <c r="G241" s="3">
        <v>23730</v>
      </c>
      <c r="H241" s="1">
        <v>78</v>
      </c>
      <c r="I241" s="1">
        <v>176</v>
      </c>
      <c r="J241" s="1">
        <v>0</v>
      </c>
    </row>
    <row r="242" spans="1:10" x14ac:dyDescent="0.3">
      <c r="A242" s="1">
        <v>241</v>
      </c>
      <c r="B242" t="s">
        <v>10</v>
      </c>
      <c r="C242" s="2">
        <v>23677</v>
      </c>
      <c r="D242" s="1">
        <v>17</v>
      </c>
      <c r="E242" s="1">
        <v>3</v>
      </c>
      <c r="F242" s="3">
        <v>65000</v>
      </c>
      <c r="G242" s="3">
        <v>30750</v>
      </c>
      <c r="H242" s="1">
        <v>78</v>
      </c>
      <c r="I242" s="1">
        <v>26</v>
      </c>
      <c r="J242" s="1">
        <v>0</v>
      </c>
    </row>
    <row r="243" spans="1:10" x14ac:dyDescent="0.3">
      <c r="A243" s="1">
        <v>242</v>
      </c>
      <c r="B243" t="s">
        <v>10</v>
      </c>
      <c r="C243" s="2">
        <v>19819</v>
      </c>
      <c r="D243" s="1">
        <v>18</v>
      </c>
      <c r="E243" s="1">
        <v>3</v>
      </c>
      <c r="F243" s="3">
        <v>51450</v>
      </c>
      <c r="G243" s="3">
        <v>36240</v>
      </c>
      <c r="H243" s="1">
        <v>78</v>
      </c>
      <c r="I243" s="1">
        <v>149</v>
      </c>
      <c r="J243" s="1">
        <v>0</v>
      </c>
    </row>
    <row r="244" spans="1:10" x14ac:dyDescent="0.3">
      <c r="A244" s="1">
        <v>243</v>
      </c>
      <c r="B244" t="s">
        <v>10</v>
      </c>
      <c r="C244" s="2">
        <v>12685</v>
      </c>
      <c r="D244" s="1">
        <v>12</v>
      </c>
      <c r="E244" s="1">
        <v>2</v>
      </c>
      <c r="F244" s="3">
        <v>35250</v>
      </c>
      <c r="G244" s="3">
        <v>15750</v>
      </c>
      <c r="H244" s="1">
        <v>78</v>
      </c>
      <c r="I244" s="1">
        <v>387</v>
      </c>
      <c r="J244" s="1">
        <v>0</v>
      </c>
    </row>
    <row r="245" spans="1:10" x14ac:dyDescent="0.3">
      <c r="A245" s="1">
        <v>244</v>
      </c>
      <c r="B245" t="s">
        <v>10</v>
      </c>
      <c r="C245" s="2">
        <v>23138</v>
      </c>
      <c r="D245" s="1">
        <v>14</v>
      </c>
      <c r="E245" s="1">
        <v>1</v>
      </c>
      <c r="F245" s="3">
        <v>25950</v>
      </c>
      <c r="G245" s="3">
        <v>15000</v>
      </c>
      <c r="H245" s="1">
        <v>78</v>
      </c>
      <c r="I245" s="1">
        <v>53</v>
      </c>
      <c r="J245" s="1">
        <v>0</v>
      </c>
    </row>
    <row r="246" spans="1:10" x14ac:dyDescent="0.3">
      <c r="A246" s="1">
        <v>245</v>
      </c>
      <c r="B246" t="s">
        <v>10</v>
      </c>
      <c r="C246" s="2">
        <v>24004</v>
      </c>
      <c r="D246" s="1">
        <v>15</v>
      </c>
      <c r="E246" s="1">
        <v>1</v>
      </c>
      <c r="F246" s="3">
        <v>25050</v>
      </c>
      <c r="G246" s="3">
        <v>14250</v>
      </c>
      <c r="H246" s="1">
        <v>78</v>
      </c>
      <c r="I246" s="1">
        <v>24</v>
      </c>
      <c r="J246" s="1">
        <v>0</v>
      </c>
    </row>
    <row r="247" spans="1:10" x14ac:dyDescent="0.3">
      <c r="A247" s="1">
        <v>246</v>
      </c>
      <c r="B247" t="s">
        <v>10</v>
      </c>
      <c r="C247" s="2">
        <v>25121</v>
      </c>
      <c r="D247" s="1">
        <v>12</v>
      </c>
      <c r="E247" s="1">
        <v>1</v>
      </c>
      <c r="F247" s="3">
        <v>26700</v>
      </c>
      <c r="G247" s="3">
        <v>12750</v>
      </c>
      <c r="H247" s="1">
        <v>78</v>
      </c>
      <c r="I247" s="1">
        <v>25</v>
      </c>
      <c r="J247" s="1">
        <v>0</v>
      </c>
    </row>
    <row r="248" spans="1:10" x14ac:dyDescent="0.3">
      <c r="A248" s="1">
        <v>247</v>
      </c>
      <c r="B248" t="s">
        <v>10</v>
      </c>
      <c r="C248" s="2">
        <v>11921</v>
      </c>
      <c r="D248" s="1">
        <v>8</v>
      </c>
      <c r="E248" s="1">
        <v>1</v>
      </c>
      <c r="F248" s="3">
        <v>24000</v>
      </c>
      <c r="G248" s="3">
        <v>15750</v>
      </c>
      <c r="H248" s="1">
        <v>78</v>
      </c>
      <c r="I248" s="1">
        <v>476</v>
      </c>
      <c r="J248" s="1">
        <v>0</v>
      </c>
    </row>
    <row r="249" spans="1:10" x14ac:dyDescent="0.3">
      <c r="A249" s="1">
        <v>248</v>
      </c>
      <c r="B249" t="s">
        <v>10</v>
      </c>
      <c r="C249" s="2">
        <v>23419</v>
      </c>
      <c r="D249" s="1">
        <v>12</v>
      </c>
      <c r="E249" s="1">
        <v>1</v>
      </c>
      <c r="F249" s="3">
        <v>26850</v>
      </c>
      <c r="G249" s="3">
        <v>15000</v>
      </c>
      <c r="H249" s="1">
        <v>78</v>
      </c>
      <c r="I249" s="1">
        <v>48</v>
      </c>
      <c r="J249" s="1">
        <v>0</v>
      </c>
    </row>
    <row r="250" spans="1:10" x14ac:dyDescent="0.3">
      <c r="A250" s="1">
        <v>249</v>
      </c>
      <c r="B250" t="s">
        <v>11</v>
      </c>
      <c r="C250" s="2">
        <v>15447</v>
      </c>
      <c r="D250" s="1">
        <v>12</v>
      </c>
      <c r="E250" s="1">
        <v>1</v>
      </c>
      <c r="F250" s="3">
        <v>23400</v>
      </c>
      <c r="G250" s="3">
        <v>15300</v>
      </c>
      <c r="H250" s="1">
        <v>78</v>
      </c>
      <c r="I250" s="1">
        <v>209</v>
      </c>
      <c r="J250" s="1">
        <v>0</v>
      </c>
    </row>
    <row r="251" spans="1:10" x14ac:dyDescent="0.3">
      <c r="A251" s="1">
        <v>250</v>
      </c>
      <c r="B251" t="s">
        <v>11</v>
      </c>
      <c r="C251" s="2">
        <v>24343</v>
      </c>
      <c r="D251" s="1">
        <v>12</v>
      </c>
      <c r="E251" s="1">
        <v>1</v>
      </c>
      <c r="F251" s="3">
        <v>24600</v>
      </c>
      <c r="G251" s="3">
        <v>13500</v>
      </c>
      <c r="H251" s="1">
        <v>78</v>
      </c>
      <c r="I251" s="1">
        <v>47</v>
      </c>
      <c r="J251" s="1">
        <v>0</v>
      </c>
    </row>
    <row r="252" spans="1:10" x14ac:dyDescent="0.3">
      <c r="A252" s="1">
        <v>251</v>
      </c>
      <c r="B252" t="s">
        <v>11</v>
      </c>
      <c r="C252" s="2">
        <v>23873</v>
      </c>
      <c r="D252" s="1">
        <v>15</v>
      </c>
      <c r="E252" s="1">
        <v>1</v>
      </c>
      <c r="F252" s="3">
        <v>32550</v>
      </c>
      <c r="G252" s="3">
        <v>18000</v>
      </c>
      <c r="H252" s="1">
        <v>78</v>
      </c>
      <c r="I252" s="1">
        <v>6</v>
      </c>
      <c r="J252" s="1">
        <v>0</v>
      </c>
    </row>
    <row r="253" spans="1:10" x14ac:dyDescent="0.3">
      <c r="A253" s="1">
        <v>252</v>
      </c>
      <c r="B253" t="s">
        <v>10</v>
      </c>
      <c r="C253" s="2">
        <v>22062</v>
      </c>
      <c r="D253" s="1">
        <v>16</v>
      </c>
      <c r="E253" s="1">
        <v>1</v>
      </c>
      <c r="F253" s="3">
        <v>26550</v>
      </c>
      <c r="G253" s="3">
        <v>15000</v>
      </c>
      <c r="H253" s="1">
        <v>78</v>
      </c>
      <c r="I253" s="1">
        <v>105</v>
      </c>
      <c r="J253" s="1">
        <v>1</v>
      </c>
    </row>
    <row r="254" spans="1:10" x14ac:dyDescent="0.3">
      <c r="A254" s="1">
        <v>253</v>
      </c>
      <c r="B254" t="s">
        <v>10</v>
      </c>
      <c r="C254" s="2">
        <v>25054</v>
      </c>
      <c r="D254" s="1">
        <v>12</v>
      </c>
      <c r="E254" s="1">
        <v>1</v>
      </c>
      <c r="F254" s="3">
        <v>31500</v>
      </c>
      <c r="G254" s="3">
        <v>13500</v>
      </c>
      <c r="H254" s="1">
        <v>78</v>
      </c>
      <c r="I254" s="1">
        <v>7</v>
      </c>
      <c r="J254" s="1">
        <v>1</v>
      </c>
    </row>
    <row r="255" spans="1:10" x14ac:dyDescent="0.3">
      <c r="A255" s="1">
        <v>254</v>
      </c>
      <c r="B255" t="s">
        <v>10</v>
      </c>
      <c r="C255" s="2">
        <v>14516</v>
      </c>
      <c r="D255" s="1">
        <v>8</v>
      </c>
      <c r="E255" s="1">
        <v>1</v>
      </c>
      <c r="F255" s="3">
        <v>22350</v>
      </c>
      <c r="G255" s="3">
        <v>15000</v>
      </c>
      <c r="H255" s="1">
        <v>78</v>
      </c>
      <c r="I255" s="1">
        <v>320</v>
      </c>
      <c r="J255" s="1">
        <v>1</v>
      </c>
    </row>
    <row r="256" spans="1:10" x14ac:dyDescent="0.3">
      <c r="A256" s="1">
        <v>255</v>
      </c>
      <c r="B256" t="s">
        <v>10</v>
      </c>
      <c r="C256" s="2">
        <v>13921</v>
      </c>
      <c r="D256" s="1">
        <v>12</v>
      </c>
      <c r="E256" s="1">
        <v>2</v>
      </c>
      <c r="F256" s="3">
        <v>35250</v>
      </c>
      <c r="G256" s="3">
        <v>15750</v>
      </c>
      <c r="H256" s="1">
        <v>78</v>
      </c>
      <c r="I256" s="1">
        <v>281</v>
      </c>
      <c r="J256" s="1">
        <v>1</v>
      </c>
    </row>
    <row r="257" spans="1:10" x14ac:dyDescent="0.3">
      <c r="A257" s="1">
        <v>256</v>
      </c>
      <c r="B257" t="s">
        <v>11</v>
      </c>
      <c r="C257" s="2">
        <v>16708</v>
      </c>
      <c r="D257" s="1">
        <v>15</v>
      </c>
      <c r="E257" s="1">
        <v>1</v>
      </c>
      <c r="F257" s="3">
        <v>25800</v>
      </c>
      <c r="G257" s="3">
        <v>13500</v>
      </c>
      <c r="H257" s="1">
        <v>78</v>
      </c>
      <c r="I257" s="1">
        <v>51</v>
      </c>
      <c r="J257" s="1">
        <v>1</v>
      </c>
    </row>
    <row r="258" spans="1:10" x14ac:dyDescent="0.3">
      <c r="A258" s="1">
        <v>257</v>
      </c>
      <c r="B258" t="s">
        <v>10</v>
      </c>
      <c r="C258" s="2">
        <v>15274</v>
      </c>
      <c r="D258" s="1">
        <v>12</v>
      </c>
      <c r="E258" s="1">
        <v>2</v>
      </c>
      <c r="F258" s="3">
        <v>30750</v>
      </c>
      <c r="G258" s="3">
        <v>15750</v>
      </c>
      <c r="H258" s="1">
        <v>77</v>
      </c>
      <c r="I258" s="1">
        <v>317</v>
      </c>
      <c r="J258" s="1">
        <v>0</v>
      </c>
    </row>
    <row r="259" spans="1:10" x14ac:dyDescent="0.3">
      <c r="A259" s="1">
        <v>258</v>
      </c>
      <c r="B259" t="s">
        <v>10</v>
      </c>
      <c r="C259" s="2">
        <v>24202</v>
      </c>
      <c r="D259" s="1">
        <v>15</v>
      </c>
      <c r="E259" s="1">
        <v>1</v>
      </c>
      <c r="F259" s="3">
        <v>30750</v>
      </c>
      <c r="G259" s="3">
        <v>16500</v>
      </c>
      <c r="H259" s="1">
        <v>77</v>
      </c>
      <c r="I259" s="1">
        <v>41</v>
      </c>
      <c r="J259" s="1">
        <v>0</v>
      </c>
    </row>
    <row r="260" spans="1:10" x14ac:dyDescent="0.3">
      <c r="A260" s="1">
        <v>259</v>
      </c>
      <c r="B260" t="s">
        <v>10</v>
      </c>
      <c r="C260" s="2">
        <v>16642</v>
      </c>
      <c r="D260" s="1">
        <v>16</v>
      </c>
      <c r="E260" s="1">
        <v>3</v>
      </c>
      <c r="F260" s="3">
        <v>50000</v>
      </c>
      <c r="G260" s="3">
        <v>32490</v>
      </c>
      <c r="H260" s="1">
        <v>77</v>
      </c>
      <c r="I260" s="1">
        <v>264</v>
      </c>
      <c r="J260" s="1">
        <v>0</v>
      </c>
    </row>
    <row r="261" spans="1:10" x14ac:dyDescent="0.3">
      <c r="A261" s="1">
        <v>260</v>
      </c>
      <c r="B261" t="s">
        <v>10</v>
      </c>
      <c r="C261" s="2">
        <v>23043</v>
      </c>
      <c r="D261" s="1">
        <v>15</v>
      </c>
      <c r="E261" s="1">
        <v>1</v>
      </c>
      <c r="F261" s="3">
        <v>34500</v>
      </c>
      <c r="G261" s="3">
        <v>18000</v>
      </c>
      <c r="H261" s="1">
        <v>77</v>
      </c>
      <c r="I261" s="1">
        <v>63</v>
      </c>
      <c r="J261" s="1">
        <v>0</v>
      </c>
    </row>
    <row r="262" spans="1:10" x14ac:dyDescent="0.3">
      <c r="A262" s="1">
        <v>261</v>
      </c>
      <c r="B262" t="s">
        <v>10</v>
      </c>
      <c r="C262" s="2">
        <v>23577</v>
      </c>
      <c r="D262" s="1">
        <v>15</v>
      </c>
      <c r="E262" s="1">
        <v>1</v>
      </c>
      <c r="F262" s="3">
        <v>26250</v>
      </c>
      <c r="G262" s="3">
        <v>15750</v>
      </c>
      <c r="H262" s="1">
        <v>77</v>
      </c>
      <c r="I262" s="1">
        <v>38</v>
      </c>
      <c r="J262" s="1">
        <v>0</v>
      </c>
    </row>
    <row r="263" spans="1:10" x14ac:dyDescent="0.3">
      <c r="A263" s="1">
        <v>262</v>
      </c>
      <c r="B263" t="s">
        <v>10</v>
      </c>
      <c r="C263" s="2">
        <v>23459</v>
      </c>
      <c r="D263" s="1">
        <v>16</v>
      </c>
      <c r="E263" s="1">
        <v>1</v>
      </c>
      <c r="F263" s="3">
        <v>44875</v>
      </c>
      <c r="G263" s="3">
        <v>21240</v>
      </c>
      <c r="H263" s="1">
        <v>77</v>
      </c>
      <c r="I263" s="1">
        <v>22</v>
      </c>
      <c r="J263" s="1">
        <v>0</v>
      </c>
    </row>
    <row r="264" spans="1:10" x14ac:dyDescent="0.3">
      <c r="A264" s="1">
        <v>263</v>
      </c>
      <c r="B264" t="s">
        <v>11</v>
      </c>
      <c r="C264" s="2">
        <v>18674</v>
      </c>
      <c r="D264" s="1">
        <v>12</v>
      </c>
      <c r="E264" s="1">
        <v>1</v>
      </c>
      <c r="F264" s="3">
        <v>22500</v>
      </c>
      <c r="G264" s="3">
        <v>12000</v>
      </c>
      <c r="H264" s="1">
        <v>77</v>
      </c>
      <c r="I264" s="1">
        <v>63</v>
      </c>
      <c r="J264" s="1">
        <v>0</v>
      </c>
    </row>
    <row r="265" spans="1:10" x14ac:dyDescent="0.3">
      <c r="A265" s="1">
        <v>264</v>
      </c>
      <c r="B265" t="s">
        <v>11</v>
      </c>
      <c r="C265" s="2">
        <v>23082</v>
      </c>
      <c r="D265" s="1">
        <v>12</v>
      </c>
      <c r="E265" s="1">
        <v>1</v>
      </c>
      <c r="F265" s="3">
        <v>25650</v>
      </c>
      <c r="G265" s="3">
        <v>14250</v>
      </c>
      <c r="H265" s="1">
        <v>77</v>
      </c>
      <c r="I265" s="1">
        <v>64</v>
      </c>
      <c r="J265" s="1">
        <v>0</v>
      </c>
    </row>
    <row r="266" spans="1:10" x14ac:dyDescent="0.3">
      <c r="A266" s="1">
        <v>265</v>
      </c>
      <c r="B266" t="s">
        <v>11</v>
      </c>
      <c r="C266" s="2">
        <v>25501</v>
      </c>
      <c r="D266" s="1">
        <v>12</v>
      </c>
      <c r="E266" s="1">
        <v>1</v>
      </c>
      <c r="F266" s="3">
        <v>21300</v>
      </c>
      <c r="G266" s="3">
        <v>11250</v>
      </c>
      <c r="H266" s="1">
        <v>77</v>
      </c>
      <c r="I266" s="1">
        <v>0</v>
      </c>
      <c r="J266" s="1">
        <v>0</v>
      </c>
    </row>
    <row r="267" spans="1:10" x14ac:dyDescent="0.3">
      <c r="A267" s="1">
        <v>266</v>
      </c>
      <c r="B267" t="s">
        <v>11</v>
      </c>
      <c r="C267" s="2">
        <v>24435</v>
      </c>
      <c r="D267" s="1">
        <v>12</v>
      </c>
      <c r="E267" s="1">
        <v>1</v>
      </c>
      <c r="F267" s="3">
        <v>29850</v>
      </c>
      <c r="G267" s="3">
        <v>13500</v>
      </c>
      <c r="H267" s="1">
        <v>77</v>
      </c>
      <c r="I267" s="1">
        <v>38</v>
      </c>
      <c r="J267" s="1">
        <v>0</v>
      </c>
    </row>
    <row r="268" spans="1:10" x14ac:dyDescent="0.3">
      <c r="A268" s="1">
        <v>267</v>
      </c>
      <c r="B268" t="s">
        <v>11</v>
      </c>
      <c r="C268" s="2">
        <v>25465</v>
      </c>
      <c r="D268" s="1">
        <v>12</v>
      </c>
      <c r="E268" s="1">
        <v>1</v>
      </c>
      <c r="F268" s="3">
        <v>34500</v>
      </c>
      <c r="G268" s="3">
        <v>12150</v>
      </c>
      <c r="H268" s="1">
        <v>77</v>
      </c>
      <c r="I268" s="1">
        <v>4</v>
      </c>
      <c r="J268" s="1">
        <v>0</v>
      </c>
    </row>
    <row r="269" spans="1:10" x14ac:dyDescent="0.3">
      <c r="A269" s="1">
        <v>268</v>
      </c>
      <c r="B269" t="s">
        <v>10</v>
      </c>
      <c r="C269" s="2">
        <v>21929</v>
      </c>
      <c r="D269" s="1">
        <v>15</v>
      </c>
      <c r="E269" s="1">
        <v>1</v>
      </c>
      <c r="F269" s="3">
        <v>27750</v>
      </c>
      <c r="G269" s="3">
        <v>15000</v>
      </c>
      <c r="H269" s="1">
        <v>77</v>
      </c>
      <c r="I269" s="1">
        <v>52</v>
      </c>
      <c r="J269" s="1">
        <v>1</v>
      </c>
    </row>
    <row r="270" spans="1:10" x14ac:dyDescent="0.3">
      <c r="A270" s="1">
        <v>269</v>
      </c>
      <c r="B270" t="s">
        <v>10</v>
      </c>
      <c r="C270" s="2">
        <v>25261</v>
      </c>
      <c r="D270" s="1">
        <v>12</v>
      </c>
      <c r="E270" s="1">
        <v>1</v>
      </c>
      <c r="F270" s="3">
        <v>27750</v>
      </c>
      <c r="G270" s="3">
        <v>11550</v>
      </c>
      <c r="H270" s="1">
        <v>77</v>
      </c>
      <c r="I270" s="1">
        <v>12</v>
      </c>
      <c r="J270" s="1">
        <v>1</v>
      </c>
    </row>
    <row r="271" spans="1:10" x14ac:dyDescent="0.3">
      <c r="A271" s="1">
        <v>270</v>
      </c>
      <c r="B271" t="s">
        <v>10</v>
      </c>
      <c r="C271" s="2">
        <v>22331</v>
      </c>
      <c r="D271" s="1">
        <v>16</v>
      </c>
      <c r="E271" s="1">
        <v>3</v>
      </c>
      <c r="F271" s="3">
        <v>48750</v>
      </c>
      <c r="G271" s="3">
        <v>21990</v>
      </c>
      <c r="H271" s="1">
        <v>76</v>
      </c>
      <c r="I271" s="1">
        <v>61</v>
      </c>
      <c r="J271" s="1">
        <v>0</v>
      </c>
    </row>
    <row r="272" spans="1:10" x14ac:dyDescent="0.3">
      <c r="A272" s="1">
        <v>271</v>
      </c>
      <c r="B272" t="s">
        <v>10</v>
      </c>
      <c r="C272" s="2">
        <v>24168</v>
      </c>
      <c r="D272" s="1">
        <v>15</v>
      </c>
      <c r="E272" s="1">
        <v>1</v>
      </c>
      <c r="F272" s="3">
        <v>43410</v>
      </c>
      <c r="G272" s="3">
        <v>15750</v>
      </c>
      <c r="H272" s="1">
        <v>76</v>
      </c>
      <c r="I272" s="1">
        <v>12</v>
      </c>
      <c r="J272" s="1">
        <v>0</v>
      </c>
    </row>
    <row r="273" spans="1:10" x14ac:dyDescent="0.3">
      <c r="A273" s="1">
        <v>272</v>
      </c>
      <c r="B273" t="s">
        <v>10</v>
      </c>
      <c r="C273" s="2">
        <v>13464</v>
      </c>
      <c r="D273" s="1">
        <v>12</v>
      </c>
      <c r="E273" s="1">
        <v>1</v>
      </c>
      <c r="F273" s="3">
        <v>22050</v>
      </c>
      <c r="G273" s="3">
        <v>15000</v>
      </c>
      <c r="H273" s="1">
        <v>76</v>
      </c>
      <c r="I273" s="1">
        <v>385</v>
      </c>
      <c r="J273" s="1">
        <v>0</v>
      </c>
    </row>
    <row r="274" spans="1:10" x14ac:dyDescent="0.3">
      <c r="A274" s="1">
        <v>273</v>
      </c>
      <c r="B274" t="s">
        <v>11</v>
      </c>
      <c r="C274" s="2">
        <v>19658</v>
      </c>
      <c r="D274" s="1">
        <v>12</v>
      </c>
      <c r="E274" s="1">
        <v>1</v>
      </c>
      <c r="F274" s="3">
        <v>22050</v>
      </c>
      <c r="G274" s="3">
        <v>12000</v>
      </c>
      <c r="H274" s="1">
        <v>76</v>
      </c>
      <c r="I274" s="1">
        <v>6</v>
      </c>
      <c r="J274" s="1">
        <v>0</v>
      </c>
    </row>
    <row r="275" spans="1:10" x14ac:dyDescent="0.3">
      <c r="A275" s="1">
        <v>274</v>
      </c>
      <c r="B275" t="s">
        <v>11</v>
      </c>
      <c r="C275" s="2">
        <v>13941</v>
      </c>
      <c r="D275" s="1">
        <v>12</v>
      </c>
      <c r="E275" s="1">
        <v>1</v>
      </c>
      <c r="F275" s="3">
        <v>22500</v>
      </c>
      <c r="G275" s="3">
        <v>14250</v>
      </c>
      <c r="H275" s="1">
        <v>76</v>
      </c>
      <c r="I275" s="1">
        <v>90</v>
      </c>
      <c r="J275" s="1">
        <v>0</v>
      </c>
    </row>
    <row r="276" spans="1:10" x14ac:dyDescent="0.3">
      <c r="A276" s="1">
        <v>275</v>
      </c>
      <c r="B276" t="s">
        <v>11</v>
      </c>
      <c r="C276" s="2">
        <v>24605</v>
      </c>
      <c r="D276" s="1">
        <v>15</v>
      </c>
      <c r="E276" s="1">
        <v>1</v>
      </c>
      <c r="F276" s="3">
        <v>25500</v>
      </c>
      <c r="G276" s="3">
        <v>12000</v>
      </c>
      <c r="H276" s="1">
        <v>76</v>
      </c>
      <c r="I276" s="1">
        <v>7</v>
      </c>
      <c r="J276" s="1">
        <v>0</v>
      </c>
    </row>
    <row r="277" spans="1:10" x14ac:dyDescent="0.3">
      <c r="A277" s="1">
        <v>276</v>
      </c>
      <c r="B277" t="s">
        <v>11</v>
      </c>
      <c r="C277" s="2">
        <v>24394</v>
      </c>
      <c r="D277" s="1">
        <v>12</v>
      </c>
      <c r="E277" s="1">
        <v>1</v>
      </c>
      <c r="F277" s="3">
        <v>29160</v>
      </c>
      <c r="G277" s="3">
        <v>15000</v>
      </c>
      <c r="H277" s="1">
        <v>76</v>
      </c>
      <c r="I277" s="1">
        <v>22</v>
      </c>
      <c r="J277" s="1">
        <v>0</v>
      </c>
    </row>
    <row r="278" spans="1:10" x14ac:dyDescent="0.3">
      <c r="A278" s="1">
        <v>277</v>
      </c>
      <c r="B278" t="s">
        <v>11</v>
      </c>
      <c r="C278" s="2">
        <v>12727</v>
      </c>
      <c r="D278" s="1">
        <v>8</v>
      </c>
      <c r="E278" s="1">
        <v>1</v>
      </c>
      <c r="F278" s="3">
        <v>16800</v>
      </c>
      <c r="G278" s="3">
        <v>10200</v>
      </c>
      <c r="H278" s="1">
        <v>76</v>
      </c>
      <c r="I278" s="1">
        <v>76</v>
      </c>
      <c r="J278" s="1">
        <v>0</v>
      </c>
    </row>
    <row r="279" spans="1:10" x14ac:dyDescent="0.3">
      <c r="A279" s="1">
        <v>278</v>
      </c>
      <c r="B279" t="s">
        <v>10</v>
      </c>
      <c r="C279" s="2">
        <v>21390</v>
      </c>
      <c r="D279" s="1">
        <v>8</v>
      </c>
      <c r="E279" s="1">
        <v>2</v>
      </c>
      <c r="F279" s="3">
        <v>29550</v>
      </c>
      <c r="G279" s="3">
        <v>15750</v>
      </c>
      <c r="H279" s="1">
        <v>76</v>
      </c>
      <c r="I279" s="1">
        <v>144</v>
      </c>
      <c r="J279" s="1">
        <v>1</v>
      </c>
    </row>
    <row r="280" spans="1:10" x14ac:dyDescent="0.3">
      <c r="A280" s="1">
        <v>279</v>
      </c>
      <c r="B280" t="s">
        <v>10</v>
      </c>
      <c r="C280" s="2">
        <v>23803</v>
      </c>
      <c r="D280" s="1">
        <v>12</v>
      </c>
      <c r="E280" s="1">
        <v>1</v>
      </c>
      <c r="F280" s="3">
        <v>26700</v>
      </c>
      <c r="G280" s="3">
        <v>15750</v>
      </c>
      <c r="H280" s="1">
        <v>76</v>
      </c>
      <c r="I280" s="1">
        <v>18</v>
      </c>
      <c r="J280" s="1">
        <v>1</v>
      </c>
    </row>
    <row r="281" spans="1:10" x14ac:dyDescent="0.3">
      <c r="A281" s="1">
        <v>280</v>
      </c>
      <c r="B281" t="s">
        <v>10</v>
      </c>
      <c r="C281" s="2">
        <v>19292</v>
      </c>
      <c r="D281" s="1">
        <v>18</v>
      </c>
      <c r="E281" s="1">
        <v>3</v>
      </c>
      <c r="F281" s="3">
        <v>55000</v>
      </c>
      <c r="G281" s="3">
        <v>32490</v>
      </c>
      <c r="H281" s="1">
        <v>75</v>
      </c>
      <c r="I281" s="1">
        <v>125</v>
      </c>
      <c r="J281" s="1">
        <v>0</v>
      </c>
    </row>
    <row r="282" spans="1:10" x14ac:dyDescent="0.3">
      <c r="A282" s="1">
        <v>281</v>
      </c>
      <c r="B282" t="s">
        <v>10</v>
      </c>
      <c r="C282" s="2">
        <v>21421</v>
      </c>
      <c r="D282" s="1">
        <v>18</v>
      </c>
      <c r="E282" s="1">
        <v>3</v>
      </c>
      <c r="F282" s="3">
        <v>62500</v>
      </c>
      <c r="G282" s="3">
        <v>34980</v>
      </c>
      <c r="H282" s="1">
        <v>75</v>
      </c>
      <c r="I282" s="1">
        <v>74</v>
      </c>
      <c r="J282" s="1">
        <v>0</v>
      </c>
    </row>
    <row r="283" spans="1:10" x14ac:dyDescent="0.3">
      <c r="A283" s="1">
        <v>282</v>
      </c>
      <c r="B283" t="s">
        <v>10</v>
      </c>
      <c r="C283" s="2">
        <v>21679</v>
      </c>
      <c r="D283" s="1">
        <v>15</v>
      </c>
      <c r="E283" s="1">
        <v>1</v>
      </c>
      <c r="F283" s="3">
        <v>27300</v>
      </c>
      <c r="G283" s="3">
        <v>17250</v>
      </c>
      <c r="H283" s="1">
        <v>75</v>
      </c>
      <c r="I283" s="1">
        <v>132</v>
      </c>
      <c r="J283" s="1">
        <v>0</v>
      </c>
    </row>
    <row r="284" spans="1:10" x14ac:dyDescent="0.3">
      <c r="A284" s="1">
        <v>283</v>
      </c>
      <c r="B284" t="s">
        <v>11</v>
      </c>
      <c r="C284" s="2">
        <v>15376</v>
      </c>
      <c r="D284" s="1">
        <v>12</v>
      </c>
      <c r="E284" s="1">
        <v>1</v>
      </c>
      <c r="F284" s="3">
        <v>24450</v>
      </c>
      <c r="G284" s="3">
        <v>12000</v>
      </c>
      <c r="H284" s="1">
        <v>75</v>
      </c>
      <c r="I284" s="1">
        <v>144</v>
      </c>
      <c r="J284" s="1">
        <v>0</v>
      </c>
    </row>
    <row r="285" spans="1:10" x14ac:dyDescent="0.3">
      <c r="A285" s="1">
        <v>284</v>
      </c>
      <c r="B285" t="s">
        <v>11</v>
      </c>
      <c r="C285" s="2">
        <v>23507</v>
      </c>
      <c r="D285" s="1">
        <v>16</v>
      </c>
      <c r="E285" s="1">
        <v>1</v>
      </c>
      <c r="F285" s="3">
        <v>33000</v>
      </c>
      <c r="G285" s="3">
        <v>18000</v>
      </c>
      <c r="H285" s="1">
        <v>75</v>
      </c>
      <c r="I285" s="1">
        <v>26</v>
      </c>
      <c r="J285" s="1">
        <v>0</v>
      </c>
    </row>
    <row r="286" spans="1:10" x14ac:dyDescent="0.3">
      <c r="A286" s="1">
        <v>285</v>
      </c>
      <c r="B286" t="s">
        <v>11</v>
      </c>
      <c r="C286" s="2">
        <v>23768</v>
      </c>
      <c r="D286" s="1">
        <v>15</v>
      </c>
      <c r="E286" s="1">
        <v>1</v>
      </c>
      <c r="F286" s="3">
        <v>37050</v>
      </c>
      <c r="G286" s="3">
        <v>18000</v>
      </c>
      <c r="H286" s="1">
        <v>75</v>
      </c>
      <c r="I286" s="1">
        <v>5</v>
      </c>
      <c r="J286" s="1">
        <v>0</v>
      </c>
    </row>
    <row r="287" spans="1:10" x14ac:dyDescent="0.3">
      <c r="A287" s="1">
        <v>286</v>
      </c>
      <c r="B287" t="s">
        <v>11</v>
      </c>
      <c r="C287" s="2">
        <v>24236</v>
      </c>
      <c r="D287" s="1">
        <v>12</v>
      </c>
      <c r="E287" s="1">
        <v>1</v>
      </c>
      <c r="F287" s="3">
        <v>24450</v>
      </c>
      <c r="G287" s="3">
        <v>10950</v>
      </c>
      <c r="H287" s="1">
        <v>75</v>
      </c>
      <c r="I287" s="1">
        <v>32</v>
      </c>
      <c r="J287" s="1">
        <v>1</v>
      </c>
    </row>
    <row r="288" spans="1:10" x14ac:dyDescent="0.3">
      <c r="A288" s="1">
        <v>287</v>
      </c>
      <c r="B288" t="s">
        <v>10</v>
      </c>
      <c r="C288" s="2">
        <v>11015</v>
      </c>
      <c r="D288" s="1">
        <v>8</v>
      </c>
      <c r="E288" s="1">
        <v>2</v>
      </c>
      <c r="F288" s="3">
        <v>31950</v>
      </c>
      <c r="G288" s="3">
        <v>15750</v>
      </c>
      <c r="H288" s="1">
        <v>74</v>
      </c>
      <c r="I288" s="1">
        <v>408</v>
      </c>
      <c r="J288" s="1">
        <v>0</v>
      </c>
    </row>
    <row r="289" spans="1:10" x14ac:dyDescent="0.3">
      <c r="A289" s="1">
        <v>288</v>
      </c>
      <c r="B289" t="s">
        <v>10</v>
      </c>
      <c r="C289" s="2">
        <v>23386</v>
      </c>
      <c r="D289" s="1">
        <v>16</v>
      </c>
      <c r="E289" s="1">
        <v>3</v>
      </c>
      <c r="F289" s="3">
        <v>47250</v>
      </c>
      <c r="G289" s="3">
        <v>21240</v>
      </c>
      <c r="H289" s="1">
        <v>74</v>
      </c>
      <c r="I289" s="1">
        <v>45</v>
      </c>
      <c r="J289" s="1">
        <v>0</v>
      </c>
    </row>
    <row r="290" spans="1:10" x14ac:dyDescent="0.3">
      <c r="A290" s="1">
        <v>289</v>
      </c>
      <c r="B290" t="s">
        <v>11</v>
      </c>
      <c r="C290" s="2">
        <v>25595</v>
      </c>
      <c r="D290" s="1">
        <v>12</v>
      </c>
      <c r="E290" s="1">
        <v>1</v>
      </c>
      <c r="F290" s="3">
        <v>26100</v>
      </c>
      <c r="G290" s="3">
        <v>11550</v>
      </c>
      <c r="H290" s="1">
        <v>74</v>
      </c>
      <c r="I290" s="1">
        <v>2</v>
      </c>
      <c r="J290" s="1">
        <v>0</v>
      </c>
    </row>
    <row r="291" spans="1:10" x14ac:dyDescent="0.3">
      <c r="A291" s="1">
        <v>290</v>
      </c>
      <c r="B291" t="s">
        <v>11</v>
      </c>
      <c r="C291" s="2">
        <v>14104</v>
      </c>
      <c r="D291" s="1">
        <v>8</v>
      </c>
      <c r="E291" s="1">
        <v>1</v>
      </c>
      <c r="F291" s="3">
        <v>15900</v>
      </c>
      <c r="G291" s="3">
        <v>10200</v>
      </c>
      <c r="H291" s="1">
        <v>74</v>
      </c>
      <c r="I291" s="1">
        <v>43</v>
      </c>
      <c r="J291" s="1">
        <v>0</v>
      </c>
    </row>
    <row r="292" spans="1:10" x14ac:dyDescent="0.3">
      <c r="A292" s="1">
        <v>291</v>
      </c>
      <c r="B292" t="s">
        <v>11</v>
      </c>
      <c r="C292" s="2">
        <v>15652</v>
      </c>
      <c r="D292" s="1">
        <v>8</v>
      </c>
      <c r="E292" s="1">
        <v>1</v>
      </c>
      <c r="F292" s="3">
        <v>23700</v>
      </c>
      <c r="G292" s="3">
        <v>10650</v>
      </c>
      <c r="H292" s="1">
        <v>74</v>
      </c>
      <c r="I292" s="1">
        <v>281</v>
      </c>
      <c r="J292" s="1">
        <v>0</v>
      </c>
    </row>
    <row r="293" spans="1:10" x14ac:dyDescent="0.3">
      <c r="A293" s="1">
        <v>292</v>
      </c>
      <c r="B293" t="s">
        <v>11</v>
      </c>
      <c r="C293" s="2">
        <v>12545</v>
      </c>
      <c r="D293" s="1">
        <v>8</v>
      </c>
      <c r="E293" s="1">
        <v>1</v>
      </c>
      <c r="F293" s="3">
        <v>21750</v>
      </c>
      <c r="G293" s="3">
        <v>12450</v>
      </c>
      <c r="H293" s="1">
        <v>74</v>
      </c>
      <c r="I293" s="1">
        <v>318</v>
      </c>
      <c r="J293" s="1">
        <v>0</v>
      </c>
    </row>
    <row r="294" spans="1:10" x14ac:dyDescent="0.3">
      <c r="A294" s="1">
        <v>293</v>
      </c>
      <c r="B294" t="s">
        <v>10</v>
      </c>
      <c r="C294" s="2">
        <v>16457</v>
      </c>
      <c r="D294" s="1">
        <v>12</v>
      </c>
      <c r="E294" s="1">
        <v>3</v>
      </c>
      <c r="F294" s="3">
        <v>59400</v>
      </c>
      <c r="G294" s="3">
        <v>33750</v>
      </c>
      <c r="H294" s="1">
        <v>74</v>
      </c>
      <c r="I294" s="1">
        <v>272</v>
      </c>
      <c r="J294" s="1">
        <v>1</v>
      </c>
    </row>
    <row r="295" spans="1:10" x14ac:dyDescent="0.3">
      <c r="A295" s="1">
        <v>294</v>
      </c>
      <c r="B295" t="s">
        <v>11</v>
      </c>
      <c r="C295" s="2">
        <v>17685</v>
      </c>
      <c r="D295" s="1">
        <v>12</v>
      </c>
      <c r="E295" s="1">
        <v>1</v>
      </c>
      <c r="F295" s="3">
        <v>24450</v>
      </c>
      <c r="G295" s="3">
        <v>14250</v>
      </c>
      <c r="H295" s="1">
        <v>74</v>
      </c>
      <c r="I295" s="1">
        <v>117</v>
      </c>
      <c r="J295" s="1">
        <v>1</v>
      </c>
    </row>
    <row r="296" spans="1:10" x14ac:dyDescent="0.3">
      <c r="A296" s="1">
        <v>295</v>
      </c>
      <c r="B296" t="s">
        <v>10</v>
      </c>
      <c r="C296" s="2">
        <v>19519</v>
      </c>
      <c r="D296" s="1">
        <v>16</v>
      </c>
      <c r="E296" s="1">
        <v>3</v>
      </c>
      <c r="F296" s="3">
        <v>103500</v>
      </c>
      <c r="G296" s="3">
        <v>60000</v>
      </c>
      <c r="H296" s="1">
        <v>73</v>
      </c>
      <c r="I296" s="1">
        <v>150</v>
      </c>
      <c r="J296" s="1">
        <v>0</v>
      </c>
    </row>
    <row r="297" spans="1:10" x14ac:dyDescent="0.3">
      <c r="A297" s="1">
        <v>296</v>
      </c>
      <c r="B297" t="s">
        <v>10</v>
      </c>
      <c r="C297" s="2">
        <v>23297</v>
      </c>
      <c r="D297" s="1">
        <v>12</v>
      </c>
      <c r="E297" s="1">
        <v>1</v>
      </c>
      <c r="F297" s="3">
        <v>35700</v>
      </c>
      <c r="G297" s="3">
        <v>16500</v>
      </c>
      <c r="H297" s="1">
        <v>73</v>
      </c>
      <c r="I297" s="1">
        <v>72</v>
      </c>
      <c r="J297" s="1">
        <v>0</v>
      </c>
    </row>
    <row r="298" spans="1:10" x14ac:dyDescent="0.3">
      <c r="A298" s="1">
        <v>297</v>
      </c>
      <c r="B298" t="s">
        <v>11</v>
      </c>
      <c r="C298" s="2">
        <v>25328</v>
      </c>
      <c r="D298" s="1">
        <v>12</v>
      </c>
      <c r="E298" s="1">
        <v>1</v>
      </c>
      <c r="F298" s="3">
        <v>22200</v>
      </c>
      <c r="G298" s="3">
        <v>16500</v>
      </c>
      <c r="H298" s="1">
        <v>73</v>
      </c>
      <c r="I298" s="1">
        <v>7</v>
      </c>
      <c r="J298" s="1">
        <v>0</v>
      </c>
    </row>
    <row r="299" spans="1:10" x14ac:dyDescent="0.3">
      <c r="A299" s="1">
        <v>298</v>
      </c>
      <c r="B299" t="s">
        <v>11</v>
      </c>
      <c r="C299" s="2">
        <v>25066</v>
      </c>
      <c r="D299" s="1">
        <v>15</v>
      </c>
      <c r="E299" s="1">
        <v>1</v>
      </c>
      <c r="F299" s="3">
        <v>22950</v>
      </c>
      <c r="G299" s="3">
        <v>13950</v>
      </c>
      <c r="H299" s="1">
        <v>73</v>
      </c>
      <c r="I299" s="1">
        <v>22</v>
      </c>
      <c r="J299" s="1">
        <v>0</v>
      </c>
    </row>
    <row r="300" spans="1:10" x14ac:dyDescent="0.3">
      <c r="A300" s="1">
        <v>299</v>
      </c>
      <c r="B300" t="s">
        <v>11</v>
      </c>
      <c r="C300" s="2">
        <v>16294</v>
      </c>
      <c r="D300" s="1">
        <v>12</v>
      </c>
      <c r="E300" s="1">
        <v>1</v>
      </c>
      <c r="F300" s="3">
        <v>23100</v>
      </c>
      <c r="G300" s="3">
        <v>12000</v>
      </c>
      <c r="H300" s="1">
        <v>73</v>
      </c>
      <c r="I300" s="1">
        <v>228</v>
      </c>
      <c r="J300" s="1">
        <v>0</v>
      </c>
    </row>
    <row r="301" spans="1:10" x14ac:dyDescent="0.3">
      <c r="A301" s="1">
        <v>300</v>
      </c>
      <c r="B301" t="s">
        <v>11</v>
      </c>
      <c r="C301" s="2">
        <v>22808</v>
      </c>
      <c r="D301" s="1">
        <v>16</v>
      </c>
      <c r="E301" s="1">
        <v>3</v>
      </c>
      <c r="F301" s="3">
        <v>56750</v>
      </c>
      <c r="G301" s="3">
        <v>30000</v>
      </c>
      <c r="H301" s="1">
        <v>73</v>
      </c>
      <c r="I301" s="1">
        <v>15</v>
      </c>
      <c r="J301" s="1">
        <v>0</v>
      </c>
    </row>
    <row r="302" spans="1:10" x14ac:dyDescent="0.3">
      <c r="A302" s="1">
        <v>301</v>
      </c>
      <c r="B302" t="s">
        <v>11</v>
      </c>
      <c r="C302" s="2">
        <v>13961</v>
      </c>
      <c r="D302" s="1">
        <v>17</v>
      </c>
      <c r="E302" s="1">
        <v>1</v>
      </c>
      <c r="F302" s="3">
        <v>29100</v>
      </c>
      <c r="G302" s="3">
        <v>12750</v>
      </c>
      <c r="H302" s="1">
        <v>73</v>
      </c>
      <c r="I302" s="1">
        <v>375</v>
      </c>
      <c r="J302" s="1">
        <v>0</v>
      </c>
    </row>
    <row r="303" spans="1:10" x14ac:dyDescent="0.3">
      <c r="A303" s="1">
        <v>302</v>
      </c>
      <c r="B303" t="s">
        <v>11</v>
      </c>
      <c r="C303" s="2">
        <v>14356</v>
      </c>
      <c r="D303" s="1">
        <v>12</v>
      </c>
      <c r="E303" s="1">
        <v>1</v>
      </c>
      <c r="F303" s="3">
        <v>37650</v>
      </c>
      <c r="G303" s="3">
        <v>15750</v>
      </c>
      <c r="H303" s="1">
        <v>73</v>
      </c>
      <c r="I303" s="1">
        <v>132</v>
      </c>
      <c r="J303" s="1">
        <v>0</v>
      </c>
    </row>
    <row r="304" spans="1:10" x14ac:dyDescent="0.3">
      <c r="A304" s="1">
        <v>303</v>
      </c>
      <c r="B304" t="s">
        <v>11</v>
      </c>
      <c r="C304" s="2">
        <v>24134</v>
      </c>
      <c r="D304" s="1">
        <v>12</v>
      </c>
      <c r="E304" s="1">
        <v>1</v>
      </c>
      <c r="F304" s="3">
        <v>27900</v>
      </c>
      <c r="G304" s="3">
        <v>13500</v>
      </c>
      <c r="H304" s="1">
        <v>73</v>
      </c>
      <c r="I304" s="1">
        <v>32</v>
      </c>
      <c r="J304" s="1">
        <v>0</v>
      </c>
    </row>
    <row r="305" spans="1:10" x14ac:dyDescent="0.3">
      <c r="A305" s="1">
        <v>304</v>
      </c>
      <c r="B305" t="s">
        <v>11</v>
      </c>
      <c r="C305" s="2">
        <v>15483</v>
      </c>
      <c r="D305" s="1">
        <v>12</v>
      </c>
      <c r="E305" s="1">
        <v>1</v>
      </c>
      <c r="F305" s="3">
        <v>16950</v>
      </c>
      <c r="G305" s="3">
        <v>10200</v>
      </c>
      <c r="H305" s="1">
        <v>72</v>
      </c>
      <c r="I305" s="1">
        <v>271</v>
      </c>
      <c r="J305" s="1">
        <v>1</v>
      </c>
    </row>
    <row r="306" spans="1:10" x14ac:dyDescent="0.3">
      <c r="A306" s="1">
        <v>305</v>
      </c>
      <c r="B306" t="s">
        <v>11</v>
      </c>
      <c r="C306" s="2">
        <v>15907</v>
      </c>
      <c r="D306" s="1">
        <v>12</v>
      </c>
      <c r="E306" s="1">
        <v>1</v>
      </c>
      <c r="F306" s="3">
        <v>26100</v>
      </c>
      <c r="G306" s="3">
        <v>13500</v>
      </c>
      <c r="H306" s="1">
        <v>72</v>
      </c>
      <c r="I306" s="1">
        <v>169</v>
      </c>
      <c r="J306" s="1">
        <v>1</v>
      </c>
    </row>
    <row r="307" spans="1:10" x14ac:dyDescent="0.3">
      <c r="A307" s="1">
        <v>306</v>
      </c>
      <c r="B307" t="s">
        <v>10</v>
      </c>
      <c r="C307" s="2">
        <v>24790</v>
      </c>
      <c r="D307" s="1">
        <v>14</v>
      </c>
      <c r="E307" s="1">
        <v>1</v>
      </c>
      <c r="F307" s="3">
        <v>28050</v>
      </c>
      <c r="G307" s="3">
        <v>15000</v>
      </c>
      <c r="H307" s="1">
        <v>71</v>
      </c>
      <c r="I307" s="1">
        <v>15</v>
      </c>
      <c r="J307" s="1">
        <v>0</v>
      </c>
    </row>
    <row r="308" spans="1:10" x14ac:dyDescent="0.3">
      <c r="A308" s="1">
        <v>307</v>
      </c>
      <c r="B308" t="s">
        <v>11</v>
      </c>
      <c r="C308" s="2">
        <v>23031</v>
      </c>
      <c r="D308" s="1">
        <v>16</v>
      </c>
      <c r="E308" s="1">
        <v>1</v>
      </c>
      <c r="F308" s="3">
        <v>36600</v>
      </c>
      <c r="G308" s="3">
        <v>18000</v>
      </c>
      <c r="H308" s="1">
        <v>71</v>
      </c>
      <c r="I308" s="1">
        <v>12</v>
      </c>
      <c r="J308" s="1">
        <v>0</v>
      </c>
    </row>
    <row r="309" spans="1:10" x14ac:dyDescent="0.3">
      <c r="A309" s="1">
        <v>308</v>
      </c>
      <c r="B309" t="s">
        <v>11</v>
      </c>
      <c r="C309" s="2">
        <v>24202</v>
      </c>
      <c r="D309" s="1">
        <v>16</v>
      </c>
      <c r="E309" s="1">
        <v>3</v>
      </c>
      <c r="F309" s="3">
        <v>58125</v>
      </c>
      <c r="G309" s="3">
        <v>18000</v>
      </c>
      <c r="H309" s="1">
        <v>71</v>
      </c>
      <c r="I309" s="1">
        <v>11</v>
      </c>
      <c r="J309" s="1">
        <v>0</v>
      </c>
    </row>
    <row r="310" spans="1:10" x14ac:dyDescent="0.3">
      <c r="A310" s="1">
        <v>309</v>
      </c>
      <c r="B310" t="s">
        <v>10</v>
      </c>
      <c r="C310" s="2">
        <v>13018</v>
      </c>
      <c r="D310" s="1">
        <v>15</v>
      </c>
      <c r="E310" s="1">
        <v>1</v>
      </c>
      <c r="F310" s="3">
        <v>21300</v>
      </c>
      <c r="G310" s="3">
        <v>15750</v>
      </c>
      <c r="H310" s="1">
        <v>70</v>
      </c>
      <c r="I310" s="1">
        <v>372</v>
      </c>
      <c r="J310" s="1">
        <v>0</v>
      </c>
    </row>
    <row r="311" spans="1:10" x14ac:dyDescent="0.3">
      <c r="A311" s="1">
        <v>310</v>
      </c>
      <c r="B311" t="s">
        <v>10</v>
      </c>
      <c r="C311" s="2">
        <v>18200</v>
      </c>
      <c r="D311" s="1">
        <v>12</v>
      </c>
      <c r="E311" s="1">
        <v>1</v>
      </c>
      <c r="F311" s="3">
        <v>22500</v>
      </c>
      <c r="G311" s="3">
        <v>16500</v>
      </c>
      <c r="H311" s="1">
        <v>70</v>
      </c>
      <c r="I311" s="1">
        <v>216</v>
      </c>
      <c r="J311" s="1">
        <v>0</v>
      </c>
    </row>
    <row r="312" spans="1:10" x14ac:dyDescent="0.3">
      <c r="A312" s="1">
        <v>311</v>
      </c>
      <c r="B312" t="s">
        <v>10</v>
      </c>
      <c r="C312" s="2">
        <v>24679</v>
      </c>
      <c r="D312" s="1">
        <v>15</v>
      </c>
      <c r="E312" s="1">
        <v>1</v>
      </c>
      <c r="F312" s="3">
        <v>29400</v>
      </c>
      <c r="G312" s="3">
        <v>15750</v>
      </c>
      <c r="H312" s="1">
        <v>70</v>
      </c>
      <c r="I312" s="1">
        <v>15</v>
      </c>
      <c r="J312" s="1">
        <v>0</v>
      </c>
    </row>
    <row r="313" spans="1:10" x14ac:dyDescent="0.3">
      <c r="A313" s="1">
        <v>312</v>
      </c>
      <c r="B313" t="s">
        <v>10</v>
      </c>
      <c r="C313" s="2">
        <v>24388</v>
      </c>
      <c r="D313" s="1">
        <v>12</v>
      </c>
      <c r="E313" s="1">
        <v>1</v>
      </c>
      <c r="F313" s="3">
        <v>27450</v>
      </c>
      <c r="G313" s="3">
        <v>14700</v>
      </c>
      <c r="H313" s="1">
        <v>70</v>
      </c>
      <c r="I313" s="1">
        <v>41</v>
      </c>
      <c r="J313" s="1">
        <v>0</v>
      </c>
    </row>
    <row r="314" spans="1:10" x14ac:dyDescent="0.3">
      <c r="A314" s="1">
        <v>313</v>
      </c>
      <c r="B314" t="s">
        <v>10</v>
      </c>
      <c r="C314" s="2">
        <v>23659</v>
      </c>
      <c r="D314" s="1">
        <v>15</v>
      </c>
      <c r="E314" s="1">
        <v>1</v>
      </c>
      <c r="F314" s="3">
        <v>29850</v>
      </c>
      <c r="G314" s="3">
        <v>15750</v>
      </c>
      <c r="H314" s="1">
        <v>70</v>
      </c>
      <c r="I314" s="1">
        <v>48</v>
      </c>
      <c r="J314" s="1">
        <v>0</v>
      </c>
    </row>
    <row r="315" spans="1:10" x14ac:dyDescent="0.3">
      <c r="A315" s="1">
        <v>314</v>
      </c>
      <c r="B315" t="s">
        <v>10</v>
      </c>
      <c r="C315" s="2">
        <v>24075</v>
      </c>
      <c r="D315" s="1">
        <v>15</v>
      </c>
      <c r="E315" s="1">
        <v>1</v>
      </c>
      <c r="F315" s="3">
        <v>25350</v>
      </c>
      <c r="G315" s="3">
        <v>15750</v>
      </c>
      <c r="H315" s="1">
        <v>70</v>
      </c>
      <c r="I315" s="1">
        <v>56</v>
      </c>
      <c r="J315" s="1">
        <v>0</v>
      </c>
    </row>
    <row r="316" spans="1:10" x14ac:dyDescent="0.3">
      <c r="A316" s="1">
        <v>315</v>
      </c>
      <c r="B316" t="s">
        <v>11</v>
      </c>
      <c r="C316" s="2">
        <v>11222</v>
      </c>
      <c r="D316" s="1">
        <v>8</v>
      </c>
      <c r="E316" s="1">
        <v>1</v>
      </c>
      <c r="F316" s="3">
        <v>15750</v>
      </c>
      <c r="G316" s="3">
        <v>10200</v>
      </c>
      <c r="H316" s="1">
        <v>70</v>
      </c>
      <c r="I316" s="1">
        <v>275</v>
      </c>
      <c r="J316" s="1">
        <v>0</v>
      </c>
    </row>
    <row r="317" spans="1:10" x14ac:dyDescent="0.3">
      <c r="A317" s="1">
        <v>316</v>
      </c>
      <c r="B317" t="s">
        <v>11</v>
      </c>
      <c r="C317" s="2">
        <v>14012</v>
      </c>
      <c r="D317" s="1">
        <v>8</v>
      </c>
      <c r="E317" s="1">
        <v>1</v>
      </c>
      <c r="F317" s="3">
        <v>19650</v>
      </c>
      <c r="G317" s="3">
        <v>13050</v>
      </c>
      <c r="H317" s="1">
        <v>70</v>
      </c>
      <c r="I317" s="1">
        <v>102</v>
      </c>
      <c r="J317" s="1">
        <v>0</v>
      </c>
    </row>
    <row r="318" spans="1:10" x14ac:dyDescent="0.3">
      <c r="A318" s="1">
        <v>317</v>
      </c>
      <c r="B318" t="s">
        <v>11</v>
      </c>
      <c r="C318" s="2">
        <v>15029</v>
      </c>
      <c r="D318" s="1">
        <v>12</v>
      </c>
      <c r="E318" s="1">
        <v>1</v>
      </c>
      <c r="F318" s="3">
        <v>21000</v>
      </c>
      <c r="G318" s="3">
        <v>13500</v>
      </c>
      <c r="H318" s="1">
        <v>70</v>
      </c>
      <c r="I318" s="1">
        <v>82</v>
      </c>
      <c r="J318" s="1">
        <v>0</v>
      </c>
    </row>
    <row r="319" spans="1:10" x14ac:dyDescent="0.3">
      <c r="A319" s="1">
        <v>318</v>
      </c>
      <c r="B319" t="s">
        <v>10</v>
      </c>
      <c r="C319" s="2">
        <v>16998</v>
      </c>
      <c r="D319" s="1">
        <v>17</v>
      </c>
      <c r="E319" s="1">
        <v>1</v>
      </c>
      <c r="F319" s="3">
        <v>27000</v>
      </c>
      <c r="G319" s="3">
        <v>18000</v>
      </c>
      <c r="H319" s="1">
        <v>70</v>
      </c>
      <c r="I319" s="1">
        <v>192</v>
      </c>
      <c r="J319" s="1">
        <v>1</v>
      </c>
    </row>
    <row r="320" spans="1:10" x14ac:dyDescent="0.3">
      <c r="A320" s="1">
        <v>319</v>
      </c>
      <c r="B320" t="s">
        <v>10</v>
      </c>
      <c r="C320" s="2">
        <v>21843</v>
      </c>
      <c r="D320" s="1">
        <v>12</v>
      </c>
      <c r="E320" s="1">
        <v>1</v>
      </c>
      <c r="F320" s="3">
        <v>24000</v>
      </c>
      <c r="G320" s="3">
        <v>15750</v>
      </c>
      <c r="H320" s="1">
        <v>70</v>
      </c>
      <c r="I320" s="1">
        <v>120</v>
      </c>
      <c r="J320" s="1">
        <v>1</v>
      </c>
    </row>
    <row r="321" spans="1:10" x14ac:dyDescent="0.3">
      <c r="A321" s="1">
        <v>320</v>
      </c>
      <c r="B321" t="s">
        <v>10</v>
      </c>
      <c r="C321" s="2">
        <v>22435</v>
      </c>
      <c r="D321" s="1">
        <v>17</v>
      </c>
      <c r="E321" s="1">
        <v>3</v>
      </c>
      <c r="F321" s="3">
        <v>78500</v>
      </c>
      <c r="G321" s="3">
        <v>28740</v>
      </c>
      <c r="H321" s="1">
        <v>70</v>
      </c>
      <c r="I321" s="1">
        <v>67</v>
      </c>
      <c r="J321" s="1">
        <v>1</v>
      </c>
    </row>
    <row r="322" spans="1:10" x14ac:dyDescent="0.3">
      <c r="A322" s="1">
        <v>321</v>
      </c>
      <c r="B322" t="s">
        <v>11</v>
      </c>
      <c r="C322" s="2">
        <v>20404</v>
      </c>
      <c r="D322" s="1">
        <v>12</v>
      </c>
      <c r="E322" s="1">
        <v>1</v>
      </c>
      <c r="F322" s="3">
        <v>20850</v>
      </c>
      <c r="G322" s="3">
        <v>13050</v>
      </c>
      <c r="H322" s="1">
        <v>70</v>
      </c>
      <c r="I322" s="1">
        <v>127</v>
      </c>
      <c r="J322" s="1">
        <v>1</v>
      </c>
    </row>
    <row r="323" spans="1:10" x14ac:dyDescent="0.3">
      <c r="A323" s="1">
        <v>322</v>
      </c>
      <c r="B323" t="s">
        <v>10</v>
      </c>
      <c r="C323" s="2">
        <v>11232</v>
      </c>
      <c r="D323" s="1">
        <v>12</v>
      </c>
      <c r="E323" s="1">
        <v>2</v>
      </c>
      <c r="F323" s="3">
        <v>30000</v>
      </c>
      <c r="G323" s="3">
        <v>15750</v>
      </c>
      <c r="H323" s="1">
        <v>69</v>
      </c>
      <c r="I323" s="1">
        <v>348</v>
      </c>
      <c r="J323" s="1">
        <v>0</v>
      </c>
    </row>
    <row r="324" spans="1:10" x14ac:dyDescent="0.3">
      <c r="A324" s="1">
        <v>323</v>
      </c>
      <c r="B324" t="s">
        <v>10</v>
      </c>
      <c r="C324" s="2">
        <v>12649</v>
      </c>
      <c r="D324" s="1">
        <v>8</v>
      </c>
      <c r="E324" s="1">
        <v>2</v>
      </c>
      <c r="F324" s="3">
        <v>28500</v>
      </c>
      <c r="G324" s="3">
        <v>15750</v>
      </c>
      <c r="H324" s="1">
        <v>69</v>
      </c>
      <c r="I324" s="1">
        <v>174</v>
      </c>
      <c r="J324" s="1">
        <v>0</v>
      </c>
    </row>
    <row r="325" spans="1:10" x14ac:dyDescent="0.3">
      <c r="A325" s="1">
        <v>324</v>
      </c>
      <c r="B325" t="s">
        <v>10</v>
      </c>
      <c r="C325" s="2">
        <v>23776</v>
      </c>
      <c r="D325" s="1">
        <v>19</v>
      </c>
      <c r="E325" s="1">
        <v>3</v>
      </c>
      <c r="F325" s="3">
        <v>65000</v>
      </c>
      <c r="G325" s="3">
        <v>31980</v>
      </c>
      <c r="H325" s="1">
        <v>69</v>
      </c>
      <c r="I325" s="1">
        <v>74</v>
      </c>
      <c r="J325" s="1">
        <v>0</v>
      </c>
    </row>
    <row r="326" spans="1:10" x14ac:dyDescent="0.3">
      <c r="A326" s="1">
        <v>325</v>
      </c>
      <c r="B326" t="s">
        <v>10</v>
      </c>
      <c r="C326" s="2">
        <v>21552</v>
      </c>
      <c r="D326" s="1">
        <v>14</v>
      </c>
      <c r="E326" s="1">
        <v>1</v>
      </c>
      <c r="F326" s="3">
        <v>30150</v>
      </c>
      <c r="G326" s="3">
        <v>16500</v>
      </c>
      <c r="H326" s="1">
        <v>69</v>
      </c>
      <c r="I326" s="1">
        <v>110</v>
      </c>
      <c r="J326" s="1">
        <v>0</v>
      </c>
    </row>
    <row r="327" spans="1:10" x14ac:dyDescent="0.3">
      <c r="A327" s="1">
        <v>326</v>
      </c>
      <c r="B327" t="s">
        <v>10</v>
      </c>
      <c r="C327" s="2">
        <v>21655</v>
      </c>
      <c r="D327" s="1">
        <v>19</v>
      </c>
      <c r="E327" s="1">
        <v>3</v>
      </c>
      <c r="F327" s="3">
        <v>66875</v>
      </c>
      <c r="G327" s="3">
        <v>32490</v>
      </c>
      <c r="H327" s="1">
        <v>69</v>
      </c>
      <c r="I327" s="1">
        <v>81</v>
      </c>
      <c r="J327" s="1">
        <v>0</v>
      </c>
    </row>
    <row r="328" spans="1:10" x14ac:dyDescent="0.3">
      <c r="A328" s="1">
        <v>327</v>
      </c>
      <c r="B328" t="s">
        <v>11</v>
      </c>
      <c r="C328" s="2">
        <v>25151</v>
      </c>
      <c r="D328" s="1">
        <v>15</v>
      </c>
      <c r="E328" s="1">
        <v>1</v>
      </c>
      <c r="F328" s="3">
        <v>24150</v>
      </c>
      <c r="G328" s="3">
        <v>13500</v>
      </c>
      <c r="H328" s="1">
        <v>69</v>
      </c>
      <c r="I328" s="1">
        <v>7</v>
      </c>
      <c r="J328" s="1">
        <v>0</v>
      </c>
    </row>
    <row r="329" spans="1:10" x14ac:dyDescent="0.3">
      <c r="A329" s="1">
        <v>328</v>
      </c>
      <c r="B329" t="s">
        <v>11</v>
      </c>
      <c r="C329" s="2">
        <v>25215</v>
      </c>
      <c r="D329" s="1">
        <v>12</v>
      </c>
      <c r="E329" s="1">
        <v>1</v>
      </c>
      <c r="F329" s="3">
        <v>24450</v>
      </c>
      <c r="G329" s="3">
        <v>12450</v>
      </c>
      <c r="H329" s="1">
        <v>69</v>
      </c>
      <c r="I329" s="1">
        <v>12</v>
      </c>
      <c r="J329" s="1">
        <v>0</v>
      </c>
    </row>
    <row r="330" spans="1:10" x14ac:dyDescent="0.3">
      <c r="A330" s="1">
        <v>329</v>
      </c>
      <c r="B330" t="s">
        <v>11</v>
      </c>
      <c r="C330" s="2">
        <v>25700</v>
      </c>
      <c r="D330" s="1">
        <v>12</v>
      </c>
      <c r="E330" s="1">
        <v>1</v>
      </c>
      <c r="F330" s="3">
        <v>21600</v>
      </c>
      <c r="G330" s="3">
        <v>12000</v>
      </c>
      <c r="H330" s="1">
        <v>69</v>
      </c>
      <c r="I330" s="1">
        <v>0</v>
      </c>
      <c r="J330" s="1">
        <v>0</v>
      </c>
    </row>
    <row r="331" spans="1:10" x14ac:dyDescent="0.3">
      <c r="A331" s="1">
        <v>330</v>
      </c>
      <c r="B331" t="s">
        <v>11</v>
      </c>
      <c r="C331" s="2">
        <v>25378</v>
      </c>
      <c r="D331" s="1">
        <v>12</v>
      </c>
      <c r="E331" s="1">
        <v>1</v>
      </c>
      <c r="F331" s="3">
        <v>27900</v>
      </c>
      <c r="G331" s="3">
        <v>12450</v>
      </c>
      <c r="H331" s="1">
        <v>69</v>
      </c>
      <c r="I331" s="1">
        <v>0</v>
      </c>
      <c r="J331" s="1">
        <v>0</v>
      </c>
    </row>
    <row r="332" spans="1:10" x14ac:dyDescent="0.3">
      <c r="A332" s="1">
        <v>331</v>
      </c>
      <c r="B332" t="s">
        <v>11</v>
      </c>
      <c r="C332" s="2">
        <v>25603</v>
      </c>
      <c r="D332" s="1">
        <v>8</v>
      </c>
      <c r="E332" s="1">
        <v>1</v>
      </c>
      <c r="F332" s="3">
        <v>29100</v>
      </c>
      <c r="G332" s="3">
        <v>12450</v>
      </c>
      <c r="H332" s="1">
        <v>69</v>
      </c>
      <c r="I332" s="1">
        <v>17</v>
      </c>
      <c r="J332" s="1">
        <v>0</v>
      </c>
    </row>
    <row r="333" spans="1:10" x14ac:dyDescent="0.3">
      <c r="A333" s="1">
        <v>332</v>
      </c>
      <c r="B333" t="s">
        <v>11</v>
      </c>
      <c r="C333" s="2">
        <v>25636</v>
      </c>
      <c r="D333" s="1">
        <v>12</v>
      </c>
      <c r="E333" s="1">
        <v>1</v>
      </c>
      <c r="F333" s="3">
        <v>22650</v>
      </c>
      <c r="G333" s="3">
        <v>11250</v>
      </c>
      <c r="H333" s="1">
        <v>69</v>
      </c>
      <c r="I333" s="1">
        <v>2</v>
      </c>
      <c r="J333" s="1">
        <v>0</v>
      </c>
    </row>
    <row r="334" spans="1:10" x14ac:dyDescent="0.3">
      <c r="A334" s="1">
        <v>333</v>
      </c>
      <c r="B334" t="s">
        <v>11</v>
      </c>
      <c r="C334" s="2">
        <v>25797</v>
      </c>
      <c r="D334" s="1">
        <v>12</v>
      </c>
      <c r="E334" s="1">
        <v>1</v>
      </c>
      <c r="F334" s="3">
        <v>20850</v>
      </c>
      <c r="G334" s="3">
        <v>11250</v>
      </c>
      <c r="H334" s="1">
        <v>69</v>
      </c>
      <c r="I334" s="1">
        <v>0</v>
      </c>
      <c r="J334" s="1">
        <v>0</v>
      </c>
    </row>
    <row r="335" spans="1:10" x14ac:dyDescent="0.3">
      <c r="A335" s="1">
        <v>334</v>
      </c>
      <c r="B335" t="s">
        <v>11</v>
      </c>
      <c r="C335" s="2">
        <v>25585</v>
      </c>
      <c r="D335" s="1">
        <v>12</v>
      </c>
      <c r="E335" s="1">
        <v>1</v>
      </c>
      <c r="F335" s="3">
        <v>22950</v>
      </c>
      <c r="G335" s="3">
        <v>12300</v>
      </c>
      <c r="H335" s="1">
        <v>69</v>
      </c>
      <c r="I335" s="1">
        <v>5</v>
      </c>
      <c r="J335" s="1">
        <v>0</v>
      </c>
    </row>
    <row r="336" spans="1:10" x14ac:dyDescent="0.3">
      <c r="A336" s="1">
        <v>335</v>
      </c>
      <c r="B336" t="s">
        <v>11</v>
      </c>
      <c r="C336" s="2">
        <v>25893</v>
      </c>
      <c r="D336" s="1">
        <v>12</v>
      </c>
      <c r="E336" s="1">
        <v>1</v>
      </c>
      <c r="F336" s="3">
        <v>30600</v>
      </c>
      <c r="G336" s="3">
        <v>12450</v>
      </c>
      <c r="H336" s="1">
        <v>69</v>
      </c>
      <c r="I336" s="1">
        <v>5</v>
      </c>
      <c r="J336" s="1">
        <v>0</v>
      </c>
    </row>
    <row r="337" spans="1:10" x14ac:dyDescent="0.3">
      <c r="A337" s="1">
        <v>336</v>
      </c>
      <c r="B337" t="s">
        <v>11</v>
      </c>
      <c r="C337" s="2">
        <v>25605</v>
      </c>
      <c r="D337" s="1">
        <v>12</v>
      </c>
      <c r="E337" s="1">
        <v>1</v>
      </c>
      <c r="F337" s="3">
        <v>20400</v>
      </c>
      <c r="G337" s="3">
        <v>11250</v>
      </c>
      <c r="H337" s="1">
        <v>69</v>
      </c>
      <c r="I337" s="1">
        <v>0</v>
      </c>
      <c r="J337" s="1">
        <v>0</v>
      </c>
    </row>
    <row r="338" spans="1:10" x14ac:dyDescent="0.3">
      <c r="A338" s="1">
        <v>337</v>
      </c>
      <c r="B338" t="s">
        <v>11</v>
      </c>
      <c r="C338" s="2">
        <v>25421</v>
      </c>
      <c r="D338" s="1">
        <v>12</v>
      </c>
      <c r="E338" s="1">
        <v>1</v>
      </c>
      <c r="F338" s="3">
        <v>23850</v>
      </c>
      <c r="G338" s="3">
        <v>12750</v>
      </c>
      <c r="H338" s="1">
        <v>69</v>
      </c>
      <c r="I338" s="1">
        <v>20</v>
      </c>
      <c r="J338" s="1">
        <v>0</v>
      </c>
    </row>
    <row r="339" spans="1:10" x14ac:dyDescent="0.3">
      <c r="A339" s="1">
        <v>338</v>
      </c>
      <c r="B339" t="s">
        <v>11</v>
      </c>
      <c r="C339" s="2">
        <v>25641</v>
      </c>
      <c r="D339" s="1">
        <v>12</v>
      </c>
      <c r="E339" s="1">
        <v>1</v>
      </c>
      <c r="F339" s="3">
        <v>22800</v>
      </c>
      <c r="G339" s="3">
        <v>11250</v>
      </c>
      <c r="H339" s="1">
        <v>69</v>
      </c>
      <c r="I339" s="1">
        <v>0</v>
      </c>
      <c r="J339" s="1">
        <v>0</v>
      </c>
    </row>
    <row r="340" spans="1:10" x14ac:dyDescent="0.3">
      <c r="A340" s="1">
        <v>339</v>
      </c>
      <c r="B340" t="s">
        <v>11</v>
      </c>
      <c r="C340" s="2">
        <v>25606</v>
      </c>
      <c r="D340" s="1">
        <v>12</v>
      </c>
      <c r="E340" s="1">
        <v>1</v>
      </c>
      <c r="F340" s="3">
        <v>20700</v>
      </c>
      <c r="G340" s="3">
        <v>11250</v>
      </c>
      <c r="H340" s="1">
        <v>69</v>
      </c>
      <c r="I340" s="1">
        <v>2</v>
      </c>
      <c r="J340" s="1">
        <v>0</v>
      </c>
    </row>
    <row r="341" spans="1:10" x14ac:dyDescent="0.3">
      <c r="A341" s="1">
        <v>340</v>
      </c>
      <c r="B341" t="s">
        <v>11</v>
      </c>
      <c r="C341" s="2">
        <v>25686</v>
      </c>
      <c r="D341" s="1">
        <v>12</v>
      </c>
      <c r="E341" s="1">
        <v>1</v>
      </c>
      <c r="F341" s="3">
        <v>21300</v>
      </c>
      <c r="G341" s="3">
        <v>11250</v>
      </c>
      <c r="H341" s="1">
        <v>69</v>
      </c>
      <c r="I341" s="1">
        <v>3</v>
      </c>
      <c r="J341" s="1">
        <v>1</v>
      </c>
    </row>
    <row r="342" spans="1:10" x14ac:dyDescent="0.3">
      <c r="A342" s="1">
        <v>341</v>
      </c>
      <c r="B342" t="s">
        <v>11</v>
      </c>
      <c r="C342" s="2">
        <v>19480</v>
      </c>
      <c r="D342" s="1">
        <v>12</v>
      </c>
      <c r="E342" s="1">
        <v>1</v>
      </c>
      <c r="F342" s="3">
        <v>24300</v>
      </c>
      <c r="G342" s="3">
        <v>15000</v>
      </c>
      <c r="H342" s="1">
        <v>69</v>
      </c>
      <c r="I342" s="1">
        <v>121</v>
      </c>
      <c r="J342" s="1">
        <v>1</v>
      </c>
    </row>
    <row r="343" spans="1:10" x14ac:dyDescent="0.3">
      <c r="A343" s="1">
        <v>342</v>
      </c>
      <c r="B343" t="s">
        <v>11</v>
      </c>
      <c r="C343" s="2">
        <v>16265</v>
      </c>
      <c r="D343" s="1">
        <v>12</v>
      </c>
      <c r="E343" s="1">
        <v>1</v>
      </c>
      <c r="F343" s="3">
        <v>19650</v>
      </c>
      <c r="G343" s="3">
        <v>13950</v>
      </c>
      <c r="H343" s="1">
        <v>69</v>
      </c>
      <c r="I343" s="1">
        <v>133</v>
      </c>
      <c r="J343" s="1">
        <v>1</v>
      </c>
    </row>
    <row r="344" spans="1:10" x14ac:dyDescent="0.3">
      <c r="A344" s="1">
        <v>343</v>
      </c>
      <c r="B344" t="s">
        <v>10</v>
      </c>
      <c r="C344" s="2">
        <v>24020</v>
      </c>
      <c r="D344" s="1">
        <v>17</v>
      </c>
      <c r="E344" s="1">
        <v>3</v>
      </c>
      <c r="F344" s="3">
        <v>60000</v>
      </c>
      <c r="G344" s="3">
        <v>32490</v>
      </c>
      <c r="H344" s="1">
        <v>68</v>
      </c>
      <c r="I344" s="1">
        <v>17</v>
      </c>
      <c r="J344" s="1">
        <v>0</v>
      </c>
    </row>
    <row r="345" spans="1:10" x14ac:dyDescent="0.3">
      <c r="A345" s="1">
        <v>344</v>
      </c>
      <c r="B345" t="s">
        <v>10</v>
      </c>
      <c r="C345" s="2">
        <v>23991</v>
      </c>
      <c r="D345" s="1">
        <v>15</v>
      </c>
      <c r="E345" s="1">
        <v>1</v>
      </c>
      <c r="F345" s="3">
        <v>30300</v>
      </c>
      <c r="G345" s="3">
        <v>15750</v>
      </c>
      <c r="H345" s="1">
        <v>68</v>
      </c>
      <c r="I345" s="1">
        <v>55</v>
      </c>
      <c r="J345" s="1">
        <v>0</v>
      </c>
    </row>
    <row r="346" spans="1:10" x14ac:dyDescent="0.3">
      <c r="A346" s="1">
        <v>345</v>
      </c>
      <c r="B346" t="s">
        <v>10</v>
      </c>
      <c r="C346" s="2">
        <v>23419</v>
      </c>
      <c r="D346" s="1">
        <v>19</v>
      </c>
      <c r="E346" s="1">
        <v>3</v>
      </c>
      <c r="F346" s="3">
        <v>61250</v>
      </c>
      <c r="G346" s="3">
        <v>33000</v>
      </c>
      <c r="H346" s="1">
        <v>68</v>
      </c>
      <c r="I346" s="1">
        <v>9</v>
      </c>
      <c r="J346" s="1">
        <v>0</v>
      </c>
    </row>
    <row r="347" spans="1:10" x14ac:dyDescent="0.3">
      <c r="A347" s="1">
        <v>346</v>
      </c>
      <c r="B347" t="s">
        <v>10</v>
      </c>
      <c r="C347" s="2">
        <v>22971</v>
      </c>
      <c r="D347" s="1">
        <v>19</v>
      </c>
      <c r="E347" s="1">
        <v>1</v>
      </c>
      <c r="F347" s="3">
        <v>36000</v>
      </c>
      <c r="G347" s="3">
        <v>19500</v>
      </c>
      <c r="H347" s="1">
        <v>68</v>
      </c>
      <c r="I347" s="1">
        <v>21</v>
      </c>
      <c r="J347" s="1">
        <v>0</v>
      </c>
    </row>
    <row r="348" spans="1:10" x14ac:dyDescent="0.3">
      <c r="A348" s="1">
        <v>347</v>
      </c>
      <c r="B348" t="s">
        <v>11</v>
      </c>
      <c r="C348" s="2">
        <v>15350</v>
      </c>
      <c r="D348" s="1">
        <v>8</v>
      </c>
      <c r="E348" s="1">
        <v>1</v>
      </c>
      <c r="F348" s="3">
        <v>25200</v>
      </c>
      <c r="G348" s="3">
        <v>18750</v>
      </c>
      <c r="H348" s="1">
        <v>68</v>
      </c>
      <c r="I348" s="1">
        <v>344</v>
      </c>
      <c r="J348" s="1">
        <v>0</v>
      </c>
    </row>
    <row r="349" spans="1:10" x14ac:dyDescent="0.3">
      <c r="A349" s="1">
        <v>348</v>
      </c>
      <c r="B349" t="s">
        <v>11</v>
      </c>
      <c r="C349" s="2">
        <v>11556</v>
      </c>
      <c r="D349" s="1">
        <v>12</v>
      </c>
      <c r="E349" s="1">
        <v>1</v>
      </c>
      <c r="F349" s="3">
        <v>16200</v>
      </c>
      <c r="G349" s="3">
        <v>10200</v>
      </c>
      <c r="H349" s="1">
        <v>68</v>
      </c>
      <c r="I349" s="1">
        <v>180</v>
      </c>
      <c r="J349" s="1">
        <v>0</v>
      </c>
    </row>
    <row r="350" spans="1:10" x14ac:dyDescent="0.3">
      <c r="A350" s="1">
        <v>349</v>
      </c>
      <c r="B350" t="s">
        <v>11</v>
      </c>
      <c r="C350" s="2">
        <v>25735</v>
      </c>
      <c r="D350" s="1">
        <v>12</v>
      </c>
      <c r="E350" s="1">
        <v>1</v>
      </c>
      <c r="F350" s="3">
        <v>22800</v>
      </c>
      <c r="G350" s="3">
        <v>11250</v>
      </c>
      <c r="H350" s="1">
        <v>68</v>
      </c>
      <c r="I350" s="1">
        <v>2</v>
      </c>
      <c r="J350" s="1">
        <v>0</v>
      </c>
    </row>
    <row r="351" spans="1:10" x14ac:dyDescent="0.3">
      <c r="A351" s="1">
        <v>350</v>
      </c>
      <c r="B351" t="s">
        <v>11</v>
      </c>
      <c r="C351" s="2">
        <v>24179</v>
      </c>
      <c r="D351" s="1">
        <v>16</v>
      </c>
      <c r="E351" s="1">
        <v>3</v>
      </c>
      <c r="F351" s="3">
        <v>43500</v>
      </c>
      <c r="G351" s="3">
        <v>19500</v>
      </c>
      <c r="H351" s="1">
        <v>68</v>
      </c>
      <c r="I351" s="1">
        <v>11</v>
      </c>
      <c r="J351" s="1">
        <v>0</v>
      </c>
    </row>
    <row r="352" spans="1:10" x14ac:dyDescent="0.3">
      <c r="A352" s="1">
        <v>351</v>
      </c>
      <c r="B352" t="s">
        <v>10</v>
      </c>
      <c r="C352" s="2">
        <v>22289</v>
      </c>
      <c r="D352" s="1">
        <v>8</v>
      </c>
      <c r="E352" s="1">
        <v>2</v>
      </c>
      <c r="F352" s="3">
        <v>30300</v>
      </c>
      <c r="G352" s="3">
        <v>15750</v>
      </c>
      <c r="H352" s="1">
        <v>68</v>
      </c>
      <c r="I352" s="1">
        <v>155</v>
      </c>
      <c r="J352" s="1">
        <v>1</v>
      </c>
    </row>
    <row r="353" spans="1:10" x14ac:dyDescent="0.3">
      <c r="A353" s="1">
        <v>352</v>
      </c>
      <c r="B353" t="s">
        <v>10</v>
      </c>
      <c r="C353" s="2">
        <v>23133</v>
      </c>
      <c r="D353" s="1">
        <v>15</v>
      </c>
      <c r="E353" s="1">
        <v>1</v>
      </c>
      <c r="F353" s="3">
        <v>31950</v>
      </c>
      <c r="G353" s="3">
        <v>15750</v>
      </c>
      <c r="H353" s="1">
        <v>68</v>
      </c>
      <c r="I353" s="1">
        <v>70</v>
      </c>
      <c r="J353" s="1">
        <v>1</v>
      </c>
    </row>
    <row r="354" spans="1:10" x14ac:dyDescent="0.3">
      <c r="A354" s="1">
        <v>353</v>
      </c>
      <c r="B354" t="s">
        <v>10</v>
      </c>
      <c r="C354" s="2">
        <v>23758</v>
      </c>
      <c r="D354" s="1">
        <v>15</v>
      </c>
      <c r="E354" s="1">
        <v>1</v>
      </c>
      <c r="F354" s="3">
        <v>35250</v>
      </c>
      <c r="G354" s="3">
        <v>13500</v>
      </c>
      <c r="H354" s="1">
        <v>67</v>
      </c>
      <c r="I354" s="1">
        <v>6</v>
      </c>
      <c r="J354" s="1">
        <v>0</v>
      </c>
    </row>
    <row r="355" spans="1:10" x14ac:dyDescent="0.3">
      <c r="A355" s="1">
        <v>354</v>
      </c>
      <c r="B355" t="s">
        <v>10</v>
      </c>
      <c r="C355" s="2">
        <v>24675</v>
      </c>
      <c r="D355" s="1">
        <v>15</v>
      </c>
      <c r="E355" s="1">
        <v>1</v>
      </c>
      <c r="F355" s="3">
        <v>37800</v>
      </c>
      <c r="G355" s="3">
        <v>15000</v>
      </c>
      <c r="H355" s="1">
        <v>67</v>
      </c>
      <c r="I355" s="1">
        <v>36</v>
      </c>
      <c r="J355" s="1">
        <v>0</v>
      </c>
    </row>
    <row r="356" spans="1:10" x14ac:dyDescent="0.3">
      <c r="A356" s="1">
        <v>355</v>
      </c>
      <c r="B356" t="s">
        <v>10</v>
      </c>
      <c r="C356" s="2">
        <v>23898</v>
      </c>
      <c r="D356" s="1">
        <v>15</v>
      </c>
      <c r="E356" s="1">
        <v>1</v>
      </c>
      <c r="F356" s="3">
        <v>31200</v>
      </c>
      <c r="G356" s="3">
        <v>15750</v>
      </c>
      <c r="H356" s="1">
        <v>67</v>
      </c>
      <c r="I356" s="1">
        <v>46</v>
      </c>
      <c r="J356" s="1">
        <v>0</v>
      </c>
    </row>
    <row r="357" spans="1:10" x14ac:dyDescent="0.3">
      <c r="A357" s="1">
        <v>356</v>
      </c>
      <c r="B357" t="s">
        <v>10</v>
      </c>
      <c r="C357" s="2">
        <v>23670</v>
      </c>
      <c r="D357" s="1">
        <v>15</v>
      </c>
      <c r="E357" s="1">
        <v>1</v>
      </c>
      <c r="F357" s="3">
        <v>29400</v>
      </c>
      <c r="G357" s="3">
        <v>16500</v>
      </c>
      <c r="H357" s="1">
        <v>67</v>
      </c>
      <c r="I357" s="1">
        <v>68</v>
      </c>
      <c r="J357" s="1">
        <v>0</v>
      </c>
    </row>
    <row r="358" spans="1:10" x14ac:dyDescent="0.3">
      <c r="A358" s="1">
        <v>357</v>
      </c>
      <c r="B358" t="s">
        <v>10</v>
      </c>
      <c r="C358" s="2">
        <v>21017</v>
      </c>
      <c r="D358" s="1">
        <v>19</v>
      </c>
      <c r="E358" s="1">
        <v>3</v>
      </c>
      <c r="F358" s="3">
        <v>70000</v>
      </c>
      <c r="G358" s="3">
        <v>35040</v>
      </c>
      <c r="H358" s="1">
        <v>67</v>
      </c>
      <c r="I358" s="1">
        <v>75</v>
      </c>
      <c r="J358" s="1">
        <v>0</v>
      </c>
    </row>
    <row r="359" spans="1:10" x14ac:dyDescent="0.3">
      <c r="A359" s="1">
        <v>358</v>
      </c>
      <c r="B359" t="s">
        <v>10</v>
      </c>
      <c r="C359" s="2">
        <v>22586</v>
      </c>
      <c r="D359" s="1">
        <v>15</v>
      </c>
      <c r="E359" s="1">
        <v>1</v>
      </c>
      <c r="F359" s="3">
        <v>33900</v>
      </c>
      <c r="G359" s="3">
        <v>15750</v>
      </c>
      <c r="H359" s="1">
        <v>67</v>
      </c>
      <c r="I359" s="1">
        <v>96</v>
      </c>
      <c r="J359" s="1">
        <v>0</v>
      </c>
    </row>
    <row r="360" spans="1:10" x14ac:dyDescent="0.3">
      <c r="A360" s="1">
        <v>359</v>
      </c>
      <c r="B360" t="s">
        <v>10</v>
      </c>
      <c r="C360" s="2">
        <v>23212</v>
      </c>
      <c r="D360" s="1">
        <v>15</v>
      </c>
      <c r="E360" s="1">
        <v>1</v>
      </c>
      <c r="F360" s="3">
        <v>27150</v>
      </c>
      <c r="G360" s="3">
        <v>16500</v>
      </c>
      <c r="H360" s="1">
        <v>67</v>
      </c>
      <c r="I360" s="1">
        <v>78</v>
      </c>
      <c r="J360" s="1">
        <v>0</v>
      </c>
    </row>
    <row r="361" spans="1:10" x14ac:dyDescent="0.3">
      <c r="A361" s="1">
        <v>360</v>
      </c>
      <c r="B361" t="s">
        <v>11</v>
      </c>
      <c r="C361" s="2">
        <v>13266</v>
      </c>
      <c r="D361" s="1">
        <v>12</v>
      </c>
      <c r="E361" s="1">
        <v>1</v>
      </c>
      <c r="F361" s="3">
        <v>22200</v>
      </c>
      <c r="G361" s="3">
        <v>13800</v>
      </c>
      <c r="H361" s="1">
        <v>67</v>
      </c>
      <c r="I361" s="1">
        <v>196</v>
      </c>
      <c r="J361" s="1">
        <v>0</v>
      </c>
    </row>
    <row r="362" spans="1:10" x14ac:dyDescent="0.3">
      <c r="A362" s="1">
        <v>361</v>
      </c>
      <c r="B362" t="s">
        <v>11</v>
      </c>
      <c r="C362" s="2">
        <v>24294</v>
      </c>
      <c r="D362" s="1">
        <v>15</v>
      </c>
      <c r="E362" s="1">
        <v>1</v>
      </c>
      <c r="F362" s="3">
        <v>31350</v>
      </c>
      <c r="G362" s="3">
        <v>11100</v>
      </c>
      <c r="H362" s="1">
        <v>67</v>
      </c>
      <c r="I362" s="1">
        <v>47</v>
      </c>
      <c r="J362" s="1">
        <v>0</v>
      </c>
    </row>
    <row r="363" spans="1:10" x14ac:dyDescent="0.3">
      <c r="A363" s="1">
        <v>362</v>
      </c>
      <c r="B363" t="s">
        <v>11</v>
      </c>
      <c r="C363" s="2">
        <v>15367</v>
      </c>
      <c r="D363" s="1">
        <v>12</v>
      </c>
      <c r="E363" s="1">
        <v>1</v>
      </c>
      <c r="F363" s="3">
        <v>20850</v>
      </c>
      <c r="G363" s="3">
        <v>13500</v>
      </c>
      <c r="H363" s="1">
        <v>67</v>
      </c>
      <c r="I363" s="1">
        <v>181</v>
      </c>
      <c r="J363" s="1">
        <v>0</v>
      </c>
    </row>
    <row r="364" spans="1:10" x14ac:dyDescent="0.3">
      <c r="A364" s="1">
        <v>363</v>
      </c>
      <c r="B364" t="s">
        <v>10</v>
      </c>
      <c r="C364" s="2">
        <v>19294</v>
      </c>
      <c r="D364" s="1">
        <v>16</v>
      </c>
      <c r="E364" s="1">
        <v>1</v>
      </c>
      <c r="F364" s="3">
        <v>33300</v>
      </c>
      <c r="G364" s="3">
        <v>17490</v>
      </c>
      <c r="H364" s="1">
        <v>67</v>
      </c>
      <c r="I364" s="1">
        <v>120</v>
      </c>
      <c r="J364" s="1">
        <v>1</v>
      </c>
    </row>
    <row r="365" spans="1:10" x14ac:dyDescent="0.3">
      <c r="A365" s="1">
        <v>364</v>
      </c>
      <c r="B365" t="s">
        <v>10</v>
      </c>
      <c r="C365" s="2">
        <v>15452</v>
      </c>
      <c r="D365" s="1">
        <v>8</v>
      </c>
      <c r="E365" s="1">
        <v>1</v>
      </c>
      <c r="F365" s="3">
        <v>26250</v>
      </c>
      <c r="G365" s="3">
        <v>16050</v>
      </c>
      <c r="H365" s="1">
        <v>67</v>
      </c>
      <c r="I365" s="1">
        <v>97</v>
      </c>
      <c r="J365" s="1">
        <v>1</v>
      </c>
    </row>
    <row r="366" spans="1:10" x14ac:dyDescent="0.3">
      <c r="A366" s="1">
        <v>365</v>
      </c>
      <c r="B366" t="s">
        <v>10</v>
      </c>
      <c r="C366" s="2">
        <v>23435</v>
      </c>
      <c r="D366" s="1">
        <v>15</v>
      </c>
      <c r="E366" s="1">
        <v>1</v>
      </c>
      <c r="F366" s="3">
        <v>31950</v>
      </c>
      <c r="G366" s="3">
        <v>15750</v>
      </c>
      <c r="H366" s="1">
        <v>67</v>
      </c>
      <c r="I366" s="1">
        <v>58</v>
      </c>
      <c r="J366" s="1">
        <v>1</v>
      </c>
    </row>
    <row r="367" spans="1:10" x14ac:dyDescent="0.3">
      <c r="A367" s="1">
        <v>366</v>
      </c>
      <c r="B367" t="s">
        <v>10</v>
      </c>
      <c r="C367" s="2">
        <v>17027</v>
      </c>
      <c r="D367" s="1">
        <v>8</v>
      </c>
      <c r="E367" s="1">
        <v>2</v>
      </c>
      <c r="F367" s="3">
        <v>30000</v>
      </c>
      <c r="G367" s="3">
        <v>15750</v>
      </c>
      <c r="H367" s="1">
        <v>67</v>
      </c>
      <c r="I367" s="1">
        <v>305</v>
      </c>
      <c r="J367" s="1">
        <v>1</v>
      </c>
    </row>
    <row r="368" spans="1:10" x14ac:dyDescent="0.3">
      <c r="A368" s="1">
        <v>367</v>
      </c>
      <c r="B368" t="s">
        <v>10</v>
      </c>
      <c r="C368" s="2">
        <v>20574</v>
      </c>
      <c r="D368" s="1">
        <v>19</v>
      </c>
      <c r="E368" s="1">
        <v>3</v>
      </c>
      <c r="F368" s="3">
        <v>66250</v>
      </c>
      <c r="G368" s="3">
        <v>34980</v>
      </c>
      <c r="H368" s="1">
        <v>67</v>
      </c>
      <c r="I368" s="1">
        <v>99</v>
      </c>
      <c r="J368" s="1">
        <v>1</v>
      </c>
    </row>
    <row r="369" spans="1:10" x14ac:dyDescent="0.3">
      <c r="A369" s="1">
        <v>368</v>
      </c>
      <c r="B369" t="s">
        <v>10</v>
      </c>
      <c r="C369" s="2">
        <v>21565</v>
      </c>
      <c r="D369" s="1">
        <v>18</v>
      </c>
      <c r="E369" s="1">
        <v>3</v>
      </c>
      <c r="F369" s="3">
        <v>86250</v>
      </c>
      <c r="G369" s="3">
        <v>45000</v>
      </c>
      <c r="H369" s="1">
        <v>66</v>
      </c>
      <c r="I369" s="1">
        <v>50</v>
      </c>
      <c r="J369" s="1">
        <v>0</v>
      </c>
    </row>
    <row r="370" spans="1:10" x14ac:dyDescent="0.3">
      <c r="A370" s="1">
        <v>369</v>
      </c>
      <c r="B370" t="s">
        <v>10</v>
      </c>
      <c r="C370" s="2">
        <v>23448</v>
      </c>
      <c r="D370" s="1">
        <v>12</v>
      </c>
      <c r="E370" s="1">
        <v>1</v>
      </c>
      <c r="F370" s="3">
        <v>30750</v>
      </c>
      <c r="G370" s="3">
        <v>15000</v>
      </c>
      <c r="H370" s="1">
        <v>66</v>
      </c>
      <c r="I370" s="1">
        <v>56</v>
      </c>
      <c r="J370" s="1">
        <v>0</v>
      </c>
    </row>
    <row r="371" spans="1:10" x14ac:dyDescent="0.3">
      <c r="A371" s="1">
        <v>370</v>
      </c>
      <c r="B371" t="s">
        <v>10</v>
      </c>
      <c r="C371" s="2">
        <v>24426</v>
      </c>
      <c r="D371" s="1">
        <v>12</v>
      </c>
      <c r="E371" s="1">
        <v>1</v>
      </c>
      <c r="F371" s="3">
        <v>33540</v>
      </c>
      <c r="G371" s="3">
        <v>15750</v>
      </c>
      <c r="H371" s="1">
        <v>66</v>
      </c>
      <c r="I371" s="1">
        <v>47</v>
      </c>
      <c r="J371" s="1">
        <v>0</v>
      </c>
    </row>
    <row r="372" spans="1:10" x14ac:dyDescent="0.3">
      <c r="A372" s="1">
        <v>371</v>
      </c>
      <c r="B372" t="s">
        <v>10</v>
      </c>
      <c r="C372" t="s">
        <v>12</v>
      </c>
      <c r="D372" s="1">
        <v>16</v>
      </c>
      <c r="E372" s="1">
        <v>1</v>
      </c>
      <c r="F372" s="3">
        <v>34950</v>
      </c>
      <c r="G372" s="3">
        <v>20250</v>
      </c>
      <c r="H372" s="1">
        <v>66</v>
      </c>
      <c r="I372" s="1">
        <v>55</v>
      </c>
      <c r="J372" s="1">
        <v>0</v>
      </c>
    </row>
    <row r="373" spans="1:10" x14ac:dyDescent="0.3">
      <c r="A373" s="1">
        <v>372</v>
      </c>
      <c r="B373" t="s">
        <v>10</v>
      </c>
      <c r="C373" s="2">
        <v>23521</v>
      </c>
      <c r="D373" s="1">
        <v>15</v>
      </c>
      <c r="E373" s="1">
        <v>1</v>
      </c>
      <c r="F373" s="3">
        <v>40350</v>
      </c>
      <c r="G373" s="3">
        <v>16500</v>
      </c>
      <c r="H373" s="1">
        <v>66</v>
      </c>
      <c r="I373" s="1">
        <v>80</v>
      </c>
      <c r="J373" s="1">
        <v>0</v>
      </c>
    </row>
    <row r="374" spans="1:10" x14ac:dyDescent="0.3">
      <c r="A374" s="1">
        <v>373</v>
      </c>
      <c r="B374" t="s">
        <v>10</v>
      </c>
      <c r="C374" s="2">
        <v>23889</v>
      </c>
      <c r="D374" s="1">
        <v>12</v>
      </c>
      <c r="E374" s="1">
        <v>1</v>
      </c>
      <c r="F374" s="3">
        <v>30270</v>
      </c>
      <c r="G374" s="3">
        <v>15750</v>
      </c>
      <c r="H374" s="1">
        <v>66</v>
      </c>
      <c r="I374" s="1">
        <v>80</v>
      </c>
      <c r="J374" s="1">
        <v>0</v>
      </c>
    </row>
    <row r="375" spans="1:10" x14ac:dyDescent="0.3">
      <c r="A375" s="1">
        <v>374</v>
      </c>
      <c r="B375" t="s">
        <v>10</v>
      </c>
      <c r="C375" s="2">
        <v>12301</v>
      </c>
      <c r="D375" s="1">
        <v>8</v>
      </c>
      <c r="E375" s="1">
        <v>1</v>
      </c>
      <c r="F375" s="3">
        <v>26250</v>
      </c>
      <c r="G375" s="3">
        <v>16050</v>
      </c>
      <c r="H375" s="1">
        <v>66</v>
      </c>
      <c r="I375" s="1">
        <v>264</v>
      </c>
      <c r="J375" s="1">
        <v>0</v>
      </c>
    </row>
    <row r="376" spans="1:10" x14ac:dyDescent="0.3">
      <c r="A376" s="1">
        <v>375</v>
      </c>
      <c r="B376" t="s">
        <v>10</v>
      </c>
      <c r="C376" s="2">
        <v>23661</v>
      </c>
      <c r="D376" s="1">
        <v>15</v>
      </c>
      <c r="E376" s="1">
        <v>1</v>
      </c>
      <c r="F376" s="3">
        <v>32400</v>
      </c>
      <c r="G376" s="3">
        <v>15000</v>
      </c>
      <c r="H376" s="1">
        <v>66</v>
      </c>
      <c r="I376" s="1">
        <v>64</v>
      </c>
      <c r="J376" s="1">
        <v>0</v>
      </c>
    </row>
    <row r="377" spans="1:10" x14ac:dyDescent="0.3">
      <c r="A377" s="1">
        <v>376</v>
      </c>
      <c r="B377" t="s">
        <v>11</v>
      </c>
      <c r="C377" s="2">
        <v>25744</v>
      </c>
      <c r="D377" s="1">
        <v>12</v>
      </c>
      <c r="E377" s="1">
        <v>1</v>
      </c>
      <c r="F377" s="3">
        <v>20400</v>
      </c>
      <c r="G377" s="3">
        <v>11250</v>
      </c>
      <c r="H377" s="1">
        <v>66</v>
      </c>
      <c r="I377" s="1">
        <v>0</v>
      </c>
      <c r="J377" s="1">
        <v>0</v>
      </c>
    </row>
    <row r="378" spans="1:10" x14ac:dyDescent="0.3">
      <c r="A378" s="1">
        <v>377</v>
      </c>
      <c r="B378" t="s">
        <v>11</v>
      </c>
      <c r="C378" s="2">
        <v>17481</v>
      </c>
      <c r="D378" s="1">
        <v>8</v>
      </c>
      <c r="E378" s="1">
        <v>1</v>
      </c>
      <c r="F378" s="3">
        <v>24150</v>
      </c>
      <c r="G378" s="3">
        <v>12750</v>
      </c>
      <c r="H378" s="1">
        <v>66</v>
      </c>
      <c r="I378" s="1">
        <v>96</v>
      </c>
      <c r="J378" s="1">
        <v>0</v>
      </c>
    </row>
    <row r="379" spans="1:10" x14ac:dyDescent="0.3">
      <c r="A379" s="1">
        <v>378</v>
      </c>
      <c r="B379" t="s">
        <v>11</v>
      </c>
      <c r="C379" s="2">
        <v>18112</v>
      </c>
      <c r="D379" s="1">
        <v>15</v>
      </c>
      <c r="E379" s="1">
        <v>1</v>
      </c>
      <c r="F379" s="3">
        <v>23850</v>
      </c>
      <c r="G379" s="3">
        <v>13500</v>
      </c>
      <c r="H379" s="1">
        <v>66</v>
      </c>
      <c r="I379" s="1">
        <v>122</v>
      </c>
      <c r="J379" s="1">
        <v>0</v>
      </c>
    </row>
    <row r="380" spans="1:10" x14ac:dyDescent="0.3">
      <c r="A380" s="1">
        <v>379</v>
      </c>
      <c r="B380" t="s">
        <v>11</v>
      </c>
      <c r="C380" s="2">
        <v>25099</v>
      </c>
      <c r="D380" s="1">
        <v>12</v>
      </c>
      <c r="E380" s="1">
        <v>1</v>
      </c>
      <c r="F380" s="3">
        <v>29700</v>
      </c>
      <c r="G380" s="3">
        <v>13500</v>
      </c>
      <c r="H380" s="1">
        <v>66</v>
      </c>
      <c r="I380" s="1">
        <v>26</v>
      </c>
      <c r="J380" s="1">
        <v>0</v>
      </c>
    </row>
    <row r="381" spans="1:10" x14ac:dyDescent="0.3">
      <c r="A381" s="1">
        <v>380</v>
      </c>
      <c r="B381" t="s">
        <v>11</v>
      </c>
      <c r="C381" s="2">
        <v>10634</v>
      </c>
      <c r="D381" s="1">
        <v>8</v>
      </c>
      <c r="E381" s="1">
        <v>1</v>
      </c>
      <c r="F381" s="3">
        <v>21600</v>
      </c>
      <c r="G381" s="3">
        <v>13500</v>
      </c>
      <c r="H381" s="1">
        <v>66</v>
      </c>
      <c r="I381" s="1">
        <v>228</v>
      </c>
      <c r="J381" s="1">
        <v>0</v>
      </c>
    </row>
    <row r="382" spans="1:10" x14ac:dyDescent="0.3">
      <c r="A382" s="1">
        <v>381</v>
      </c>
      <c r="B382" t="s">
        <v>11</v>
      </c>
      <c r="C382" s="2">
        <v>22540</v>
      </c>
      <c r="D382" s="1">
        <v>12</v>
      </c>
      <c r="E382" s="1">
        <v>1</v>
      </c>
      <c r="F382" s="3">
        <v>24450</v>
      </c>
      <c r="G382" s="3">
        <v>15750</v>
      </c>
      <c r="H382" s="1">
        <v>66</v>
      </c>
      <c r="I382" s="1">
        <v>87</v>
      </c>
      <c r="J382" s="1">
        <v>0</v>
      </c>
    </row>
    <row r="383" spans="1:10" x14ac:dyDescent="0.3">
      <c r="A383" s="1">
        <v>382</v>
      </c>
      <c r="B383" t="s">
        <v>10</v>
      </c>
      <c r="C383" s="2">
        <v>23227</v>
      </c>
      <c r="D383" s="1">
        <v>15</v>
      </c>
      <c r="E383" s="1">
        <v>1</v>
      </c>
      <c r="F383" s="3">
        <v>28050</v>
      </c>
      <c r="G383" s="3">
        <v>16500</v>
      </c>
      <c r="H383" s="1">
        <v>66</v>
      </c>
      <c r="I383" s="1">
        <v>84</v>
      </c>
      <c r="J383" s="1">
        <v>1</v>
      </c>
    </row>
    <row r="384" spans="1:10" x14ac:dyDescent="0.3">
      <c r="A384" s="1">
        <v>383</v>
      </c>
      <c r="B384" t="s">
        <v>10</v>
      </c>
      <c r="C384" s="2">
        <v>21400</v>
      </c>
      <c r="D384" s="1">
        <v>16</v>
      </c>
      <c r="E384" s="1">
        <v>3</v>
      </c>
      <c r="F384" s="3">
        <v>100000</v>
      </c>
      <c r="G384" s="3">
        <v>44100</v>
      </c>
      <c r="H384" s="1">
        <v>66</v>
      </c>
      <c r="I384" s="1">
        <v>128</v>
      </c>
      <c r="J384" s="1">
        <v>1</v>
      </c>
    </row>
    <row r="385" spans="1:10" x14ac:dyDescent="0.3">
      <c r="A385" s="1">
        <v>384</v>
      </c>
      <c r="B385" t="s">
        <v>10</v>
      </c>
      <c r="C385" s="2">
        <v>22464</v>
      </c>
      <c r="D385" s="1">
        <v>15</v>
      </c>
      <c r="E385" s="1">
        <v>1</v>
      </c>
      <c r="F385" s="3">
        <v>49000</v>
      </c>
      <c r="G385" s="3">
        <v>20550</v>
      </c>
      <c r="H385" s="1">
        <v>66</v>
      </c>
      <c r="I385" s="1">
        <v>86</v>
      </c>
      <c r="J385" s="1">
        <v>1</v>
      </c>
    </row>
    <row r="386" spans="1:10" x14ac:dyDescent="0.3">
      <c r="A386" s="1">
        <v>385</v>
      </c>
      <c r="B386" t="s">
        <v>11</v>
      </c>
      <c r="C386" s="2">
        <v>12210</v>
      </c>
      <c r="D386" s="1">
        <v>12</v>
      </c>
      <c r="E386" s="1">
        <v>1</v>
      </c>
      <c r="F386" s="3">
        <v>16350</v>
      </c>
      <c r="G386" s="3">
        <v>10200</v>
      </c>
      <c r="H386" s="1">
        <v>66</v>
      </c>
      <c r="I386" s="1">
        <v>163</v>
      </c>
      <c r="J386" s="1">
        <v>1</v>
      </c>
    </row>
    <row r="387" spans="1:10" x14ac:dyDescent="0.3">
      <c r="A387" s="1">
        <v>386</v>
      </c>
      <c r="B387" t="s">
        <v>10</v>
      </c>
      <c r="C387" s="2">
        <v>24109</v>
      </c>
      <c r="D387" s="1">
        <v>16</v>
      </c>
      <c r="E387" s="1">
        <v>3</v>
      </c>
      <c r="F387" s="3">
        <v>70000</v>
      </c>
      <c r="G387" s="3">
        <v>21750</v>
      </c>
      <c r="H387" s="1">
        <v>65</v>
      </c>
      <c r="I387" s="1">
        <v>19</v>
      </c>
      <c r="J387" s="1">
        <v>0</v>
      </c>
    </row>
    <row r="388" spans="1:10" x14ac:dyDescent="0.3">
      <c r="A388" s="1">
        <v>387</v>
      </c>
      <c r="B388" t="s">
        <v>10</v>
      </c>
      <c r="C388" s="2">
        <v>19926</v>
      </c>
      <c r="D388" s="1">
        <v>19</v>
      </c>
      <c r="E388" s="1">
        <v>3</v>
      </c>
      <c r="F388" s="3">
        <v>55000</v>
      </c>
      <c r="G388" s="3">
        <v>34980</v>
      </c>
      <c r="H388" s="1">
        <v>65</v>
      </c>
      <c r="I388" s="1">
        <v>129</v>
      </c>
      <c r="J388" s="1">
        <v>0</v>
      </c>
    </row>
    <row r="389" spans="1:10" x14ac:dyDescent="0.3">
      <c r="A389" s="1">
        <v>388</v>
      </c>
      <c r="B389" t="s">
        <v>10</v>
      </c>
      <c r="C389" s="2">
        <v>25403</v>
      </c>
      <c r="D389" s="1">
        <v>15</v>
      </c>
      <c r="E389" s="1">
        <v>1</v>
      </c>
      <c r="F389" s="3">
        <v>28500</v>
      </c>
      <c r="G389" s="3">
        <v>14250</v>
      </c>
      <c r="H389" s="1">
        <v>65</v>
      </c>
      <c r="I389" s="1">
        <v>20</v>
      </c>
      <c r="J389" s="1">
        <v>0</v>
      </c>
    </row>
    <row r="390" spans="1:10" x14ac:dyDescent="0.3">
      <c r="A390" s="1">
        <v>389</v>
      </c>
      <c r="B390" t="s">
        <v>10</v>
      </c>
      <c r="C390" s="2">
        <v>19584</v>
      </c>
      <c r="D390" s="1">
        <v>12</v>
      </c>
      <c r="E390" s="1">
        <v>1</v>
      </c>
      <c r="F390" s="3">
        <v>28800</v>
      </c>
      <c r="G390" s="3">
        <v>18000</v>
      </c>
      <c r="H390" s="1">
        <v>65</v>
      </c>
      <c r="I390" s="1">
        <v>210</v>
      </c>
      <c r="J390" s="1">
        <v>0</v>
      </c>
    </row>
    <row r="391" spans="1:10" x14ac:dyDescent="0.3">
      <c r="A391" s="1">
        <v>390</v>
      </c>
      <c r="B391" t="s">
        <v>10</v>
      </c>
      <c r="C391" s="2">
        <v>11177</v>
      </c>
      <c r="D391" s="1">
        <v>15</v>
      </c>
      <c r="E391" s="1">
        <v>1</v>
      </c>
      <c r="F391" s="3">
        <v>24450</v>
      </c>
      <c r="G391" s="3">
        <v>15750</v>
      </c>
      <c r="H391" s="1">
        <v>65</v>
      </c>
      <c r="I391" s="1">
        <v>338</v>
      </c>
      <c r="J391" s="1">
        <v>0</v>
      </c>
    </row>
    <row r="392" spans="1:10" x14ac:dyDescent="0.3">
      <c r="A392" s="1">
        <v>391</v>
      </c>
      <c r="B392" t="s">
        <v>10</v>
      </c>
      <c r="C392" s="2">
        <v>23951</v>
      </c>
      <c r="D392" s="1">
        <v>19</v>
      </c>
      <c r="E392" s="1">
        <v>3</v>
      </c>
      <c r="F392" s="3">
        <v>90625</v>
      </c>
      <c r="G392" s="3">
        <v>31250</v>
      </c>
      <c r="H392" s="1">
        <v>65</v>
      </c>
      <c r="I392" s="1">
        <v>18</v>
      </c>
      <c r="J392" s="1">
        <v>0</v>
      </c>
    </row>
    <row r="393" spans="1:10" x14ac:dyDescent="0.3">
      <c r="A393" s="1">
        <v>392</v>
      </c>
      <c r="B393" t="s">
        <v>10</v>
      </c>
      <c r="C393" s="2">
        <v>23393</v>
      </c>
      <c r="D393" s="1">
        <v>16</v>
      </c>
      <c r="E393" s="1">
        <v>3</v>
      </c>
      <c r="F393" s="3">
        <v>43650</v>
      </c>
      <c r="G393" s="3">
        <v>19500</v>
      </c>
      <c r="H393" s="1">
        <v>65</v>
      </c>
      <c r="I393" s="1">
        <v>19</v>
      </c>
      <c r="J393" s="1">
        <v>0</v>
      </c>
    </row>
    <row r="394" spans="1:10" x14ac:dyDescent="0.3">
      <c r="A394" s="1">
        <v>393</v>
      </c>
      <c r="B394" t="s">
        <v>10</v>
      </c>
      <c r="C394" s="2">
        <v>21840</v>
      </c>
      <c r="D394" s="1">
        <v>19</v>
      </c>
      <c r="E394" s="1">
        <v>3</v>
      </c>
      <c r="F394" s="3">
        <v>75000</v>
      </c>
      <c r="G394" s="3">
        <v>42510</v>
      </c>
      <c r="H394" s="1">
        <v>65</v>
      </c>
      <c r="I394" s="1">
        <v>54</v>
      </c>
      <c r="J394" s="1">
        <v>0</v>
      </c>
    </row>
    <row r="395" spans="1:10" x14ac:dyDescent="0.3">
      <c r="A395" s="1">
        <v>394</v>
      </c>
      <c r="B395" t="s">
        <v>10</v>
      </c>
      <c r="C395" s="2">
        <v>24985</v>
      </c>
      <c r="D395" s="1">
        <v>15</v>
      </c>
      <c r="E395" s="1">
        <v>1</v>
      </c>
      <c r="F395" s="3">
        <v>31650</v>
      </c>
      <c r="G395" s="3">
        <v>14250</v>
      </c>
      <c r="H395" s="1">
        <v>65</v>
      </c>
      <c r="I395" s="1">
        <v>10</v>
      </c>
      <c r="J395" s="1">
        <v>0</v>
      </c>
    </row>
    <row r="396" spans="1:10" x14ac:dyDescent="0.3">
      <c r="A396" s="1">
        <v>395</v>
      </c>
      <c r="B396" t="s">
        <v>10</v>
      </c>
      <c r="C396" s="2">
        <v>23929</v>
      </c>
      <c r="D396" s="1">
        <v>19</v>
      </c>
      <c r="E396" s="1">
        <v>3</v>
      </c>
      <c r="F396" s="3">
        <v>61875</v>
      </c>
      <c r="G396" s="3">
        <v>28740</v>
      </c>
      <c r="H396" s="1">
        <v>65</v>
      </c>
      <c r="I396" s="1">
        <v>26</v>
      </c>
      <c r="J396" s="1">
        <v>0</v>
      </c>
    </row>
    <row r="397" spans="1:10" x14ac:dyDescent="0.3">
      <c r="A397" s="1">
        <v>396</v>
      </c>
      <c r="B397" t="s">
        <v>11</v>
      </c>
      <c r="C397" s="2">
        <v>25974</v>
      </c>
      <c r="D397" s="1">
        <v>12</v>
      </c>
      <c r="E397" s="1">
        <v>1</v>
      </c>
      <c r="F397" s="3">
        <v>21750</v>
      </c>
      <c r="G397" s="3">
        <v>11250</v>
      </c>
      <c r="H397" s="1">
        <v>65</v>
      </c>
      <c r="I397" s="1">
        <v>0</v>
      </c>
      <c r="J397" s="1">
        <v>0</v>
      </c>
    </row>
    <row r="398" spans="1:10" x14ac:dyDescent="0.3">
      <c r="A398" s="1">
        <v>397</v>
      </c>
      <c r="B398" t="s">
        <v>11</v>
      </c>
      <c r="C398" s="2">
        <v>25427</v>
      </c>
      <c r="D398" s="1">
        <v>12</v>
      </c>
      <c r="E398" s="1">
        <v>1</v>
      </c>
      <c r="F398" s="3">
        <v>22500</v>
      </c>
      <c r="G398" s="3">
        <v>12750</v>
      </c>
      <c r="H398" s="1">
        <v>65</v>
      </c>
      <c r="I398" s="1">
        <v>24</v>
      </c>
      <c r="J398" s="1">
        <v>0</v>
      </c>
    </row>
    <row r="399" spans="1:10" x14ac:dyDescent="0.3">
      <c r="A399" s="1">
        <v>398</v>
      </c>
      <c r="B399" t="s">
        <v>11</v>
      </c>
      <c r="C399" s="2">
        <v>16018</v>
      </c>
      <c r="D399" s="1">
        <v>8</v>
      </c>
      <c r="E399" s="1">
        <v>1</v>
      </c>
      <c r="F399" s="3">
        <v>21600</v>
      </c>
      <c r="G399" s="3">
        <v>13500</v>
      </c>
      <c r="H399" s="1">
        <v>65</v>
      </c>
      <c r="I399" s="1">
        <v>173</v>
      </c>
      <c r="J399" s="1">
        <v>0</v>
      </c>
    </row>
    <row r="400" spans="1:10" x14ac:dyDescent="0.3">
      <c r="A400" s="1">
        <v>399</v>
      </c>
      <c r="B400" t="s">
        <v>11</v>
      </c>
      <c r="C400" s="2">
        <v>23302</v>
      </c>
      <c r="D400" s="1">
        <v>16</v>
      </c>
      <c r="E400" s="1">
        <v>3</v>
      </c>
      <c r="F400" s="3">
        <v>34410</v>
      </c>
      <c r="G400" s="3">
        <v>19500</v>
      </c>
      <c r="H400" s="1">
        <v>65</v>
      </c>
      <c r="I400" s="1">
        <v>79</v>
      </c>
      <c r="J400" s="1">
        <v>0</v>
      </c>
    </row>
    <row r="401" spans="1:10" x14ac:dyDescent="0.3">
      <c r="A401" s="1">
        <v>400</v>
      </c>
      <c r="B401" t="s">
        <v>11</v>
      </c>
      <c r="C401" s="2">
        <v>12707</v>
      </c>
      <c r="D401" s="1">
        <v>15</v>
      </c>
      <c r="E401" s="1">
        <v>1</v>
      </c>
      <c r="F401" s="3">
        <v>20700</v>
      </c>
      <c r="G401" s="3">
        <v>14250</v>
      </c>
      <c r="H401" s="1">
        <v>65</v>
      </c>
      <c r="I401" s="1">
        <v>241</v>
      </c>
      <c r="J401" s="1">
        <v>0</v>
      </c>
    </row>
    <row r="402" spans="1:10" x14ac:dyDescent="0.3">
      <c r="A402" s="1">
        <v>401</v>
      </c>
      <c r="B402" t="s">
        <v>10</v>
      </c>
      <c r="C402" s="2">
        <v>22725</v>
      </c>
      <c r="D402" s="1">
        <v>19</v>
      </c>
      <c r="E402" s="1">
        <v>3</v>
      </c>
      <c r="F402" s="3">
        <v>47550</v>
      </c>
      <c r="G402" s="3">
        <v>33000</v>
      </c>
      <c r="H402" s="1">
        <v>64</v>
      </c>
      <c r="I402" s="1">
        <v>27</v>
      </c>
      <c r="J402" s="1">
        <v>0</v>
      </c>
    </row>
    <row r="403" spans="1:10" x14ac:dyDescent="0.3">
      <c r="A403" s="1">
        <v>402</v>
      </c>
      <c r="B403" t="s">
        <v>10</v>
      </c>
      <c r="C403" s="2">
        <v>22847</v>
      </c>
      <c r="D403" s="1">
        <v>12</v>
      </c>
      <c r="E403" s="1">
        <v>1</v>
      </c>
      <c r="F403" s="3">
        <v>33900</v>
      </c>
      <c r="G403" s="3">
        <v>16500</v>
      </c>
      <c r="H403" s="1">
        <v>64</v>
      </c>
      <c r="I403" s="1">
        <v>106</v>
      </c>
      <c r="J403" s="1">
        <v>0</v>
      </c>
    </row>
    <row r="404" spans="1:10" x14ac:dyDescent="0.3">
      <c r="A404" s="1">
        <v>403</v>
      </c>
      <c r="B404" t="s">
        <v>11</v>
      </c>
      <c r="C404" s="2">
        <v>17699</v>
      </c>
      <c r="D404" s="1">
        <v>12</v>
      </c>
      <c r="E404" s="1">
        <v>1</v>
      </c>
      <c r="F404" s="3">
        <v>23400</v>
      </c>
      <c r="G404" s="3">
        <v>13500</v>
      </c>
      <c r="H404" s="1">
        <v>64</v>
      </c>
      <c r="I404" s="1">
        <v>198</v>
      </c>
      <c r="J404" s="1">
        <v>0</v>
      </c>
    </row>
    <row r="405" spans="1:10" x14ac:dyDescent="0.3">
      <c r="A405" s="1">
        <v>404</v>
      </c>
      <c r="B405" t="s">
        <v>11</v>
      </c>
      <c r="C405" s="2">
        <v>24702</v>
      </c>
      <c r="D405" s="1">
        <v>16</v>
      </c>
      <c r="E405" s="1">
        <v>1</v>
      </c>
      <c r="F405" s="3">
        <v>32850</v>
      </c>
      <c r="G405" s="3">
        <v>19500</v>
      </c>
      <c r="H405" s="1">
        <v>64</v>
      </c>
      <c r="I405" s="1">
        <v>20</v>
      </c>
      <c r="J405" s="1">
        <v>0</v>
      </c>
    </row>
    <row r="406" spans="1:10" x14ac:dyDescent="0.3">
      <c r="A406" s="1">
        <v>405</v>
      </c>
      <c r="B406" t="s">
        <v>11</v>
      </c>
      <c r="C406" s="2">
        <v>24074</v>
      </c>
      <c r="D406" s="1">
        <v>16</v>
      </c>
      <c r="E406" s="1">
        <v>3</v>
      </c>
      <c r="F406" s="3">
        <v>55750</v>
      </c>
      <c r="G406" s="3">
        <v>19980</v>
      </c>
      <c r="H406" s="1">
        <v>64</v>
      </c>
      <c r="I406" s="1">
        <v>36</v>
      </c>
      <c r="J406" s="1">
        <v>0</v>
      </c>
    </row>
    <row r="407" spans="1:10" x14ac:dyDescent="0.3">
      <c r="A407" s="1">
        <v>406</v>
      </c>
      <c r="B407" t="s">
        <v>11</v>
      </c>
      <c r="C407" s="2">
        <v>23529</v>
      </c>
      <c r="D407" s="1">
        <v>15</v>
      </c>
      <c r="E407" s="1">
        <v>1</v>
      </c>
      <c r="F407" s="3">
        <v>25200</v>
      </c>
      <c r="G407" s="3">
        <v>13950</v>
      </c>
      <c r="H407" s="1">
        <v>64</v>
      </c>
      <c r="I407" s="1">
        <v>57</v>
      </c>
      <c r="J407" s="1">
        <v>0</v>
      </c>
    </row>
    <row r="408" spans="1:10" x14ac:dyDescent="0.3">
      <c r="A408" s="1">
        <v>407</v>
      </c>
      <c r="B408" t="s">
        <v>10</v>
      </c>
      <c r="C408" s="2">
        <v>23398</v>
      </c>
      <c r="D408" s="1">
        <v>12</v>
      </c>
      <c r="E408" s="1">
        <v>1</v>
      </c>
      <c r="F408" s="3">
        <v>26250</v>
      </c>
      <c r="G408" s="3">
        <v>15750</v>
      </c>
      <c r="H408" s="1">
        <v>64</v>
      </c>
      <c r="I408" s="1">
        <v>69</v>
      </c>
      <c r="J408" s="1">
        <v>1</v>
      </c>
    </row>
    <row r="409" spans="1:10" x14ac:dyDescent="0.3">
      <c r="A409" s="1">
        <v>408</v>
      </c>
      <c r="B409" t="s">
        <v>10</v>
      </c>
      <c r="C409" s="2">
        <v>24322</v>
      </c>
      <c r="D409" s="1">
        <v>15</v>
      </c>
      <c r="E409" s="1">
        <v>1</v>
      </c>
      <c r="F409" s="3">
        <v>26400</v>
      </c>
      <c r="G409" s="3">
        <v>15750</v>
      </c>
      <c r="H409" s="1">
        <v>64</v>
      </c>
      <c r="I409" s="1">
        <v>32</v>
      </c>
      <c r="J409" s="1">
        <v>1</v>
      </c>
    </row>
    <row r="410" spans="1:10" x14ac:dyDescent="0.3">
      <c r="A410" s="1">
        <v>409</v>
      </c>
      <c r="B410" t="s">
        <v>10</v>
      </c>
      <c r="C410" s="2">
        <v>24159</v>
      </c>
      <c r="D410" s="1">
        <v>15</v>
      </c>
      <c r="E410" s="1">
        <v>1</v>
      </c>
      <c r="F410" s="3">
        <v>39150</v>
      </c>
      <c r="G410" s="3">
        <v>15750</v>
      </c>
      <c r="H410" s="1">
        <v>63</v>
      </c>
      <c r="I410" s="1">
        <v>46</v>
      </c>
      <c r="J410" s="1">
        <v>0</v>
      </c>
    </row>
    <row r="411" spans="1:10" x14ac:dyDescent="0.3">
      <c r="A411" s="1">
        <v>410</v>
      </c>
      <c r="B411" t="s">
        <v>11</v>
      </c>
      <c r="C411" s="2">
        <v>13844</v>
      </c>
      <c r="D411" s="1">
        <v>12</v>
      </c>
      <c r="E411" s="1">
        <v>1</v>
      </c>
      <c r="F411" s="3">
        <v>21450</v>
      </c>
      <c r="G411" s="3">
        <v>12750</v>
      </c>
      <c r="H411" s="1">
        <v>63</v>
      </c>
      <c r="I411" s="1">
        <v>139</v>
      </c>
      <c r="J411" s="1">
        <v>0</v>
      </c>
    </row>
    <row r="412" spans="1:10" x14ac:dyDescent="0.3">
      <c r="A412" s="1">
        <v>411</v>
      </c>
      <c r="B412" t="s">
        <v>11</v>
      </c>
      <c r="C412" s="2">
        <v>25147</v>
      </c>
      <c r="D412" s="1">
        <v>12</v>
      </c>
      <c r="E412" s="1">
        <v>1</v>
      </c>
      <c r="F412" s="3">
        <v>29400</v>
      </c>
      <c r="G412" s="3">
        <v>14250</v>
      </c>
      <c r="H412" s="1">
        <v>63</v>
      </c>
      <c r="I412" s="1">
        <v>9</v>
      </c>
      <c r="J412" s="1">
        <v>0</v>
      </c>
    </row>
  </sheetData>
  <pageMargins left="0.7" right="0.7" top="0.75" bottom="0.75" header="0.3" footer="0.3"/>
  <pageSetup orientation="portrait" r:id="rId1"/>
  <ignoredErrors>
    <ignoredError sqref="A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361BA9-013B-4C1D-B7A2-CFBDCA364D35}">
  <sheetPr codeName="Sheet4_HID1"/>
  <dimension ref="A1:AB500"/>
  <sheetViews>
    <sheetView workbookViewId="0">
      <selection activeCell="Y1" sqref="Y1"/>
    </sheetView>
  </sheetViews>
  <sheetFormatPr defaultRowHeight="14.4" x14ac:dyDescent="0.3"/>
  <sheetData>
    <row r="1" spans="1:28" x14ac:dyDescent="0.3">
      <c r="A1">
        <v>1</v>
      </c>
      <c r="C1">
        <f t="shared" ref="C1:C64" si="0">-4+(A1-1)*0.0160320641282565</f>
        <v>-4</v>
      </c>
      <c r="D1">
        <f>[1]!XLSTAT_PDFNormal(C1,0,1)</f>
        <v>1.3383022576488537E-4</v>
      </c>
      <c r="E1">
        <v>1</v>
      </c>
      <c r="G1">
        <f t="shared" ref="G1:G64" si="1">0.0001+(E1-1)*0.0040078156312625</f>
        <v>1E-4</v>
      </c>
      <c r="H1">
        <f>[1]!XLSTAT_PDFWeibull(G1,1)</f>
        <v>0.99990000499983334</v>
      </c>
      <c r="I1">
        <v>1</v>
      </c>
      <c r="K1">
        <f t="shared" ref="K1:K64" si="2">0.0001+(I1-1)*0.0040078156312625</f>
        <v>1E-4</v>
      </c>
      <c r="L1">
        <f>[1]!XLSTAT_PDFWeibull(K1,1,1)</f>
        <v>0.99990000499983334</v>
      </c>
      <c r="M1">
        <v>1</v>
      </c>
      <c r="O1">
        <f t="shared" ref="O1:O64" si="3">0.0001+(M1-1)*0.0040078156312625</f>
        <v>1E-4</v>
      </c>
      <c r="P1">
        <f>[1]!XLSTAT_PDFWeibull(O1,5,1)</f>
        <v>5.0000000000000319E-16</v>
      </c>
      <c r="Q1">
        <v>1</v>
      </c>
      <c r="S1">
        <f t="shared" ref="S1:S64" si="4">0.0001+(Q1-1)*0.0040078156312625</f>
        <v>1E-4</v>
      </c>
      <c r="T1">
        <f>[1]!XLSTAT_PDFWeibull(S1,10,1)</f>
        <v>1.0000000000000075E-35</v>
      </c>
      <c r="U1">
        <v>1</v>
      </c>
      <c r="W1">
        <f t="shared" ref="W1:W64" si="5">0.0001+(U1-1)*0.0040078156312625</f>
        <v>1E-4</v>
      </c>
      <c r="X1">
        <f>[1]!XLSTAT_PDFWeibull(W1,10,5)</f>
        <v>1.0239999999999936E-42</v>
      </c>
      <c r="Y1">
        <v>1</v>
      </c>
      <c r="AA1">
        <f t="shared" ref="AA1:AA64" si="6">0.0001+(Y1-1)*0.0040078156312625</f>
        <v>1E-4</v>
      </c>
      <c r="AB1">
        <f>[1]!XLSTAT_PDFWeibull(AA1,10,5)</f>
        <v>1.0239999999999936E-42</v>
      </c>
    </row>
    <row r="2" spans="1:28" x14ac:dyDescent="0.3">
      <c r="A2">
        <v>2</v>
      </c>
      <c r="C2">
        <f t="shared" si="0"/>
        <v>-3.9839679358717435</v>
      </c>
      <c r="D2">
        <f>[1]!XLSTAT_PDFNormal(C2,0,1)</f>
        <v>1.4267534974104712E-4</v>
      </c>
      <c r="E2">
        <v>2</v>
      </c>
      <c r="G2">
        <f t="shared" si="1"/>
        <v>4.1078156312625005E-3</v>
      </c>
      <c r="H2">
        <f>[1]!XLSTAT_PDFWeibull(G2,1)</f>
        <v>0.99590060990257301</v>
      </c>
      <c r="I2">
        <v>2</v>
      </c>
      <c r="K2">
        <f t="shared" si="2"/>
        <v>4.1078156312625005E-3</v>
      </c>
      <c r="L2">
        <f>[1]!XLSTAT_PDFWeibull(K2,1,1)</f>
        <v>0.99590060990257301</v>
      </c>
      <c r="M2">
        <v>2</v>
      </c>
      <c r="O2">
        <f t="shared" si="3"/>
        <v>4.1078156312625005E-3</v>
      </c>
      <c r="P2">
        <f>[1]!XLSTAT_PDFWeibull(O2,5,1)</f>
        <v>1.4236845663171399E-9</v>
      </c>
      <c r="Q2">
        <v>2</v>
      </c>
      <c r="S2">
        <f t="shared" si="4"/>
        <v>4.1078156312625005E-3</v>
      </c>
      <c r="T2">
        <f>[1]!XLSTAT_PDFWeibull(S2,10,1)</f>
        <v>3.3304160323996374E-21</v>
      </c>
      <c r="U2">
        <v>2</v>
      </c>
      <c r="W2">
        <f t="shared" si="5"/>
        <v>4.1078156312625005E-3</v>
      </c>
      <c r="X2">
        <f>[1]!XLSTAT_PDFWeibull(W2,10,5)</f>
        <v>3.4103460171772306E-28</v>
      </c>
      <c r="Y2">
        <v>2</v>
      </c>
      <c r="AA2">
        <f t="shared" si="6"/>
        <v>4.1078156312625005E-3</v>
      </c>
      <c r="AB2">
        <f>[1]!XLSTAT_PDFWeibull(AA2,10,5)</f>
        <v>3.4103460171772306E-28</v>
      </c>
    </row>
    <row r="3" spans="1:28" x14ac:dyDescent="0.3">
      <c r="A3">
        <v>3</v>
      </c>
      <c r="C3">
        <f t="shared" si="0"/>
        <v>-3.9679358717434869</v>
      </c>
      <c r="D3">
        <f>[1]!XLSTAT_PDFNormal(C3,0,1)</f>
        <v>1.52065976657072E-4</v>
      </c>
      <c r="E3">
        <v>3</v>
      </c>
      <c r="G3">
        <f t="shared" si="1"/>
        <v>8.1156312625249999E-3</v>
      </c>
      <c r="H3">
        <f>[1]!XLSTAT_PDFWeibull(G3,1)</f>
        <v>0.99191721156605273</v>
      </c>
      <c r="I3">
        <v>3</v>
      </c>
      <c r="K3">
        <f t="shared" si="2"/>
        <v>8.1156312625249999E-3</v>
      </c>
      <c r="L3">
        <f>[1]!XLSTAT_PDFWeibull(K3,1,1)</f>
        <v>0.99191721156605273</v>
      </c>
      <c r="M3">
        <v>3</v>
      </c>
      <c r="O3">
        <f t="shared" si="3"/>
        <v>8.1156312625249999E-3</v>
      </c>
      <c r="P3">
        <f>[1]!XLSTAT_PDFWeibull(O3,5,1)</f>
        <v>2.1689983921283547E-8</v>
      </c>
      <c r="Q3">
        <v>3</v>
      </c>
      <c r="S3">
        <f t="shared" si="4"/>
        <v>8.1156312625249999E-3</v>
      </c>
      <c r="T3">
        <f>[1]!XLSTAT_PDFWeibull(S3,10,1)</f>
        <v>1.5272170289866229E-18</v>
      </c>
      <c r="U3">
        <v>3</v>
      </c>
      <c r="W3">
        <f t="shared" si="5"/>
        <v>8.1156312625249999E-3</v>
      </c>
      <c r="X3">
        <f>[1]!XLSTAT_PDFWeibull(W3,10,5)</f>
        <v>1.5638702376823136E-25</v>
      </c>
      <c r="Y3">
        <v>3</v>
      </c>
      <c r="AA3">
        <f t="shared" si="6"/>
        <v>8.1156312625249999E-3</v>
      </c>
      <c r="AB3">
        <f>[1]!XLSTAT_PDFWeibull(AA3,10,5)</f>
        <v>1.5638702376823136E-25</v>
      </c>
    </row>
    <row r="4" spans="1:28" x14ac:dyDescent="0.3">
      <c r="A4">
        <v>4</v>
      </c>
      <c r="C4">
        <f t="shared" si="0"/>
        <v>-3.9519038076152304</v>
      </c>
      <c r="D4">
        <f>[1]!XLSTAT_PDFNormal(C4,0,1)</f>
        <v>1.6203302499301177E-4</v>
      </c>
      <c r="E4">
        <v>4</v>
      </c>
      <c r="G4">
        <f t="shared" si="1"/>
        <v>1.21234468937875E-2</v>
      </c>
      <c r="H4">
        <f>[1]!XLSTAT_PDFWeibull(G4,1)</f>
        <v>0.98794974600650809</v>
      </c>
      <c r="I4">
        <v>4</v>
      </c>
      <c r="K4">
        <f t="shared" si="2"/>
        <v>1.21234468937875E-2</v>
      </c>
      <c r="L4">
        <f>[1]!XLSTAT_PDFWeibull(K4,1,1)</f>
        <v>0.98794974600650809</v>
      </c>
      <c r="M4">
        <v>4</v>
      </c>
      <c r="O4">
        <f t="shared" si="3"/>
        <v>1.21234468937875E-2</v>
      </c>
      <c r="P4">
        <f>[1]!XLSTAT_PDFWeibull(O4,5,1)</f>
        <v>1.0801261034164321E-7</v>
      </c>
      <c r="Q4">
        <v>4</v>
      </c>
      <c r="S4">
        <f t="shared" si="4"/>
        <v>1.21234468937875E-2</v>
      </c>
      <c r="T4">
        <f>[1]!XLSTAT_PDFWeibull(S4,10,1)</f>
        <v>5.6576363530184871E-17</v>
      </c>
      <c r="U4">
        <v>4</v>
      </c>
      <c r="W4">
        <f t="shared" si="5"/>
        <v>1.21234468937875E-2</v>
      </c>
      <c r="X4">
        <f>[1]!XLSTAT_PDFWeibull(W4,10,5)</f>
        <v>5.7934196254909747E-24</v>
      </c>
      <c r="Y4">
        <v>4</v>
      </c>
      <c r="AA4">
        <f t="shared" si="6"/>
        <v>1.21234468937875E-2</v>
      </c>
      <c r="AB4">
        <f>[1]!XLSTAT_PDFWeibull(AA4,10,5)</f>
        <v>5.7934196254909747E-24</v>
      </c>
    </row>
    <row r="5" spans="1:28" x14ac:dyDescent="0.3">
      <c r="A5">
        <v>5</v>
      </c>
      <c r="C5">
        <f t="shared" si="0"/>
        <v>-3.9358717434869739</v>
      </c>
      <c r="D5">
        <f>[1]!XLSTAT_PDFNormal(C5,0,1)</f>
        <v>1.7260898501672681E-4</v>
      </c>
      <c r="E5">
        <v>5</v>
      </c>
      <c r="G5">
        <f t="shared" si="1"/>
        <v>1.613126252505E-2</v>
      </c>
      <c r="H5">
        <f>[1]!XLSTAT_PDFWeibull(G5,1)</f>
        <v>0.98399814949609632</v>
      </c>
      <c r="I5">
        <v>5</v>
      </c>
      <c r="K5">
        <f t="shared" si="2"/>
        <v>1.613126252505E-2</v>
      </c>
      <c r="L5">
        <f>[1]!XLSTAT_PDFWeibull(K5,1,1)</f>
        <v>0.98399814949609632</v>
      </c>
      <c r="M5">
        <v>5</v>
      </c>
      <c r="O5">
        <f t="shared" si="3"/>
        <v>1.613126252505E-2</v>
      </c>
      <c r="P5">
        <f>[1]!XLSTAT_PDFWeibull(O5,5,1)</f>
        <v>3.385660761411024E-7</v>
      </c>
      <c r="Q5">
        <v>5</v>
      </c>
      <c r="S5">
        <f t="shared" si="4"/>
        <v>1.613126252505E-2</v>
      </c>
      <c r="T5">
        <f>[1]!XLSTAT_PDFWeibull(S5,10,1)</f>
        <v>7.3963121541169441E-16</v>
      </c>
      <c r="U5">
        <v>5</v>
      </c>
      <c r="W5">
        <f t="shared" si="5"/>
        <v>1.613126252505E-2</v>
      </c>
      <c r="X5">
        <f>[1]!XLSTAT_PDFWeibull(W5,10,5)</f>
        <v>7.5738236458157543E-23</v>
      </c>
      <c r="Y5">
        <v>5</v>
      </c>
      <c r="AA5">
        <f t="shared" si="6"/>
        <v>1.613126252505E-2</v>
      </c>
      <c r="AB5">
        <f>[1]!XLSTAT_PDFWeibull(AA5,10,5)</f>
        <v>7.5738236458157543E-23</v>
      </c>
    </row>
    <row r="6" spans="1:28" x14ac:dyDescent="0.3">
      <c r="A6">
        <v>6</v>
      </c>
      <c r="C6">
        <f t="shared" si="0"/>
        <v>-3.9198396793587174</v>
      </c>
      <c r="D6">
        <f>[1]!XLSTAT_PDFNormal(C6,0,1)</f>
        <v>1.8382798731651485E-4</v>
      </c>
      <c r="E6">
        <v>6</v>
      </c>
      <c r="G6">
        <f t="shared" si="1"/>
        <v>2.0139078156312499E-2</v>
      </c>
      <c r="H6">
        <f>[1]!XLSTAT_PDFWeibull(G6,1)</f>
        <v>0.98006235856187329</v>
      </c>
      <c r="I6">
        <v>6</v>
      </c>
      <c r="K6">
        <f t="shared" si="2"/>
        <v>2.0139078156312499E-2</v>
      </c>
      <c r="L6">
        <f>[1]!XLSTAT_PDFWeibull(K6,1,1)</f>
        <v>0.98006235856187329</v>
      </c>
      <c r="M6">
        <v>6</v>
      </c>
      <c r="O6">
        <f t="shared" si="3"/>
        <v>2.0139078156312499E-2</v>
      </c>
      <c r="P6">
        <f>[1]!XLSTAT_PDFWeibull(O6,5,1)</f>
        <v>8.2248569301940737E-7</v>
      </c>
      <c r="Q6">
        <v>6</v>
      </c>
      <c r="S6">
        <f t="shared" si="4"/>
        <v>2.0139078156312499E-2</v>
      </c>
      <c r="T6">
        <f>[1]!XLSTAT_PDFWeibull(S6,10,1)</f>
        <v>5.4494953454034242E-15</v>
      </c>
      <c r="U6">
        <v>6</v>
      </c>
      <c r="W6">
        <f t="shared" si="5"/>
        <v>2.0139078156312499E-2</v>
      </c>
      <c r="X6">
        <f>[1]!XLSTAT_PDFWeibull(W6,10,5)</f>
        <v>5.580283233693149E-22</v>
      </c>
      <c r="Y6">
        <v>6</v>
      </c>
      <c r="AA6">
        <f t="shared" si="6"/>
        <v>2.0139078156312499E-2</v>
      </c>
      <c r="AB6">
        <f>[1]!XLSTAT_PDFWeibull(AA6,10,5)</f>
        <v>5.580283233693149E-22</v>
      </c>
    </row>
    <row r="7" spans="1:28" x14ac:dyDescent="0.3">
      <c r="A7">
        <v>7</v>
      </c>
      <c r="C7">
        <f t="shared" si="0"/>
        <v>-3.9038076152304608</v>
      </c>
      <c r="D7">
        <f>[1]!XLSTAT_PDFNormal(C7,0,1)</f>
        <v>1.9572587364005087E-4</v>
      </c>
      <c r="E7">
        <v>7</v>
      </c>
      <c r="G7">
        <f t="shared" si="1"/>
        <v>2.4146893787575001E-2</v>
      </c>
      <c r="H7">
        <f>[1]!XLSTAT_PDFWeibull(G7,1)</f>
        <v>0.97614230998477336</v>
      </c>
      <c r="I7">
        <v>7</v>
      </c>
      <c r="K7">
        <f t="shared" si="2"/>
        <v>2.4146893787575001E-2</v>
      </c>
      <c r="L7">
        <f>[1]!XLSTAT_PDFWeibull(K7,1,1)</f>
        <v>0.97614230998477336</v>
      </c>
      <c r="M7">
        <v>7</v>
      </c>
      <c r="O7">
        <f t="shared" si="3"/>
        <v>2.4146893787575001E-2</v>
      </c>
      <c r="P7">
        <f>[1]!XLSTAT_PDFWeibull(O7,5,1)</f>
        <v>1.6998675683122558E-6</v>
      </c>
      <c r="Q7">
        <v>7</v>
      </c>
      <c r="S7">
        <f t="shared" si="4"/>
        <v>2.4146893787575001E-2</v>
      </c>
      <c r="T7">
        <f>[1]!XLSTAT_PDFWeibull(S7,10,1)</f>
        <v>2.7909460819166692E-14</v>
      </c>
      <c r="U7">
        <v>7</v>
      </c>
      <c r="W7">
        <f t="shared" si="5"/>
        <v>2.4146893787575001E-2</v>
      </c>
      <c r="X7">
        <f>[1]!XLSTAT_PDFWeibull(W7,10,5)</f>
        <v>2.8579287878826806E-21</v>
      </c>
      <c r="Y7">
        <v>7</v>
      </c>
      <c r="AA7">
        <f t="shared" si="6"/>
        <v>2.4146893787575001E-2</v>
      </c>
      <c r="AB7">
        <f>[1]!XLSTAT_PDFWeibull(AA7,10,5)</f>
        <v>2.8579287878826806E-21</v>
      </c>
    </row>
    <row r="8" spans="1:28" x14ac:dyDescent="0.3">
      <c r="A8">
        <v>8</v>
      </c>
      <c r="C8">
        <f t="shared" si="0"/>
        <v>-3.8877755511022043</v>
      </c>
      <c r="D8">
        <f>[1]!XLSTAT_PDFNormal(C8,0,1)</f>
        <v>2.0834027007741619E-4</v>
      </c>
      <c r="E8">
        <v>8</v>
      </c>
      <c r="G8">
        <f t="shared" si="1"/>
        <v>2.8154709418837503E-2</v>
      </c>
      <c r="H8">
        <f>[1]!XLSTAT_PDFWeibull(G8,1)</f>
        <v>0.97223794079859449</v>
      </c>
      <c r="I8">
        <v>8</v>
      </c>
      <c r="K8">
        <f t="shared" si="2"/>
        <v>2.8154709418837503E-2</v>
      </c>
      <c r="L8">
        <f>[1]!XLSTAT_PDFWeibull(K8,1,1)</f>
        <v>0.97223794079859449</v>
      </c>
      <c r="M8">
        <v>8</v>
      </c>
      <c r="O8">
        <f t="shared" si="3"/>
        <v>2.8154709418837503E-2</v>
      </c>
      <c r="P8">
        <f>[1]!XLSTAT_PDFWeibull(O8,5,1)</f>
        <v>3.1417685954935735E-6</v>
      </c>
      <c r="Q8">
        <v>8</v>
      </c>
      <c r="S8">
        <f t="shared" si="4"/>
        <v>2.8154709418837503E-2</v>
      </c>
      <c r="T8">
        <f>[1]!XLSTAT_PDFWeibull(S8,10,1)</f>
        <v>1.1116279161596896E-13</v>
      </c>
      <c r="U8">
        <v>8</v>
      </c>
      <c r="W8">
        <f t="shared" si="5"/>
        <v>2.8154709418837503E-2</v>
      </c>
      <c r="X8">
        <f>[1]!XLSTAT_PDFWeibull(W8,10,5)</f>
        <v>1.1383069861475268E-20</v>
      </c>
      <c r="Y8">
        <v>8</v>
      </c>
      <c r="AA8">
        <f t="shared" si="6"/>
        <v>2.8154709418837503E-2</v>
      </c>
      <c r="AB8">
        <f>[1]!XLSTAT_PDFWeibull(AA8,10,5)</f>
        <v>1.1383069861475268E-20</v>
      </c>
    </row>
    <row r="9" spans="1:28" x14ac:dyDescent="0.3">
      <c r="A9">
        <v>9</v>
      </c>
      <c r="C9">
        <f t="shared" si="0"/>
        <v>-3.8717434869739478</v>
      </c>
      <c r="D9">
        <f>[1]!XLSTAT_PDFNormal(C9,0,1)</f>
        <v>2.2171066262409103E-4</v>
      </c>
      <c r="E9">
        <v>9</v>
      </c>
      <c r="G9">
        <f t="shared" si="1"/>
        <v>3.2162525050100005E-2</v>
      </c>
      <c r="H9">
        <f>[1]!XLSTAT_PDFWeibull(G9,1)</f>
        <v>0.96834918828898631</v>
      </c>
      <c r="I9">
        <v>9</v>
      </c>
      <c r="K9">
        <f t="shared" si="2"/>
        <v>3.2162525050100005E-2</v>
      </c>
      <c r="L9">
        <f>[1]!XLSTAT_PDFWeibull(K9,1,1)</f>
        <v>0.96834918828898631</v>
      </c>
      <c r="M9">
        <v>9</v>
      </c>
      <c r="O9">
        <f t="shared" si="3"/>
        <v>3.2162525050100005E-2</v>
      </c>
      <c r="P9">
        <f>[1]!XLSTAT_PDFWeibull(O9,5,1)</f>
        <v>5.3502064338332534E-6</v>
      </c>
      <c r="Q9">
        <v>9</v>
      </c>
      <c r="S9">
        <f t="shared" si="4"/>
        <v>3.2162525050100005E-2</v>
      </c>
      <c r="T9">
        <f>[1]!XLSTAT_PDFWeibull(S9,10,1)</f>
        <v>3.6825719196881577E-13</v>
      </c>
      <c r="U9">
        <v>9</v>
      </c>
      <c r="W9">
        <f t="shared" si="5"/>
        <v>3.2162525050100005E-2</v>
      </c>
      <c r="X9">
        <f>[1]!XLSTAT_PDFWeibull(W9,10,5)</f>
        <v>3.7709536457606753E-20</v>
      </c>
      <c r="Y9">
        <v>9</v>
      </c>
      <c r="AA9">
        <f t="shared" si="6"/>
        <v>3.2162525050100005E-2</v>
      </c>
      <c r="AB9">
        <f>[1]!XLSTAT_PDFWeibull(AA9,10,5)</f>
        <v>3.7709536457606753E-20</v>
      </c>
    </row>
    <row r="10" spans="1:28" x14ac:dyDescent="0.3">
      <c r="A10">
        <v>10</v>
      </c>
      <c r="C10">
        <f t="shared" si="0"/>
        <v>-3.8557114228456917</v>
      </c>
      <c r="D10">
        <f>[1]!XLSTAT_PDFNormal(C10,0,1)</f>
        <v>2.3587847515770728E-4</v>
      </c>
      <c r="E10">
        <v>10</v>
      </c>
      <c r="G10">
        <f t="shared" si="1"/>
        <v>3.6170340681362503E-2</v>
      </c>
      <c r="H10">
        <f>[1]!XLSTAT_PDFWeibull(G10,1)</f>
        <v>0.96447598999244299</v>
      </c>
      <c r="I10">
        <v>10</v>
      </c>
      <c r="K10">
        <f t="shared" si="2"/>
        <v>3.6170340681362503E-2</v>
      </c>
      <c r="L10">
        <f>[1]!XLSTAT_PDFWeibull(K10,1,1)</f>
        <v>0.96447598999244299</v>
      </c>
      <c r="M10">
        <v>10</v>
      </c>
      <c r="O10">
        <f t="shared" si="3"/>
        <v>3.6170340681362503E-2</v>
      </c>
      <c r="P10">
        <f>[1]!XLSTAT_PDFWeibull(O10,5,1)</f>
        <v>8.5581594696812109E-6</v>
      </c>
      <c r="Q10">
        <v>10</v>
      </c>
      <c r="S10">
        <f t="shared" si="4"/>
        <v>3.6170340681362503E-2</v>
      </c>
      <c r="T10">
        <f>[1]!XLSTAT_PDFWeibull(S10,10,1)</f>
        <v>1.0596767209772039E-12</v>
      </c>
      <c r="U10">
        <v>10</v>
      </c>
      <c r="W10">
        <f t="shared" si="5"/>
        <v>3.6170340681362503E-2</v>
      </c>
      <c r="X10">
        <f>[1]!XLSTAT_PDFWeibull(W10,10,5)</f>
        <v>1.0851089622806573E-19</v>
      </c>
      <c r="Y10">
        <v>10</v>
      </c>
      <c r="AA10">
        <f t="shared" si="6"/>
        <v>3.6170340681362503E-2</v>
      </c>
      <c r="AB10">
        <f>[1]!XLSTAT_PDFWeibull(AA10,10,5)</f>
        <v>1.0851089622806573E-19</v>
      </c>
    </row>
    <row r="11" spans="1:28" x14ac:dyDescent="0.3">
      <c r="A11">
        <v>11</v>
      </c>
      <c r="C11">
        <f t="shared" si="0"/>
        <v>-3.8396793587174352</v>
      </c>
      <c r="D11">
        <f>[1]!XLSTAT_PDFNormal(C11,0,1)</f>
        <v>2.5088714986004938E-4</v>
      </c>
      <c r="E11">
        <v>11</v>
      </c>
      <c r="G11">
        <f t="shared" si="1"/>
        <v>4.0178156312625002E-2</v>
      </c>
      <c r="H11">
        <f>[1]!XLSTAT_PDFWeibull(G11,1)</f>
        <v>0.9606182836953</v>
      </c>
      <c r="I11">
        <v>11</v>
      </c>
      <c r="K11">
        <f t="shared" si="2"/>
        <v>4.0178156312625002E-2</v>
      </c>
      <c r="L11">
        <f>[1]!XLSTAT_PDFWeibull(K11,1,1)</f>
        <v>0.9606182836953</v>
      </c>
      <c r="M11">
        <v>11</v>
      </c>
      <c r="O11">
        <f t="shared" si="3"/>
        <v>4.0178156312625002E-2</v>
      </c>
      <c r="P11">
        <f>[1]!XLSTAT_PDFWeibull(O11,5,1)</f>
        <v>1.302956674893209E-5</v>
      </c>
      <c r="Q11">
        <v>11</v>
      </c>
      <c r="S11">
        <f t="shared" si="4"/>
        <v>4.0178156312625002E-2</v>
      </c>
      <c r="T11">
        <f>[1]!XLSTAT_PDFWeibull(S11,10,1)</f>
        <v>2.7284125370333974E-12</v>
      </c>
      <c r="U11">
        <v>11</v>
      </c>
      <c r="W11">
        <f t="shared" si="5"/>
        <v>4.0178156312625002E-2</v>
      </c>
      <c r="X11">
        <f>[1]!XLSTAT_PDFWeibull(W11,10,5)</f>
        <v>2.7938944379222299E-19</v>
      </c>
      <c r="Y11">
        <v>11</v>
      </c>
      <c r="AA11">
        <f t="shared" si="6"/>
        <v>4.0178156312625002E-2</v>
      </c>
      <c r="AB11">
        <f>[1]!XLSTAT_PDFWeibull(AA11,10,5)</f>
        <v>2.7938944379222299E-19</v>
      </c>
    </row>
    <row r="12" spans="1:28" x14ac:dyDescent="0.3">
      <c r="A12">
        <v>12</v>
      </c>
      <c r="C12">
        <f t="shared" si="0"/>
        <v>-3.8236472945891786</v>
      </c>
      <c r="D12">
        <f>[1]!XLSTAT_PDFNormal(C12,0,1)</f>
        <v>2.6678223011328088E-4</v>
      </c>
      <c r="E12">
        <v>12</v>
      </c>
      <c r="G12">
        <f t="shared" si="1"/>
        <v>4.4185971943887507E-2</v>
      </c>
      <c r="H12">
        <f>[1]!XLSTAT_PDFWeibull(G12,1)</f>
        <v>0.95677600743273494</v>
      </c>
      <c r="I12">
        <v>12</v>
      </c>
      <c r="K12">
        <f t="shared" si="2"/>
        <v>4.4185971943887507E-2</v>
      </c>
      <c r="L12">
        <f>[1]!XLSTAT_PDFWeibull(K12,1,1)</f>
        <v>0.95677600743273494</v>
      </c>
      <c r="M12">
        <v>12</v>
      </c>
      <c r="O12">
        <f t="shared" si="3"/>
        <v>4.4185971943887507E-2</v>
      </c>
      <c r="P12">
        <f>[1]!XLSTAT_PDFWeibull(O12,5,1)</f>
        <v>1.9059327866824176E-5</v>
      </c>
      <c r="Q12">
        <v>12</v>
      </c>
      <c r="S12">
        <f t="shared" si="4"/>
        <v>4.4185971943887507E-2</v>
      </c>
      <c r="T12">
        <f>[1]!XLSTAT_PDFWeibull(S12,10,1)</f>
        <v>6.4203649054895731E-12</v>
      </c>
      <c r="U12">
        <v>12</v>
      </c>
      <c r="W12">
        <f t="shared" si="5"/>
        <v>4.4185971943887507E-2</v>
      </c>
      <c r="X12">
        <f>[1]!XLSTAT_PDFWeibull(W12,10,5)</f>
        <v>6.5744536632215127E-19</v>
      </c>
      <c r="Y12">
        <v>12</v>
      </c>
      <c r="AA12">
        <f t="shared" si="6"/>
        <v>4.4185971943887507E-2</v>
      </c>
      <c r="AB12">
        <f>[1]!XLSTAT_PDFWeibull(AA12,10,5)</f>
        <v>6.5744536632215127E-19</v>
      </c>
    </row>
    <row r="13" spans="1:28" x14ac:dyDescent="0.3">
      <c r="A13">
        <v>13</v>
      </c>
      <c r="C13">
        <f t="shared" si="0"/>
        <v>-3.8076152304609221</v>
      </c>
      <c r="D13">
        <f>[1]!XLSTAT_PDFNormal(C13,0,1)</f>
        <v>2.8361144589664423E-4</v>
      </c>
      <c r="E13">
        <v>13</v>
      </c>
      <c r="G13">
        <f t="shared" si="1"/>
        <v>4.8193787575150006E-2</v>
      </c>
      <c r="H13">
        <f>[1]!XLSTAT_PDFWeibull(G13,1)</f>
        <v>0.95294909948777151</v>
      </c>
      <c r="I13">
        <v>13</v>
      </c>
      <c r="K13">
        <f t="shared" si="2"/>
        <v>4.8193787575150006E-2</v>
      </c>
      <c r="L13">
        <f>[1]!XLSTAT_PDFWeibull(K13,1,1)</f>
        <v>0.95294909948777151</v>
      </c>
      <c r="M13">
        <v>13</v>
      </c>
      <c r="O13">
        <f t="shared" si="3"/>
        <v>4.8193787575150006E-2</v>
      </c>
      <c r="P13">
        <f>[1]!XLSTAT_PDFWeibull(O13,5,1)</f>
        <v>2.6973302797342183E-5</v>
      </c>
      <c r="Q13">
        <v>13</v>
      </c>
      <c r="S13">
        <f t="shared" si="4"/>
        <v>4.8193787575150006E-2</v>
      </c>
      <c r="T13">
        <f>[1]!XLSTAT_PDFWeibull(S13,10,1)</f>
        <v>1.4025538080578953E-11</v>
      </c>
      <c r="U13">
        <v>13</v>
      </c>
      <c r="W13">
        <f t="shared" si="5"/>
        <v>4.8193787575150006E-2</v>
      </c>
      <c r="X13">
        <f>[1]!XLSTAT_PDFWeibull(W13,10,5)</f>
        <v>1.4362150994513824E-18</v>
      </c>
      <c r="Y13">
        <v>13</v>
      </c>
      <c r="AA13">
        <f t="shared" si="6"/>
        <v>4.8193787575150006E-2</v>
      </c>
      <c r="AB13">
        <f>[1]!XLSTAT_PDFWeibull(AA13,10,5)</f>
        <v>1.4362150994513824E-18</v>
      </c>
    </row>
    <row r="14" spans="1:28" x14ac:dyDescent="0.3">
      <c r="A14">
        <v>14</v>
      </c>
      <c r="C14">
        <f t="shared" si="0"/>
        <v>-3.7915831663326656</v>
      </c>
      <c r="D14">
        <f>[1]!XLSTAT_PDFNormal(C14,0,1)</f>
        <v>3.0142480170690746E-4</v>
      </c>
      <c r="E14">
        <v>14</v>
      </c>
      <c r="G14">
        <f t="shared" si="1"/>
        <v>5.2201603206412504E-2</v>
      </c>
      <c r="H14">
        <f>[1]!XLSTAT_PDFWeibull(G14,1)</f>
        <v>0.94913749839028905</v>
      </c>
      <c r="I14">
        <v>14</v>
      </c>
      <c r="K14">
        <f t="shared" si="2"/>
        <v>5.2201603206412504E-2</v>
      </c>
      <c r="L14">
        <f>[1]!XLSTAT_PDFWeibull(K14,1,1)</f>
        <v>0.94913749839028905</v>
      </c>
      <c r="M14">
        <v>14</v>
      </c>
      <c r="O14">
        <f t="shared" si="3"/>
        <v>5.2201603206412504E-2</v>
      </c>
      <c r="P14">
        <f>[1]!XLSTAT_PDFWeibull(O14,5,1)</f>
        <v>3.7128311640124223E-5</v>
      </c>
      <c r="Q14">
        <v>14</v>
      </c>
      <c r="S14">
        <f t="shared" si="4"/>
        <v>5.2201603206412504E-2</v>
      </c>
      <c r="T14">
        <f>[1]!XLSTAT_PDFWeibull(S14,10,1)</f>
        <v>2.8784226977887737E-11</v>
      </c>
      <c r="U14">
        <v>14</v>
      </c>
      <c r="W14">
        <f t="shared" si="5"/>
        <v>5.2201603206412504E-2</v>
      </c>
      <c r="X14">
        <f>[1]!XLSTAT_PDFWeibull(W14,10,5)</f>
        <v>2.9475048425361667E-18</v>
      </c>
      <c r="Y14">
        <v>14</v>
      </c>
      <c r="AA14">
        <f t="shared" si="6"/>
        <v>5.2201603206412504E-2</v>
      </c>
      <c r="AB14">
        <f>[1]!XLSTAT_PDFWeibull(AA14,10,5)</f>
        <v>2.9475048425361667E-18</v>
      </c>
    </row>
    <row r="15" spans="1:28" x14ac:dyDescent="0.3">
      <c r="A15">
        <v>15</v>
      </c>
      <c r="C15">
        <f t="shared" si="0"/>
        <v>-3.775551102204409</v>
      </c>
      <c r="D15">
        <f>[1]!XLSTAT_PDFNormal(C15,0,1)</f>
        <v>3.2027466702263109E-4</v>
      </c>
      <c r="E15">
        <v>15</v>
      </c>
      <c r="G15">
        <f t="shared" si="1"/>
        <v>5.620941883767501E-2</v>
      </c>
      <c r="H15">
        <f>[1]!XLSTAT_PDFWeibull(G15,1)</f>
        <v>0.94534114291603477</v>
      </c>
      <c r="I15">
        <v>15</v>
      </c>
      <c r="K15">
        <f t="shared" si="2"/>
        <v>5.620941883767501E-2</v>
      </c>
      <c r="L15">
        <f>[1]!XLSTAT_PDFWeibull(K15,1,1)</f>
        <v>0.94534114291603477</v>
      </c>
      <c r="M15">
        <v>15</v>
      </c>
      <c r="O15">
        <f t="shared" si="3"/>
        <v>5.620941883767501E-2</v>
      </c>
      <c r="P15">
        <f>[1]!XLSTAT_PDFWeibull(O15,5,1)</f>
        <v>4.991213425792101E-5</v>
      </c>
      <c r="Q15">
        <v>15</v>
      </c>
      <c r="S15">
        <f t="shared" si="4"/>
        <v>5.620941883767501E-2</v>
      </c>
      <c r="T15">
        <f>[1]!XLSTAT_PDFWeibull(S15,10,1)</f>
        <v>5.601209998665755E-11</v>
      </c>
      <c r="U15">
        <v>15</v>
      </c>
      <c r="W15">
        <f t="shared" si="5"/>
        <v>5.620941883767501E-2</v>
      </c>
      <c r="X15">
        <f>[1]!XLSTAT_PDFWeibull(W15,10,5)</f>
        <v>5.735639038635529E-18</v>
      </c>
      <c r="Y15">
        <v>15</v>
      </c>
      <c r="AA15">
        <f t="shared" si="6"/>
        <v>5.620941883767501E-2</v>
      </c>
      <c r="AB15">
        <f>[1]!XLSTAT_PDFWeibull(AA15,10,5)</f>
        <v>5.735639038635529E-18</v>
      </c>
    </row>
    <row r="16" spans="1:28" x14ac:dyDescent="0.3">
      <c r="A16">
        <v>16</v>
      </c>
      <c r="C16">
        <f t="shared" si="0"/>
        <v>-3.7595190380761525</v>
      </c>
      <c r="D16">
        <f>[1]!XLSTAT_PDFNormal(C16,0,1)</f>
        <v>3.402158693288802E-4</v>
      </c>
      <c r="E16">
        <v>16</v>
      </c>
      <c r="G16">
        <f t="shared" si="1"/>
        <v>6.0217234468937508E-2</v>
      </c>
      <c r="H16">
        <f>[1]!XLSTAT_PDFWeibull(G16,1)</f>
        <v>0.94155997208564002</v>
      </c>
      <c r="I16">
        <v>16</v>
      </c>
      <c r="K16">
        <f t="shared" si="2"/>
        <v>6.0217234468937508E-2</v>
      </c>
      <c r="L16">
        <f>[1]!XLSTAT_PDFWeibull(K16,1,1)</f>
        <v>0.94155997208564002</v>
      </c>
      <c r="M16">
        <v>16</v>
      </c>
      <c r="O16">
        <f t="shared" si="3"/>
        <v>6.0217234468937508E-2</v>
      </c>
      <c r="P16">
        <f>[1]!XLSTAT_PDFWeibull(O16,5,1)</f>
        <v>6.5743509772318756E-5</v>
      </c>
      <c r="Q16">
        <v>16</v>
      </c>
      <c r="S16">
        <f t="shared" si="4"/>
        <v>6.0217234468937508E-2</v>
      </c>
      <c r="T16">
        <f>[1]!XLSTAT_PDFWeibull(S16,10,1)</f>
        <v>1.0410875583187645E-10</v>
      </c>
      <c r="U16">
        <v>16</v>
      </c>
      <c r="W16">
        <f t="shared" si="5"/>
        <v>6.0217234468937508E-2</v>
      </c>
      <c r="X16">
        <f>[1]!XLSTAT_PDFWeibull(W16,10,5)</f>
        <v>1.0660736597190819E-17</v>
      </c>
      <c r="Y16">
        <v>16</v>
      </c>
      <c r="AA16">
        <f t="shared" si="6"/>
        <v>6.0217234468937508E-2</v>
      </c>
      <c r="AB16">
        <f>[1]!XLSTAT_PDFWeibull(AA16,10,5)</f>
        <v>1.0660736597190819E-17</v>
      </c>
    </row>
    <row r="17" spans="1:28" x14ac:dyDescent="0.3">
      <c r="A17">
        <v>17</v>
      </c>
      <c r="C17">
        <f t="shared" si="0"/>
        <v>-3.743486973947896</v>
      </c>
      <c r="D17">
        <f>[1]!XLSTAT_PDFNormal(C17,0,1)</f>
        <v>3.6130578971529888E-4</v>
      </c>
      <c r="E17">
        <v>17</v>
      </c>
      <c r="G17">
        <f t="shared" si="1"/>
        <v>6.4225050100200007E-2</v>
      </c>
      <c r="H17">
        <f>[1]!XLSTAT_PDFWeibull(G17,1)</f>
        <v>0.93779392516364157</v>
      </c>
      <c r="I17">
        <v>17</v>
      </c>
      <c r="K17">
        <f t="shared" si="2"/>
        <v>6.4225050100200007E-2</v>
      </c>
      <c r="L17">
        <f>[1]!XLSTAT_PDFWeibull(K17,1,1)</f>
        <v>0.93779392516364157</v>
      </c>
      <c r="M17">
        <v>17</v>
      </c>
      <c r="O17">
        <f t="shared" si="3"/>
        <v>6.4225050100200007E-2</v>
      </c>
      <c r="P17">
        <f>[1]!XLSTAT_PDFWeibull(O17,5,1)</f>
        <v>8.5072135879616913E-5</v>
      </c>
      <c r="Q17">
        <v>17</v>
      </c>
      <c r="S17">
        <f t="shared" si="4"/>
        <v>6.4225050100200007E-2</v>
      </c>
      <c r="T17">
        <f>[1]!XLSTAT_PDFWeibull(S17,10,1)</f>
        <v>1.8592597408448995E-10</v>
      </c>
      <c r="U17">
        <v>17</v>
      </c>
      <c r="W17">
        <f t="shared" si="5"/>
        <v>6.4225050100200007E-2</v>
      </c>
      <c r="X17">
        <f>[1]!XLSTAT_PDFWeibull(W17,10,5)</f>
        <v>1.9038819746274507E-17</v>
      </c>
      <c r="Y17">
        <v>17</v>
      </c>
      <c r="AA17">
        <f t="shared" si="6"/>
        <v>6.4225050100200007E-2</v>
      </c>
      <c r="AB17">
        <f>[1]!XLSTAT_PDFWeibull(AA17,10,5)</f>
        <v>1.9038819746274507E-17</v>
      </c>
    </row>
    <row r="18" spans="1:28" x14ac:dyDescent="0.3">
      <c r="A18">
        <v>18</v>
      </c>
      <c r="C18">
        <f t="shared" si="0"/>
        <v>-3.7274549098196395</v>
      </c>
      <c r="D18">
        <f>[1]!XLSTAT_PDFNormal(C18,0,1)</f>
        <v>3.8360446105651058E-4</v>
      </c>
      <c r="E18">
        <v>18</v>
      </c>
      <c r="G18">
        <f t="shared" si="1"/>
        <v>6.8232865731462505E-2</v>
      </c>
      <c r="H18">
        <f>[1]!XLSTAT_PDFWeibull(G18,1)</f>
        <v>0.93404294165750523</v>
      </c>
      <c r="I18">
        <v>18</v>
      </c>
      <c r="K18">
        <f t="shared" si="2"/>
        <v>6.8232865731462505E-2</v>
      </c>
      <c r="L18">
        <f>[1]!XLSTAT_PDFWeibull(K18,1,1)</f>
        <v>0.93404294165750523</v>
      </c>
      <c r="M18">
        <v>18</v>
      </c>
      <c r="O18">
        <f t="shared" si="3"/>
        <v>6.8232865731462505E-2</v>
      </c>
      <c r="P18">
        <f>[1]!XLSTAT_PDFWeibull(O18,5,1)</f>
        <v>1.0837866794244602E-4</v>
      </c>
      <c r="Q18">
        <v>18</v>
      </c>
      <c r="S18">
        <f t="shared" si="4"/>
        <v>6.8232865731462505E-2</v>
      </c>
      <c r="T18">
        <f>[1]!XLSTAT_PDFWeibull(S18,10,1)</f>
        <v>3.2058448873412574E-10</v>
      </c>
      <c r="U18">
        <v>18</v>
      </c>
      <c r="W18">
        <f t="shared" si="5"/>
        <v>6.8232865731462505E-2</v>
      </c>
      <c r="X18">
        <f>[1]!XLSTAT_PDFWeibull(W18,10,5)</f>
        <v>3.2827851646446338E-17</v>
      </c>
      <c r="Y18">
        <v>18</v>
      </c>
      <c r="AA18">
        <f t="shared" si="6"/>
        <v>6.8232865731462505E-2</v>
      </c>
      <c r="AB18">
        <f>[1]!XLSTAT_PDFWeibull(AA18,10,5)</f>
        <v>3.2827851646446338E-17</v>
      </c>
    </row>
    <row r="19" spans="1:28" x14ac:dyDescent="0.3">
      <c r="A19">
        <v>19</v>
      </c>
      <c r="C19">
        <f t="shared" si="0"/>
        <v>-3.7114228456913829</v>
      </c>
      <c r="D19">
        <f>[1]!XLSTAT_PDFNormal(C19,0,1)</f>
        <v>4.0717466877956542E-4</v>
      </c>
      <c r="E19">
        <v>19</v>
      </c>
      <c r="G19">
        <f t="shared" si="1"/>
        <v>7.2240681362725004E-2</v>
      </c>
      <c r="H19">
        <f>[1]!XLSTAT_PDFWeibull(G19,1)</f>
        <v>0.9303069613166548</v>
      </c>
      <c r="I19">
        <v>19</v>
      </c>
      <c r="K19">
        <f t="shared" si="2"/>
        <v>7.2240681362725004E-2</v>
      </c>
      <c r="L19">
        <f>[1]!XLSTAT_PDFWeibull(K19,1,1)</f>
        <v>0.9303069613166548</v>
      </c>
      <c r="M19">
        <v>19</v>
      </c>
      <c r="O19">
        <f t="shared" si="3"/>
        <v>7.2240681362725004E-2</v>
      </c>
      <c r="P19">
        <f>[1]!XLSTAT_PDFWeibull(O19,5,1)</f>
        <v>1.3617471780592554E-4</v>
      </c>
      <c r="Q19">
        <v>19</v>
      </c>
      <c r="S19">
        <f t="shared" si="4"/>
        <v>7.2240681362725004E-2</v>
      </c>
      <c r="T19">
        <f>[1]!XLSTAT_PDFWeibull(S19,10,1)</f>
        <v>5.35841692182458E-10</v>
      </c>
      <c r="U19">
        <v>19</v>
      </c>
      <c r="W19">
        <f t="shared" si="5"/>
        <v>7.2240681362725004E-2</v>
      </c>
      <c r="X19">
        <f>[1]!XLSTAT_PDFWeibull(W19,10,5)</f>
        <v>5.4870189279696403E-17</v>
      </c>
      <c r="Y19">
        <v>19</v>
      </c>
      <c r="AA19">
        <f t="shared" si="6"/>
        <v>7.2240681362725004E-2</v>
      </c>
      <c r="AB19">
        <f>[1]!XLSTAT_PDFWeibull(AA19,10,5)</f>
        <v>5.4870189279696403E-17</v>
      </c>
    </row>
    <row r="20" spans="1:28" x14ac:dyDescent="0.3">
      <c r="A20">
        <v>20</v>
      </c>
      <c r="C20">
        <f t="shared" si="0"/>
        <v>-3.6953907815631264</v>
      </c>
      <c r="D20">
        <f>[1]!XLSTAT_PDFNormal(C20,0,1)</f>
        <v>4.3208205421867331E-4</v>
      </c>
      <c r="E20">
        <v>20</v>
      </c>
      <c r="G20">
        <f t="shared" si="1"/>
        <v>7.6248496993987502E-2</v>
      </c>
      <c r="H20">
        <f>[1]!XLSTAT_PDFWeibull(G20,1)</f>
        <v>0.92658592413150387</v>
      </c>
      <c r="I20">
        <v>20</v>
      </c>
      <c r="K20">
        <f t="shared" si="2"/>
        <v>7.6248496993987502E-2</v>
      </c>
      <c r="L20">
        <f>[1]!XLSTAT_PDFWeibull(K20,1,1)</f>
        <v>0.92658592413150387</v>
      </c>
      <c r="M20">
        <v>20</v>
      </c>
      <c r="O20">
        <f t="shared" si="3"/>
        <v>7.6248496993987502E-2</v>
      </c>
      <c r="P20">
        <f>[1]!XLSTAT_PDFWeibull(O20,5,1)</f>
        <v>1.6900285227988525E-4</v>
      </c>
      <c r="Q20">
        <v>20</v>
      </c>
      <c r="S20">
        <f t="shared" si="4"/>
        <v>7.6248496993987502E-2</v>
      </c>
      <c r="T20">
        <f>[1]!XLSTAT_PDFWeibull(S20,10,1)</f>
        <v>8.7112722308673271E-10</v>
      </c>
      <c r="U20">
        <v>20</v>
      </c>
      <c r="W20">
        <f t="shared" si="5"/>
        <v>7.6248496993987502E-2</v>
      </c>
      <c r="X20">
        <f>[1]!XLSTAT_PDFWeibull(W20,10,5)</f>
        <v>8.9203427644674414E-17</v>
      </c>
      <c r="Y20">
        <v>20</v>
      </c>
      <c r="AA20">
        <f t="shared" si="6"/>
        <v>7.6248496993987502E-2</v>
      </c>
      <c r="AB20">
        <f>[1]!XLSTAT_PDFWeibull(AA20,10,5)</f>
        <v>8.9203427644674414E-17</v>
      </c>
    </row>
    <row r="21" spans="1:28" x14ac:dyDescent="0.3">
      <c r="A21">
        <v>21</v>
      </c>
      <c r="C21">
        <f t="shared" si="0"/>
        <v>-3.6793587174348699</v>
      </c>
      <c r="D21">
        <f>[1]!XLSTAT_PDFNormal(C21,0,1)</f>
        <v>4.5839522055265253E-4</v>
      </c>
      <c r="E21">
        <v>21</v>
      </c>
      <c r="G21">
        <f t="shared" si="1"/>
        <v>8.0256312625250001E-2</v>
      </c>
      <c r="H21">
        <f>[1]!XLSTAT_PDFWeibull(G21,1)</f>
        <v>0.92287977033249213</v>
      </c>
      <c r="I21">
        <v>21</v>
      </c>
      <c r="K21">
        <f t="shared" si="2"/>
        <v>8.0256312625250001E-2</v>
      </c>
      <c r="L21">
        <f>[1]!XLSTAT_PDFWeibull(K21,1,1)</f>
        <v>0.92287977033249213</v>
      </c>
      <c r="M21">
        <v>21</v>
      </c>
      <c r="O21">
        <f t="shared" si="3"/>
        <v>8.0256312625250001E-2</v>
      </c>
      <c r="P21">
        <f>[1]!XLSTAT_PDFWeibull(O21,5,1)</f>
        <v>2.074365912209237E-4</v>
      </c>
      <c r="Q21">
        <v>21</v>
      </c>
      <c r="S21">
        <f t="shared" si="4"/>
        <v>8.0256312625250001E-2</v>
      </c>
      <c r="T21">
        <f>[1]!XLSTAT_PDFWeibull(S21,10,1)</f>
        <v>1.3813789056819697E-9</v>
      </c>
      <c r="U21">
        <v>21</v>
      </c>
      <c r="W21">
        <f t="shared" si="5"/>
        <v>8.0256312625250001E-2</v>
      </c>
      <c r="X21">
        <f>[1]!XLSTAT_PDFWeibull(W21,10,5)</f>
        <v>1.4145319994340271E-16</v>
      </c>
      <c r="Y21">
        <v>21</v>
      </c>
      <c r="AA21">
        <f t="shared" si="6"/>
        <v>8.0256312625250001E-2</v>
      </c>
      <c r="AB21">
        <f>[1]!XLSTAT_PDFWeibull(AA21,10,5)</f>
        <v>1.4145319994340271E-16</v>
      </c>
    </row>
    <row r="22" spans="1:28" x14ac:dyDescent="0.3">
      <c r="A22">
        <v>22</v>
      </c>
      <c r="C22">
        <f t="shared" si="0"/>
        <v>-3.6633266533066133</v>
      </c>
      <c r="D22">
        <f>[1]!XLSTAT_PDFNormal(C22,0,1)</f>
        <v>4.861858413154866E-4</v>
      </c>
      <c r="E22">
        <v>22</v>
      </c>
      <c r="G22">
        <f t="shared" si="1"/>
        <v>8.4264128256512513E-2</v>
      </c>
      <c r="H22">
        <f>[1]!XLSTAT_PDFWeibull(G22,1)</f>
        <v>0.91918844038912539</v>
      </c>
      <c r="I22">
        <v>22</v>
      </c>
      <c r="K22">
        <f t="shared" si="2"/>
        <v>8.4264128256512513E-2</v>
      </c>
      <c r="L22">
        <f>[1]!XLSTAT_PDFWeibull(K22,1,1)</f>
        <v>0.91918844038912539</v>
      </c>
      <c r="M22">
        <v>22</v>
      </c>
      <c r="O22">
        <f t="shared" si="3"/>
        <v>8.4264128256512513E-2</v>
      </c>
      <c r="P22">
        <f>[1]!XLSTAT_PDFWeibull(O22,5,1)</f>
        <v>2.5208040513983109E-4</v>
      </c>
      <c r="Q22">
        <v>22</v>
      </c>
      <c r="S22">
        <f t="shared" si="4"/>
        <v>8.4264128256512513E-2</v>
      </c>
      <c r="T22">
        <f>[1]!XLSTAT_PDFWeibull(S22,10,1)</f>
        <v>2.141827990536876E-9</v>
      </c>
      <c r="U22">
        <v>22</v>
      </c>
      <c r="W22">
        <f t="shared" si="5"/>
        <v>8.4264128256512513E-2</v>
      </c>
      <c r="X22">
        <f>[1]!XLSTAT_PDFWeibull(W22,10,5)</f>
        <v>2.1932318623493448E-16</v>
      </c>
      <c r="Y22">
        <v>22</v>
      </c>
      <c r="AA22">
        <f t="shared" si="6"/>
        <v>8.4264128256512513E-2</v>
      </c>
      <c r="AB22">
        <f>[1]!XLSTAT_PDFWeibull(AA22,10,5)</f>
        <v>2.1932318623493448E-16</v>
      </c>
    </row>
    <row r="23" spans="1:28" x14ac:dyDescent="0.3">
      <c r="A23">
        <v>23</v>
      </c>
      <c r="C23">
        <f t="shared" si="0"/>
        <v>-3.6472945891783568</v>
      </c>
      <c r="D23">
        <f>[1]!XLSTAT_PDFNormal(C23,0,1)</f>
        <v>5.1552877146499585E-4</v>
      </c>
      <c r="E23">
        <v>23</v>
      </c>
      <c r="G23">
        <f t="shared" si="1"/>
        <v>8.8271943887775012E-2</v>
      </c>
      <c r="H23">
        <f>[1]!XLSTAT_PDFWeibull(G23,1)</f>
        <v>0.91551187500901887</v>
      </c>
      <c r="I23">
        <v>23</v>
      </c>
      <c r="K23">
        <f t="shared" si="2"/>
        <v>8.8271943887775012E-2</v>
      </c>
      <c r="L23">
        <f>[1]!XLSTAT_PDFWeibull(K23,1,1)</f>
        <v>0.91551187500901887</v>
      </c>
      <c r="M23">
        <v>23</v>
      </c>
      <c r="O23">
        <f t="shared" si="3"/>
        <v>8.8271943887775012E-2</v>
      </c>
      <c r="P23">
        <f>[1]!XLSTAT_PDFWeibull(O23,5,1)</f>
        <v>3.0356971225118995E-4</v>
      </c>
      <c r="Q23">
        <v>23</v>
      </c>
      <c r="S23">
        <f t="shared" si="4"/>
        <v>8.8271943887775012E-2</v>
      </c>
      <c r="T23">
        <f>[1]!XLSTAT_PDFWeibull(S23,10,1)</f>
        <v>3.253900097152483E-9</v>
      </c>
      <c r="U23">
        <v>23</v>
      </c>
      <c r="W23">
        <f t="shared" si="5"/>
        <v>8.8271943887775012E-2</v>
      </c>
      <c r="X23">
        <f>[1]!XLSTAT_PDFWeibull(W23,10,5)</f>
        <v>3.3319936995798516E-16</v>
      </c>
      <c r="Y23">
        <v>23</v>
      </c>
      <c r="AA23">
        <f t="shared" si="6"/>
        <v>8.8271943887775012E-2</v>
      </c>
      <c r="AB23">
        <f>[1]!XLSTAT_PDFWeibull(AA23,10,5)</f>
        <v>3.3319936995798516E-16</v>
      </c>
    </row>
    <row r="24" spans="1:28" x14ac:dyDescent="0.3">
      <c r="A24">
        <v>24</v>
      </c>
      <c r="C24">
        <f t="shared" si="0"/>
        <v>-3.6312625250501007</v>
      </c>
      <c r="D24">
        <f>[1]!XLSTAT_PDFNormal(C24,0,1)</f>
        <v>5.4650216098899571E-4</v>
      </c>
      <c r="E24">
        <v>24</v>
      </c>
      <c r="G24">
        <f t="shared" si="1"/>
        <v>9.227975951903751E-2</v>
      </c>
      <c r="H24">
        <f>[1]!XLSTAT_PDFWeibull(G24,1)</f>
        <v>0.91185001513694575</v>
      </c>
      <c r="I24">
        <v>24</v>
      </c>
      <c r="K24">
        <f t="shared" si="2"/>
        <v>9.227975951903751E-2</v>
      </c>
      <c r="L24">
        <f>[1]!XLSTAT_PDFWeibull(K24,1,1)</f>
        <v>0.91185001513694575</v>
      </c>
      <c r="M24">
        <v>24</v>
      </c>
      <c r="O24">
        <f t="shared" si="3"/>
        <v>9.227975951903751E-2</v>
      </c>
      <c r="P24">
        <f>[1]!XLSTAT_PDFWeibull(O24,5,1)</f>
        <v>3.6257087487275458E-4</v>
      </c>
      <c r="Q24">
        <v>24</v>
      </c>
      <c r="S24">
        <f t="shared" si="4"/>
        <v>9.227975951903751E-2</v>
      </c>
      <c r="T24">
        <f>[1]!XLSTAT_PDFWeibull(S24,10,1)</f>
        <v>4.8524166773936666E-9</v>
      </c>
      <c r="U24">
        <v>24</v>
      </c>
      <c r="W24">
        <f t="shared" si="5"/>
        <v>9.227975951903751E-2</v>
      </c>
      <c r="X24">
        <f>[1]!XLSTAT_PDFWeibull(W24,10,5)</f>
        <v>4.96887467787365E-16</v>
      </c>
      <c r="Y24">
        <v>24</v>
      </c>
      <c r="AA24">
        <f t="shared" si="6"/>
        <v>9.227975951903751E-2</v>
      </c>
      <c r="AB24">
        <f>[1]!XLSTAT_PDFWeibull(AA24,10,5)</f>
        <v>4.96887467787365E-16</v>
      </c>
    </row>
    <row r="25" spans="1:28" x14ac:dyDescent="0.3">
      <c r="A25">
        <v>25</v>
      </c>
      <c r="C25">
        <f t="shared" si="0"/>
        <v>-3.6152304609218442</v>
      </c>
      <c r="D25">
        <f>[1]!XLSTAT_PDFNormal(C25,0,1)</f>
        <v>5.7918757102235418E-4</v>
      </c>
      <c r="E25">
        <v>25</v>
      </c>
      <c r="G25">
        <f t="shared" si="1"/>
        <v>9.6287575150300009E-2</v>
      </c>
      <c r="H25">
        <f>[1]!XLSTAT_PDFWeibull(G25,1)</f>
        <v>0.90820280195388736</v>
      </c>
      <c r="I25">
        <v>25</v>
      </c>
      <c r="K25">
        <f t="shared" si="2"/>
        <v>9.6287575150300009E-2</v>
      </c>
      <c r="L25">
        <f>[1]!XLSTAT_PDFWeibull(K25,1,1)</f>
        <v>0.90820280195388736</v>
      </c>
      <c r="M25">
        <v>25</v>
      </c>
      <c r="O25">
        <f t="shared" si="3"/>
        <v>9.6287575150300009E-2</v>
      </c>
      <c r="P25">
        <f>[1]!XLSTAT_PDFWeibull(O25,5,1)</f>
        <v>4.2978119507252401E-4</v>
      </c>
      <c r="Q25">
        <v>25</v>
      </c>
      <c r="S25">
        <f t="shared" si="4"/>
        <v>9.6287575150300009E-2</v>
      </c>
      <c r="T25">
        <f>[1]!XLSTAT_PDFWeibull(S25,10,1)</f>
        <v>7.1143012054515836E-9</v>
      </c>
      <c r="U25">
        <v>25</v>
      </c>
      <c r="W25">
        <f t="shared" si="5"/>
        <v>9.6287575150300009E-2</v>
      </c>
      <c r="X25">
        <f>[1]!XLSTAT_PDFWeibull(W25,10,5)</f>
        <v>7.2850444348814501E-16</v>
      </c>
      <c r="Y25">
        <v>25</v>
      </c>
      <c r="AA25">
        <f t="shared" si="6"/>
        <v>9.6287575150300009E-2</v>
      </c>
      <c r="AB25">
        <f>[1]!XLSTAT_PDFWeibull(AA25,10,5)</f>
        <v>7.2850444348814501E-16</v>
      </c>
    </row>
    <row r="26" spans="1:28" x14ac:dyDescent="0.3">
      <c r="A26">
        <v>26</v>
      </c>
      <c r="C26">
        <f t="shared" si="0"/>
        <v>-3.5991983967935877</v>
      </c>
      <c r="D26">
        <f>[1]!XLSTAT_PDFNormal(C26,0,1)</f>
        <v>6.1367009244208532E-4</v>
      </c>
      <c r="E26">
        <v>26</v>
      </c>
      <c r="G26">
        <f t="shared" si="1"/>
        <v>0.10029539078156251</v>
      </c>
      <c r="H26">
        <f>[1]!XLSTAT_PDFWeibull(G26,1)</f>
        <v>0.90457017687608965</v>
      </c>
      <c r="I26">
        <v>26</v>
      </c>
      <c r="K26">
        <f t="shared" si="2"/>
        <v>0.10029539078156251</v>
      </c>
      <c r="L26">
        <f>[1]!XLSTAT_PDFWeibull(K26,1,1)</f>
        <v>0.90457017687608965</v>
      </c>
      <c r="M26">
        <v>26</v>
      </c>
      <c r="O26">
        <f t="shared" si="3"/>
        <v>0.10029539078156251</v>
      </c>
      <c r="P26">
        <f>[1]!XLSTAT_PDFWeibull(O26,5,1)</f>
        <v>5.0592890945126104E-4</v>
      </c>
      <c r="Q26">
        <v>26</v>
      </c>
      <c r="S26">
        <f t="shared" si="4"/>
        <v>0.10029539078156251</v>
      </c>
      <c r="T26">
        <f>[1]!XLSTAT_PDFWeibull(S26,10,1)</f>
        <v>1.0269014654869509E-8</v>
      </c>
      <c r="U26">
        <v>26</v>
      </c>
      <c r="W26">
        <f t="shared" si="5"/>
        <v>0.10029539078156251</v>
      </c>
      <c r="X26">
        <f>[1]!XLSTAT_PDFWeibull(W26,10,5)</f>
        <v>1.0515471007669442E-15</v>
      </c>
      <c r="Y26">
        <v>26</v>
      </c>
      <c r="AA26">
        <f t="shared" si="6"/>
        <v>0.10029539078156251</v>
      </c>
      <c r="AB26">
        <f>[1]!XLSTAT_PDFWeibull(AA26,10,5)</f>
        <v>1.0515471007669442E-15</v>
      </c>
    </row>
    <row r="27" spans="1:28" x14ac:dyDescent="0.3">
      <c r="A27">
        <v>27</v>
      </c>
      <c r="C27">
        <f t="shared" si="0"/>
        <v>-3.5831663326653311</v>
      </c>
      <c r="D27">
        <f>[1]!XLSTAT_PDFNormal(C27,0,1)</f>
        <v>6.5003846690108163E-4</v>
      </c>
      <c r="E27">
        <v>27</v>
      </c>
      <c r="G27">
        <f t="shared" si="1"/>
        <v>0.10430320641282501</v>
      </c>
      <c r="H27">
        <f>[1]!XLSTAT_PDFWeibull(G27,1)</f>
        <v>0.90095208155412121</v>
      </c>
      <c r="I27">
        <v>27</v>
      </c>
      <c r="K27">
        <f t="shared" si="2"/>
        <v>0.10430320641282501</v>
      </c>
      <c r="L27">
        <f>[1]!XLSTAT_PDFWeibull(K27,1,1)</f>
        <v>0.90095208155412121</v>
      </c>
      <c r="M27">
        <v>27</v>
      </c>
      <c r="O27">
        <f t="shared" si="3"/>
        <v>0.10430320641282501</v>
      </c>
      <c r="P27">
        <f>[1]!XLSTAT_PDFWeibull(O27,5,1)</f>
        <v>5.9177318293753998E-4</v>
      </c>
      <c r="Q27">
        <v>27</v>
      </c>
      <c r="S27">
        <f t="shared" si="4"/>
        <v>0.10430320641282501</v>
      </c>
      <c r="T27">
        <f>[1]!XLSTAT_PDFWeibull(S27,10,1)</f>
        <v>1.4610966146124554E-8</v>
      </c>
      <c r="U27">
        <v>27</v>
      </c>
      <c r="W27">
        <f t="shared" si="5"/>
        <v>0.10430320641282501</v>
      </c>
      <c r="X27">
        <f>[1]!XLSTAT_PDFWeibull(W27,10,5)</f>
        <v>1.4961629335911661E-15</v>
      </c>
      <c r="Y27">
        <v>27</v>
      </c>
      <c r="AA27">
        <f t="shared" si="6"/>
        <v>0.10430320641282501</v>
      </c>
      <c r="AB27">
        <f>[1]!XLSTAT_PDFWeibull(AA27,10,5)</f>
        <v>1.4961629335911661E-15</v>
      </c>
    </row>
    <row r="28" spans="1:28" x14ac:dyDescent="0.3">
      <c r="A28">
        <v>28</v>
      </c>
      <c r="C28">
        <f t="shared" si="0"/>
        <v>-3.5671342685370746</v>
      </c>
      <c r="D28">
        <f>[1]!XLSTAT_PDFNormal(C28,0,1)</f>
        <v>6.8838521025416924E-4</v>
      </c>
      <c r="E28">
        <v>28</v>
      </c>
      <c r="G28">
        <f t="shared" si="1"/>
        <v>0.1083110220440875</v>
      </c>
      <c r="H28">
        <f>[1]!XLSTAT_PDFWeibull(G28,1)</f>
        <v>0.8973484578719364</v>
      </c>
      <c r="I28">
        <v>28</v>
      </c>
      <c r="K28">
        <f t="shared" si="2"/>
        <v>0.1083110220440875</v>
      </c>
      <c r="L28">
        <f>[1]!XLSTAT_PDFWeibull(K28,1,1)</f>
        <v>0.8973484578719364</v>
      </c>
      <c r="M28">
        <v>28</v>
      </c>
      <c r="O28">
        <f t="shared" si="3"/>
        <v>0.1083110220440875</v>
      </c>
      <c r="P28">
        <f>[1]!XLSTAT_PDFWeibull(O28,5,1)</f>
        <v>6.8810410146130066E-4</v>
      </c>
      <c r="Q28">
        <v>28</v>
      </c>
      <c r="S28">
        <f t="shared" si="4"/>
        <v>0.1083110220440875</v>
      </c>
      <c r="T28">
        <f>[1]!XLSTAT_PDFWeibull(S28,10,1)</f>
        <v>2.0514166939341295E-8</v>
      </c>
      <c r="U28">
        <v>28</v>
      </c>
      <c r="W28">
        <f t="shared" si="5"/>
        <v>0.1083110220440875</v>
      </c>
      <c r="X28">
        <f>[1]!XLSTAT_PDFWeibull(W28,10,5)</f>
        <v>2.1006506950552863E-15</v>
      </c>
      <c r="Y28">
        <v>28</v>
      </c>
      <c r="AA28">
        <f t="shared" si="6"/>
        <v>0.1083110220440875</v>
      </c>
      <c r="AB28">
        <f>[1]!XLSTAT_PDFWeibull(AA28,10,5)</f>
        <v>2.1006506950552863E-15</v>
      </c>
    </row>
    <row r="29" spans="1:28" x14ac:dyDescent="0.3">
      <c r="A29">
        <v>29</v>
      </c>
      <c r="C29">
        <f t="shared" si="0"/>
        <v>-3.5511022044088181</v>
      </c>
      <c r="D29">
        <f>[1]!XLSTAT_PDFNormal(C29,0,1)</f>
        <v>7.2880673832301441E-4</v>
      </c>
      <c r="E29">
        <v>29</v>
      </c>
      <c r="G29">
        <f t="shared" si="1"/>
        <v>0.11231883767535002</v>
      </c>
      <c r="H29">
        <f>[1]!XLSTAT_PDFWeibull(G29,1)</f>
        <v>0.89375924794594219</v>
      </c>
      <c r="I29">
        <v>29</v>
      </c>
      <c r="K29">
        <f t="shared" si="2"/>
        <v>0.11231883767535002</v>
      </c>
      <c r="L29">
        <f>[1]!XLSTAT_PDFWeibull(K29,1,1)</f>
        <v>0.89375924794594219</v>
      </c>
      <c r="M29">
        <v>29</v>
      </c>
      <c r="O29">
        <f t="shared" si="3"/>
        <v>0.11231883767535002</v>
      </c>
      <c r="P29">
        <f>[1]!XLSTAT_PDFWeibull(O29,5,1)</f>
        <v>7.9574266336023816E-4</v>
      </c>
      <c r="Q29">
        <v>29</v>
      </c>
      <c r="S29">
        <f t="shared" si="4"/>
        <v>0.11231883767535002</v>
      </c>
      <c r="T29">
        <f>[1]!XLSTAT_PDFWeibull(S29,10,1)</f>
        <v>2.8449419205920357E-8</v>
      </c>
      <c r="U29">
        <v>29</v>
      </c>
      <c r="W29">
        <f t="shared" si="5"/>
        <v>0.11231883767535002</v>
      </c>
      <c r="X29">
        <f>[1]!XLSTAT_PDFWeibull(W29,10,5)</f>
        <v>2.9132205276171312E-15</v>
      </c>
      <c r="Y29">
        <v>29</v>
      </c>
      <c r="AA29">
        <f t="shared" si="6"/>
        <v>0.11231883767535002</v>
      </c>
      <c r="AB29">
        <f>[1]!XLSTAT_PDFWeibull(AA29,10,5)</f>
        <v>2.9132205276171312E-15</v>
      </c>
    </row>
    <row r="30" spans="1:28" x14ac:dyDescent="0.3">
      <c r="A30">
        <v>30</v>
      </c>
      <c r="C30">
        <f t="shared" si="0"/>
        <v>-3.5350701402805615</v>
      </c>
      <c r="D30">
        <f>[1]!XLSTAT_PDFNormal(C30,0,1)</f>
        <v>7.7140349493887638E-4</v>
      </c>
      <c r="E30">
        <v>30</v>
      </c>
      <c r="G30">
        <f t="shared" si="1"/>
        <v>0.11632665330661252</v>
      </c>
      <c r="H30">
        <f>[1]!XLSTAT_PDFWeibull(G30,1)</f>
        <v>0.89018439412406758</v>
      </c>
      <c r="I30">
        <v>30</v>
      </c>
      <c r="K30">
        <f t="shared" si="2"/>
        <v>0.11632665330661252</v>
      </c>
      <c r="L30">
        <f>[1]!XLSTAT_PDFWeibull(K30,1,1)</f>
        <v>0.89018439412406758</v>
      </c>
      <c r="M30">
        <v>30</v>
      </c>
      <c r="O30">
        <f t="shared" si="3"/>
        <v>0.11632665330661252</v>
      </c>
      <c r="P30">
        <f>[1]!XLSTAT_PDFWeibull(O30,5,1)</f>
        <v>9.1554076936129609E-4</v>
      </c>
      <c r="Q30">
        <v>30</v>
      </c>
      <c r="S30">
        <f t="shared" si="4"/>
        <v>0.11632665330661252</v>
      </c>
      <c r="T30">
        <f>[1]!XLSTAT_PDFWeibull(S30,10,1)</f>
        <v>3.9004355240191426E-8</v>
      </c>
      <c r="U30">
        <v>30</v>
      </c>
      <c r="W30">
        <f t="shared" si="5"/>
        <v>0.11632665330661252</v>
      </c>
      <c r="X30">
        <f>[1]!XLSTAT_PDFWeibull(W30,10,5)</f>
        <v>3.9940459784077989E-15</v>
      </c>
      <c r="Y30">
        <v>30</v>
      </c>
      <c r="AA30">
        <f t="shared" si="6"/>
        <v>0.11632665330661252</v>
      </c>
      <c r="AB30">
        <f>[1]!XLSTAT_PDFWeibull(AA30,10,5)</f>
        <v>3.9940459784077989E-15</v>
      </c>
    </row>
    <row r="31" spans="1:28" x14ac:dyDescent="0.3">
      <c r="A31">
        <v>31</v>
      </c>
      <c r="C31">
        <f t="shared" si="0"/>
        <v>-3.519038076152305</v>
      </c>
      <c r="D31">
        <f>[1]!XLSTAT_PDFNormal(C31,0,1)</f>
        <v>8.16280082194387E-4</v>
      </c>
      <c r="E31">
        <v>31</v>
      </c>
      <c r="G31">
        <f t="shared" si="1"/>
        <v>0.12033446893787501</v>
      </c>
      <c r="H31">
        <f>[1]!XLSTAT_PDFWeibull(G31,1)</f>
        <v>0.88662383898483832</v>
      </c>
      <c r="I31">
        <v>31</v>
      </c>
      <c r="K31">
        <f t="shared" si="2"/>
        <v>0.12033446893787501</v>
      </c>
      <c r="L31">
        <f>[1]!XLSTAT_PDFWeibull(K31,1,1)</f>
        <v>0.88662383898483832</v>
      </c>
      <c r="M31">
        <v>31</v>
      </c>
      <c r="O31">
        <f t="shared" si="3"/>
        <v>0.12033446893787501</v>
      </c>
      <c r="P31">
        <f>[1]!XLSTAT_PDFWeibull(O31,5,1)</f>
        <v>1.0483812109669502E-3</v>
      </c>
      <c r="Q31">
        <v>31</v>
      </c>
      <c r="S31">
        <f t="shared" si="4"/>
        <v>0.12033446893787501</v>
      </c>
      <c r="T31">
        <f>[1]!XLSTAT_PDFWeibull(S31,10,1)</f>
        <v>5.2906667967641626E-8</v>
      </c>
      <c r="U31">
        <v>31</v>
      </c>
      <c r="W31">
        <f t="shared" si="5"/>
        <v>0.12033446893787501</v>
      </c>
      <c r="X31">
        <f>[1]!XLSTAT_PDFWeibull(W31,10,5)</f>
        <v>5.4176428033356657E-15</v>
      </c>
      <c r="Y31">
        <v>31</v>
      </c>
      <c r="AA31">
        <f t="shared" si="6"/>
        <v>0.12033446893787501</v>
      </c>
      <c r="AB31">
        <f>[1]!XLSTAT_PDFWeibull(AA31,10,5)</f>
        <v>5.4176428033356657E-15</v>
      </c>
    </row>
    <row r="32" spans="1:28" x14ac:dyDescent="0.3">
      <c r="A32">
        <v>32</v>
      </c>
      <c r="C32">
        <f t="shared" si="0"/>
        <v>-3.5030060120240485</v>
      </c>
      <c r="D32">
        <f>[1]!XLSTAT_PDFNormal(C32,0,1)</f>
        <v>8.6354539282741032E-4</v>
      </c>
      <c r="E32">
        <v>32</v>
      </c>
      <c r="G32">
        <f t="shared" si="1"/>
        <v>0.12434228456913751</v>
      </c>
      <c r="H32">
        <f>[1]!XLSTAT_PDFWeibull(G32,1)</f>
        <v>0.88307752533645445</v>
      </c>
      <c r="I32">
        <v>32</v>
      </c>
      <c r="K32">
        <f t="shared" si="2"/>
        <v>0.12434228456913751</v>
      </c>
      <c r="L32">
        <f>[1]!XLSTAT_PDFWeibull(K32,1,1)</f>
        <v>0.88307752533645445</v>
      </c>
      <c r="M32">
        <v>32</v>
      </c>
      <c r="O32">
        <f t="shared" si="3"/>
        <v>0.12434228456913751</v>
      </c>
      <c r="P32">
        <f>[1]!XLSTAT_PDFWeibull(O32,5,1)</f>
        <v>1.1951776570628993E-3</v>
      </c>
      <c r="Q32">
        <v>32</v>
      </c>
      <c r="S32">
        <f t="shared" si="4"/>
        <v>0.12434228456913751</v>
      </c>
      <c r="T32">
        <f>[1]!XLSTAT_PDFWeibull(S32,10,1)</f>
        <v>7.1050899769822767E-8</v>
      </c>
      <c r="U32">
        <v>32</v>
      </c>
      <c r="W32">
        <f t="shared" si="5"/>
        <v>0.12434228456913751</v>
      </c>
      <c r="X32">
        <f>[1]!XLSTAT_PDFWeibull(W32,10,5)</f>
        <v>7.2756121428575961E-15</v>
      </c>
      <c r="Y32">
        <v>32</v>
      </c>
      <c r="AA32">
        <f t="shared" si="6"/>
        <v>0.12434228456913751</v>
      </c>
      <c r="AB32">
        <f>[1]!XLSTAT_PDFWeibull(AA32,10,5)</f>
        <v>7.2756121428575961E-15</v>
      </c>
    </row>
    <row r="33" spans="1:28" x14ac:dyDescent="0.3">
      <c r="A33">
        <v>33</v>
      </c>
      <c r="C33">
        <f t="shared" si="0"/>
        <v>-3.486973947895792</v>
      </c>
      <c r="D33">
        <f>[1]!XLSTAT_PDFNormal(C33,0,1)</f>
        <v>9.1331274465156155E-4</v>
      </c>
      <c r="E33">
        <v>33</v>
      </c>
      <c r="G33">
        <f t="shared" si="1"/>
        <v>0.1283501002004</v>
      </c>
      <c r="H33">
        <f>[1]!XLSTAT_PDFWeibull(G33,1)</f>
        <v>0.87954539621587102</v>
      </c>
      <c r="I33">
        <v>33</v>
      </c>
      <c r="K33">
        <f t="shared" si="2"/>
        <v>0.1283501002004</v>
      </c>
      <c r="L33">
        <f>[1]!XLSTAT_PDFWeibull(K33,1,1)</f>
        <v>0.87954539621587102</v>
      </c>
      <c r="M33">
        <v>33</v>
      </c>
      <c r="O33">
        <f t="shared" si="3"/>
        <v>0.1283501002004</v>
      </c>
      <c r="P33">
        <f>[1]!XLSTAT_PDFWeibull(O33,5,1)</f>
        <v>1.356874638550293E-3</v>
      </c>
      <c r="Q33">
        <v>33</v>
      </c>
      <c r="S33">
        <f t="shared" si="4"/>
        <v>0.1283501002004</v>
      </c>
      <c r="T33">
        <f>[1]!XLSTAT_PDFWeibull(S33,10,1)</f>
        <v>9.4529183777697796E-8</v>
      </c>
      <c r="U33">
        <v>33</v>
      </c>
      <c r="W33">
        <f t="shared" si="5"/>
        <v>0.1283501002004</v>
      </c>
      <c r="X33">
        <f>[1]!XLSTAT_PDFWeibull(W33,10,5)</f>
        <v>9.6797884305805872E-15</v>
      </c>
      <c r="Y33">
        <v>33</v>
      </c>
      <c r="AA33">
        <f t="shared" si="6"/>
        <v>0.1283501002004</v>
      </c>
      <c r="AB33">
        <f>[1]!XLSTAT_PDFWeibull(AA33,10,5)</f>
        <v>9.6797884305805872E-15</v>
      </c>
    </row>
    <row r="34" spans="1:28" x14ac:dyDescent="0.3">
      <c r="A34">
        <v>34</v>
      </c>
      <c r="C34">
        <f t="shared" si="0"/>
        <v>-3.4709418837675354</v>
      </c>
      <c r="D34">
        <f>[1]!XLSTAT_PDFNormal(C34,0,1)</f>
        <v>9.657000169392137E-4</v>
      </c>
      <c r="E34">
        <v>34</v>
      </c>
      <c r="G34">
        <f t="shared" si="1"/>
        <v>0.13235791583166251</v>
      </c>
      <c r="H34">
        <f>[1]!XLSTAT_PDFWeibull(G34,1)</f>
        <v>0.87602739488788395</v>
      </c>
      <c r="I34">
        <v>34</v>
      </c>
      <c r="K34">
        <f t="shared" si="2"/>
        <v>0.13235791583166251</v>
      </c>
      <c r="L34">
        <f>[1]!XLSTAT_PDFWeibull(K34,1,1)</f>
        <v>0.87602739488788395</v>
      </c>
      <c r="M34">
        <v>34</v>
      </c>
      <c r="O34">
        <f t="shared" si="3"/>
        <v>0.13235791583166251</v>
      </c>
      <c r="P34">
        <f>[1]!XLSTAT_PDFWeibull(O34,5,1)</f>
        <v>1.5344475307916005E-3</v>
      </c>
      <c r="Q34">
        <v>34</v>
      </c>
      <c r="S34">
        <f t="shared" si="4"/>
        <v>0.13235791583166251</v>
      </c>
      <c r="T34">
        <f>[1]!XLSTAT_PDFWeibull(S34,10,1)</f>
        <v>1.2466635988493258E-7</v>
      </c>
      <c r="U34">
        <v>34</v>
      </c>
      <c r="W34">
        <f t="shared" si="5"/>
        <v>0.13235791583166251</v>
      </c>
      <c r="X34">
        <f>[1]!XLSTAT_PDFWeibull(W34,10,5)</f>
        <v>1.2765835273281514E-14</v>
      </c>
      <c r="Y34">
        <v>34</v>
      </c>
      <c r="AA34">
        <f t="shared" si="6"/>
        <v>0.13235791583166251</v>
      </c>
      <c r="AB34">
        <f>[1]!XLSTAT_PDFWeibull(AA34,10,5)</f>
        <v>1.2765835273281514E-14</v>
      </c>
    </row>
    <row r="35" spans="1:28" x14ac:dyDescent="0.3">
      <c r="A35">
        <v>35</v>
      </c>
      <c r="C35">
        <f t="shared" si="0"/>
        <v>-3.4549098196392789</v>
      </c>
      <c r="D35">
        <f>[1]!XLSTAT_PDFNormal(C35,0,1)</f>
        <v>1.020829788653733E-3</v>
      </c>
      <c r="E35">
        <v>35</v>
      </c>
      <c r="G35">
        <f t="shared" si="1"/>
        <v>0.13636573146292499</v>
      </c>
      <c r="H35">
        <f>[1]!XLSTAT_PDFWeibull(G35,1)</f>
        <v>0.87252346484421839</v>
      </c>
      <c r="I35">
        <v>35</v>
      </c>
      <c r="K35">
        <f t="shared" si="2"/>
        <v>0.13636573146292499</v>
      </c>
      <c r="L35">
        <f>[1]!XLSTAT_PDFWeibull(K35,1,1)</f>
        <v>0.87252346484421839</v>
      </c>
      <c r="M35">
        <v>35</v>
      </c>
      <c r="O35">
        <f t="shared" si="3"/>
        <v>0.13636573146292499</v>
      </c>
      <c r="P35">
        <f>[1]!XLSTAT_PDFWeibull(O35,5,1)</f>
        <v>1.7289025336447517E-3</v>
      </c>
      <c r="Q35">
        <v>35</v>
      </c>
      <c r="S35">
        <f t="shared" si="4"/>
        <v>0.13636573146292499</v>
      </c>
      <c r="T35">
        <f>[1]!XLSTAT_PDFWeibull(S35,10,1)</f>
        <v>1.6305991680046251E-7</v>
      </c>
      <c r="U35">
        <v>35</v>
      </c>
      <c r="W35">
        <f t="shared" si="5"/>
        <v>0.13636573146292499</v>
      </c>
      <c r="X35">
        <f>[1]!XLSTAT_PDFWeibull(W35,10,5)</f>
        <v>1.6697335517495194E-14</v>
      </c>
      <c r="Y35">
        <v>35</v>
      </c>
      <c r="AA35">
        <f t="shared" si="6"/>
        <v>0.13636573146292499</v>
      </c>
      <c r="AB35">
        <f>[1]!XLSTAT_PDFWeibull(AA35,10,5)</f>
        <v>1.6697335517495194E-14</v>
      </c>
    </row>
    <row r="36" spans="1:28" x14ac:dyDescent="0.3">
      <c r="A36">
        <v>36</v>
      </c>
      <c r="C36">
        <f t="shared" si="0"/>
        <v>-3.4388777555110224</v>
      </c>
      <c r="D36">
        <f>[1]!XLSTAT_PDFNormal(C36,0,1)</f>
        <v>1.0788294784183051E-3</v>
      </c>
      <c r="E36">
        <v>36</v>
      </c>
      <c r="G36">
        <f t="shared" si="1"/>
        <v>0.14037354709418751</v>
      </c>
      <c r="H36">
        <f>[1]!XLSTAT_PDFWeibull(G36,1)</f>
        <v>0.8690335498026206</v>
      </c>
      <c r="I36">
        <v>36</v>
      </c>
      <c r="K36">
        <f t="shared" si="2"/>
        <v>0.14037354709418751</v>
      </c>
      <c r="L36">
        <f>[1]!XLSTAT_PDFWeibull(K36,1,1)</f>
        <v>0.8690335498026206</v>
      </c>
      <c r="M36">
        <v>36</v>
      </c>
      <c r="O36">
        <f t="shared" si="3"/>
        <v>0.14037354709418751</v>
      </c>
      <c r="P36">
        <f>[1]!XLSTAT_PDFWeibull(O36,5,1)</f>
        <v>1.941276648845254E-3</v>
      </c>
      <c r="Q36">
        <v>36</v>
      </c>
      <c r="S36">
        <f t="shared" si="4"/>
        <v>0.14037354709418751</v>
      </c>
      <c r="T36">
        <f>[1]!XLSTAT_PDFWeibull(S36,10,1)</f>
        <v>2.1162524149555413E-7</v>
      </c>
      <c r="U36">
        <v>36</v>
      </c>
      <c r="W36">
        <f t="shared" si="5"/>
        <v>0.14037354709418751</v>
      </c>
      <c r="X36">
        <f>[1]!XLSTAT_PDFWeibull(W36,10,5)</f>
        <v>2.167042479352018E-14</v>
      </c>
      <c r="Y36">
        <v>36</v>
      </c>
      <c r="AA36">
        <f t="shared" si="6"/>
        <v>0.14037354709418751</v>
      </c>
      <c r="AB36">
        <f>[1]!XLSTAT_PDFWeibull(AA36,10,5)</f>
        <v>2.167042479352018E-14</v>
      </c>
    </row>
    <row r="37" spans="1:28" x14ac:dyDescent="0.3">
      <c r="A37">
        <v>37</v>
      </c>
      <c r="C37">
        <f t="shared" si="0"/>
        <v>-3.4228456913827658</v>
      </c>
      <c r="D37">
        <f>[1]!XLSTAT_PDFNormal(C37,0,1)</f>
        <v>1.1398314860990206E-3</v>
      </c>
      <c r="E37">
        <v>37</v>
      </c>
      <c r="G37">
        <f t="shared" si="1"/>
        <v>0.14438136272544999</v>
      </c>
      <c r="H37">
        <f>[1]!XLSTAT_PDFWeibull(G37,1)</f>
        <v>0.86555759370595475</v>
      </c>
      <c r="I37">
        <v>37</v>
      </c>
      <c r="K37">
        <f t="shared" si="2"/>
        <v>0.14438136272544999</v>
      </c>
      <c r="L37">
        <f>[1]!XLSTAT_PDFWeibull(K37,1,1)</f>
        <v>0.86555759370595475</v>
      </c>
      <c r="M37">
        <v>37</v>
      </c>
      <c r="O37">
        <f t="shared" si="3"/>
        <v>0.14438136272544999</v>
      </c>
      <c r="P37">
        <f>[1]!XLSTAT_PDFWeibull(O37,5,1)</f>
        <v>2.1726376544805746E-3</v>
      </c>
      <c r="Q37">
        <v>37</v>
      </c>
      <c r="S37">
        <f t="shared" si="4"/>
        <v>0.14438136272544999</v>
      </c>
      <c r="T37">
        <f>[1]!XLSTAT_PDFWeibull(S37,10,1)</f>
        <v>2.7264668840448756E-7</v>
      </c>
      <c r="U37">
        <v>37</v>
      </c>
      <c r="W37">
        <f t="shared" si="5"/>
        <v>0.14438136272544999</v>
      </c>
      <c r="X37">
        <f>[1]!XLSTAT_PDFWeibull(W37,10,5)</f>
        <v>2.7919021002523038E-14</v>
      </c>
      <c r="Y37">
        <v>37</v>
      </c>
      <c r="AA37">
        <f t="shared" si="6"/>
        <v>0.14438136272544999</v>
      </c>
      <c r="AB37">
        <f>[1]!XLSTAT_PDFWeibull(AA37,10,5)</f>
        <v>2.7919021002523038E-14</v>
      </c>
    </row>
    <row r="38" spans="1:28" x14ac:dyDescent="0.3">
      <c r="A38">
        <v>38</v>
      </c>
      <c r="C38">
        <f t="shared" si="0"/>
        <v>-3.4068136272545093</v>
      </c>
      <c r="D38">
        <f>[1]!XLSTAT_PDFNormal(C38,0,1)</f>
        <v>1.2039733358699158E-3</v>
      </c>
      <c r="E38">
        <v>38</v>
      </c>
      <c r="G38">
        <f t="shared" si="1"/>
        <v>0.1483891783567125</v>
      </c>
      <c r="H38">
        <f>[1]!XLSTAT_PDFWeibull(G38,1)</f>
        <v>0.86209554072130201</v>
      </c>
      <c r="I38">
        <v>38</v>
      </c>
      <c r="K38">
        <f t="shared" si="2"/>
        <v>0.1483891783567125</v>
      </c>
      <c r="L38">
        <f>[1]!XLSTAT_PDFWeibull(K38,1,1)</f>
        <v>0.86209554072130201</v>
      </c>
      <c r="M38">
        <v>38</v>
      </c>
      <c r="O38">
        <f t="shared" si="3"/>
        <v>0.1483891783567125</v>
      </c>
      <c r="P38">
        <f>[1]!XLSTAT_PDFWeibull(O38,5,1)</f>
        <v>2.424084076285173E-3</v>
      </c>
      <c r="Q38">
        <v>38</v>
      </c>
      <c r="S38">
        <f t="shared" si="4"/>
        <v>0.1483891783567125</v>
      </c>
      <c r="T38">
        <f>[1]!XLSTAT_PDFWeibull(S38,10,1)</f>
        <v>3.4883501270990107E-7</v>
      </c>
      <c r="U38">
        <v>38</v>
      </c>
      <c r="W38">
        <f t="shared" si="5"/>
        <v>0.1483891783567125</v>
      </c>
      <c r="X38">
        <f>[1]!XLSTAT_PDFWeibull(W38,10,5)</f>
        <v>3.5720705486396189E-14</v>
      </c>
      <c r="Y38">
        <v>38</v>
      </c>
      <c r="AA38">
        <f t="shared" si="6"/>
        <v>0.1483891783567125</v>
      </c>
      <c r="AB38">
        <f>[1]!XLSTAT_PDFWeibull(AA38,10,5)</f>
        <v>3.5720705486396189E-14</v>
      </c>
    </row>
    <row r="39" spans="1:28" x14ac:dyDescent="0.3">
      <c r="A39">
        <v>39</v>
      </c>
      <c r="C39">
        <f t="shared" si="0"/>
        <v>-3.3907815631262528</v>
      </c>
      <c r="D39">
        <f>[1]!XLSTAT_PDFNormal(C39,0,1)</f>
        <v>1.2713978206173636E-3</v>
      </c>
      <c r="E39">
        <v>39</v>
      </c>
      <c r="G39">
        <f t="shared" si="1"/>
        <v>0.15239699398797499</v>
      </c>
      <c r="H39">
        <f>[1]!XLSTAT_PDFWeibull(G39,1)</f>
        <v>0.85864733523906345</v>
      </c>
      <c r="I39">
        <v>39</v>
      </c>
      <c r="K39">
        <f t="shared" si="2"/>
        <v>0.15239699398797499</v>
      </c>
      <c r="L39">
        <f>[1]!XLSTAT_PDFWeibull(K39,1,1)</f>
        <v>0.85864733523906345</v>
      </c>
      <c r="M39">
        <v>39</v>
      </c>
      <c r="O39">
        <f t="shared" si="3"/>
        <v>0.15239699398797499</v>
      </c>
      <c r="P39">
        <f>[1]!XLSTAT_PDFWeibull(O39,5,1)</f>
        <v>2.6967451554682897E-3</v>
      </c>
      <c r="Q39">
        <v>39</v>
      </c>
      <c r="S39">
        <f t="shared" si="4"/>
        <v>0.15239699398797499</v>
      </c>
      <c r="T39">
        <f>[1]!XLSTAT_PDFWeibull(S39,10,1)</f>
        <v>4.4339174498370693E-7</v>
      </c>
      <c r="U39">
        <v>39</v>
      </c>
      <c r="W39">
        <f t="shared" si="5"/>
        <v>0.15239699398797499</v>
      </c>
      <c r="X39">
        <f>[1]!XLSTAT_PDFWeibull(W39,10,5)</f>
        <v>4.5403314993129082E-14</v>
      </c>
      <c r="Y39">
        <v>39</v>
      </c>
      <c r="AA39">
        <f t="shared" si="6"/>
        <v>0.15239699398797499</v>
      </c>
      <c r="AB39">
        <f>[1]!XLSTAT_PDFWeibull(AA39,10,5)</f>
        <v>4.5403314993129082E-14</v>
      </c>
    </row>
    <row r="40" spans="1:28" x14ac:dyDescent="0.3">
      <c r="A40">
        <v>40</v>
      </c>
      <c r="C40">
        <f t="shared" si="0"/>
        <v>-3.3747494989979963</v>
      </c>
      <c r="D40">
        <f>[1]!XLSTAT_PDFNormal(C40,0,1)</f>
        <v>1.3422531475306928E-3</v>
      </c>
      <c r="E40">
        <v>40</v>
      </c>
      <c r="G40">
        <f t="shared" si="1"/>
        <v>0.1564048096192375</v>
      </c>
      <c r="H40">
        <f>[1]!XLSTAT_PDFWeibull(G40,1)</f>
        <v>0.85521292187206743</v>
      </c>
      <c r="I40">
        <v>40</v>
      </c>
      <c r="K40">
        <f t="shared" si="2"/>
        <v>0.1564048096192375</v>
      </c>
      <c r="L40">
        <f>[1]!XLSTAT_PDFWeibull(K40,1,1)</f>
        <v>0.85521292187206743</v>
      </c>
      <c r="M40">
        <v>40</v>
      </c>
      <c r="O40">
        <f t="shared" si="3"/>
        <v>0.1564048096192375</v>
      </c>
      <c r="P40">
        <f>[1]!XLSTAT_PDFWeibull(O40,5,1)</f>
        <v>2.9917808127697251E-3</v>
      </c>
      <c r="Q40">
        <v>40</v>
      </c>
      <c r="S40">
        <f t="shared" si="4"/>
        <v>0.1564048096192375</v>
      </c>
      <c r="T40">
        <f>[1]!XLSTAT_PDFWeibull(S40,10,1)</f>
        <v>5.6008111836223867E-7</v>
      </c>
      <c r="U40">
        <v>40</v>
      </c>
      <c r="W40">
        <f t="shared" si="5"/>
        <v>0.1564048096192375</v>
      </c>
      <c r="X40">
        <f>[1]!XLSTAT_PDFWeibull(W40,10,5)</f>
        <v>5.7352307022695955E-14</v>
      </c>
      <c r="Y40">
        <v>40</v>
      </c>
      <c r="AA40">
        <f t="shared" si="6"/>
        <v>0.1564048096192375</v>
      </c>
      <c r="AB40">
        <f>[1]!XLSTAT_PDFWeibull(AA40,10,5)</f>
        <v>5.7352307022695955E-14</v>
      </c>
    </row>
    <row r="41" spans="1:28" x14ac:dyDescent="0.3">
      <c r="A41">
        <v>41</v>
      </c>
      <c r="C41">
        <f t="shared" si="0"/>
        <v>-3.3587174348697397</v>
      </c>
      <c r="D41">
        <f>[1]!XLSTAT_PDFNormal(C41,0,1)</f>
        <v>1.4166930847150307E-3</v>
      </c>
      <c r="E41">
        <v>41</v>
      </c>
      <c r="G41">
        <f t="shared" si="1"/>
        <v>0.16041262525049998</v>
      </c>
      <c r="H41">
        <f>[1]!XLSTAT_PDFWeibull(G41,1)</f>
        <v>0.85179224545467969</v>
      </c>
      <c r="I41">
        <v>41</v>
      </c>
      <c r="K41">
        <f t="shared" si="2"/>
        <v>0.16041262525049998</v>
      </c>
      <c r="L41">
        <f>[1]!XLSTAT_PDFWeibull(K41,1,1)</f>
        <v>0.85179224545467969</v>
      </c>
      <c r="M41">
        <v>41</v>
      </c>
      <c r="O41">
        <f t="shared" si="3"/>
        <v>0.16041262525049998</v>
      </c>
      <c r="P41">
        <f>[1]!XLSTAT_PDFWeibull(O41,5,1)</f>
        <v>3.3103816084216098E-3</v>
      </c>
      <c r="Q41">
        <v>41</v>
      </c>
      <c r="S41">
        <f t="shared" si="4"/>
        <v>0.16041262525049998</v>
      </c>
      <c r="T41">
        <f>[1]!XLSTAT_PDFWeibull(S41,10,1)</f>
        <v>7.0331019430983727E-7</v>
      </c>
      <c r="U41">
        <v>41</v>
      </c>
      <c r="W41">
        <f t="shared" si="5"/>
        <v>0.16041262525049998</v>
      </c>
      <c r="X41">
        <f>[1]!XLSTAT_PDFWeibull(W41,10,5)</f>
        <v>7.2018964709844131E-14</v>
      </c>
      <c r="Y41">
        <v>41</v>
      </c>
      <c r="AA41">
        <f t="shared" si="6"/>
        <v>0.16041262525049998</v>
      </c>
      <c r="AB41">
        <f>[1]!XLSTAT_PDFWeibull(AA41,10,5)</f>
        <v>7.2018964709844131E-14</v>
      </c>
    </row>
    <row r="42" spans="1:28" x14ac:dyDescent="0.3">
      <c r="A42">
        <v>42</v>
      </c>
      <c r="C42">
        <f t="shared" si="0"/>
        <v>-3.3426853707414832</v>
      </c>
      <c r="D42">
        <f>[1]!XLSTAT_PDFNormal(C42,0,1)</f>
        <v>1.4948771086513331E-3</v>
      </c>
      <c r="E42">
        <v>42</v>
      </c>
      <c r="G42">
        <f t="shared" si="1"/>
        <v>0.1644204408817625</v>
      </c>
      <c r="H42">
        <f>[1]!XLSTAT_PDFWeibull(G42,1)</f>
        <v>0.84838525104191698</v>
      </c>
      <c r="I42">
        <v>42</v>
      </c>
      <c r="K42">
        <f t="shared" si="2"/>
        <v>0.1644204408817625</v>
      </c>
      <c r="L42">
        <f>[1]!XLSTAT_PDFWeibull(K42,1,1)</f>
        <v>0.84838525104191698</v>
      </c>
      <c r="M42">
        <v>42</v>
      </c>
      <c r="O42">
        <f t="shared" si="3"/>
        <v>0.1644204408817625</v>
      </c>
      <c r="P42">
        <f>[1]!XLSTAT_PDFWeibull(O42,5,1)</f>
        <v>3.6537686976765762E-3</v>
      </c>
      <c r="Q42">
        <v>42</v>
      </c>
      <c r="S42">
        <f t="shared" si="4"/>
        <v>0.1644204408817625</v>
      </c>
      <c r="T42">
        <f>[1]!XLSTAT_PDFWeibull(S42,10,1)</f>
        <v>8.7821786886842257E-7</v>
      </c>
      <c r="U42">
        <v>42</v>
      </c>
      <c r="W42">
        <f t="shared" si="5"/>
        <v>0.1644204408817625</v>
      </c>
      <c r="X42">
        <f>[1]!XLSTAT_PDFWeibull(W42,10,5)</f>
        <v>8.9929511070681755E-14</v>
      </c>
      <c r="Y42">
        <v>42</v>
      </c>
      <c r="AA42">
        <f t="shared" si="6"/>
        <v>0.1644204408817625</v>
      </c>
      <c r="AB42">
        <f>[1]!XLSTAT_PDFWeibull(AA42,10,5)</f>
        <v>8.9929511070681755E-14</v>
      </c>
    </row>
    <row r="43" spans="1:28" x14ac:dyDescent="0.3">
      <c r="A43">
        <v>43</v>
      </c>
      <c r="C43">
        <f t="shared" si="0"/>
        <v>-3.3266533066132267</v>
      </c>
      <c r="D43">
        <f>[1]!XLSTAT_PDFNormal(C43,0,1)</f>
        <v>1.5769705523171612E-3</v>
      </c>
      <c r="E43">
        <v>43</v>
      </c>
      <c r="G43">
        <f t="shared" si="1"/>
        <v>0.16842825651302501</v>
      </c>
      <c r="H43">
        <f>[1]!XLSTAT_PDFWeibull(G43,1)</f>
        <v>0.84499188390856494</v>
      </c>
      <c r="I43">
        <v>43</v>
      </c>
      <c r="K43">
        <f t="shared" si="2"/>
        <v>0.16842825651302501</v>
      </c>
      <c r="L43">
        <f>[1]!XLSTAT_PDFWeibull(K43,1,1)</f>
        <v>0.84499188390856494</v>
      </c>
      <c r="M43">
        <v>43</v>
      </c>
      <c r="O43">
        <f t="shared" si="3"/>
        <v>0.16842825651302501</v>
      </c>
      <c r="P43">
        <f>[1]!XLSTAT_PDFWeibull(O43,5,1)</f>
        <v>4.0231937815443253E-3</v>
      </c>
      <c r="Q43">
        <v>43</v>
      </c>
      <c r="S43">
        <f t="shared" si="4"/>
        <v>0.16842825651302501</v>
      </c>
      <c r="T43">
        <f>[1]!XLSTAT_PDFWeibull(S43,10,1)</f>
        <v>1.0907734781013824E-6</v>
      </c>
      <c r="U43">
        <v>43</v>
      </c>
      <c r="W43">
        <f t="shared" si="5"/>
        <v>0.16842825651302501</v>
      </c>
      <c r="X43">
        <f>[1]!XLSTAT_PDFWeibull(W43,10,5)</f>
        <v>1.1169520620961287E-13</v>
      </c>
      <c r="Y43">
        <v>43</v>
      </c>
      <c r="AA43">
        <f t="shared" si="6"/>
        <v>0.16842825651302501</v>
      </c>
      <c r="AB43">
        <f>[1]!XLSTAT_PDFWeibull(AA43,10,5)</f>
        <v>1.1169520620961287E-13</v>
      </c>
    </row>
    <row r="44" spans="1:28" x14ac:dyDescent="0.3">
      <c r="A44">
        <v>44</v>
      </c>
      <c r="C44">
        <f t="shared" si="0"/>
        <v>-3.3106212424849706</v>
      </c>
      <c r="D44">
        <f>[1]!XLSTAT_PDFNormal(C44,0,1)</f>
        <v>1.6631447537702141E-3</v>
      </c>
      <c r="E44">
        <v>44</v>
      </c>
      <c r="G44">
        <f t="shared" si="1"/>
        <v>0.17243607214428749</v>
      </c>
      <c r="H44">
        <f>[1]!XLSTAT_PDFWeibull(G44,1)</f>
        <v>0.84161208954829858</v>
      </c>
      <c r="I44">
        <v>44</v>
      </c>
      <c r="K44">
        <f t="shared" si="2"/>
        <v>0.17243607214428749</v>
      </c>
      <c r="L44">
        <f>[1]!XLSTAT_PDFWeibull(K44,1,1)</f>
        <v>0.84161208954829858</v>
      </c>
      <c r="M44">
        <v>44</v>
      </c>
      <c r="O44">
        <f t="shared" si="3"/>
        <v>0.17243607214428749</v>
      </c>
      <c r="P44">
        <f>[1]!XLSTAT_PDFWeibull(O44,5,1)</f>
        <v>4.4199390523602848E-3</v>
      </c>
      <c r="Q44">
        <v>44</v>
      </c>
      <c r="S44">
        <f t="shared" si="4"/>
        <v>0.17243607214428749</v>
      </c>
      <c r="T44">
        <f>[1]!XLSTAT_PDFWeibull(S44,10,1)</f>
        <v>1.3478857592184502E-6</v>
      </c>
      <c r="U44">
        <v>44</v>
      </c>
      <c r="W44">
        <f t="shared" si="5"/>
        <v>0.17243607214428749</v>
      </c>
      <c r="X44">
        <f>[1]!XLSTAT_PDFWeibull(W44,10,5)</f>
        <v>1.3802350495196806E-13</v>
      </c>
      <c r="Y44">
        <v>44</v>
      </c>
      <c r="AA44">
        <f t="shared" si="6"/>
        <v>0.17243607214428749</v>
      </c>
      <c r="AB44">
        <f>[1]!XLSTAT_PDFWeibull(AA44,10,5)</f>
        <v>1.3802350495196806E-13</v>
      </c>
    </row>
    <row r="45" spans="1:28" x14ac:dyDescent="0.3">
      <c r="A45">
        <v>45</v>
      </c>
      <c r="C45">
        <f t="shared" si="0"/>
        <v>-3.2945891783567141</v>
      </c>
      <c r="D45">
        <f>[1]!XLSTAT_PDFNormal(C45,0,1)</f>
        <v>1.7535772049848285E-3</v>
      </c>
      <c r="E45">
        <v>45</v>
      </c>
      <c r="G45">
        <f t="shared" si="1"/>
        <v>0.17644388777555001</v>
      </c>
      <c r="H45">
        <f>[1]!XLSTAT_PDFWeibull(G45,1)</f>
        <v>0.83824581367280737</v>
      </c>
      <c r="I45">
        <v>45</v>
      </c>
      <c r="K45">
        <f t="shared" si="2"/>
        <v>0.17644388777555001</v>
      </c>
      <c r="L45">
        <f>[1]!XLSTAT_PDFWeibull(K45,1,1)</f>
        <v>0.83824581367280737</v>
      </c>
      <c r="M45">
        <v>45</v>
      </c>
      <c r="O45">
        <f t="shared" si="3"/>
        <v>0.17644388777555001</v>
      </c>
      <c r="P45">
        <f>[1]!XLSTAT_PDFWeibull(O45,5,1)</f>
        <v>4.8453171337908569E-3</v>
      </c>
      <c r="Q45">
        <v>45</v>
      </c>
      <c r="S45">
        <f t="shared" si="4"/>
        <v>0.17644388777555001</v>
      </c>
      <c r="T45">
        <f>[1]!XLSTAT_PDFWeibull(S45,10,1)</f>
        <v>1.6575229626137813E-6</v>
      </c>
      <c r="U45">
        <v>45</v>
      </c>
      <c r="W45">
        <f t="shared" si="5"/>
        <v>0.17644388777555001</v>
      </c>
      <c r="X45">
        <f>[1]!XLSTAT_PDFWeibull(W45,10,5)</f>
        <v>1.6973035633558119E-13</v>
      </c>
      <c r="Y45">
        <v>45</v>
      </c>
      <c r="AA45">
        <f t="shared" si="6"/>
        <v>0.17644388777555001</v>
      </c>
      <c r="AB45">
        <f>[1]!XLSTAT_PDFWeibull(AA45,10,5)</f>
        <v>1.6973035633558119E-13</v>
      </c>
    </row>
    <row r="46" spans="1:28" x14ac:dyDescent="0.3">
      <c r="A46">
        <v>46</v>
      </c>
      <c r="C46">
        <f t="shared" si="0"/>
        <v>-3.2785571142284575</v>
      </c>
      <c r="D46">
        <f>[1]!XLSTAT_PDFNormal(C46,0,1)</f>
        <v>1.8484517007195981E-3</v>
      </c>
      <c r="E46">
        <v>46</v>
      </c>
      <c r="G46">
        <f t="shared" si="1"/>
        <v>0.18045170340681249</v>
      </c>
      <c r="H46">
        <f>[1]!XLSTAT_PDFWeibull(G46,1)</f>
        <v>0.83489300221092266</v>
      </c>
      <c r="I46">
        <v>46</v>
      </c>
      <c r="K46">
        <f t="shared" si="2"/>
        <v>0.18045170340681249</v>
      </c>
      <c r="L46">
        <f>[1]!XLSTAT_PDFWeibull(K46,1,1)</f>
        <v>0.83489300221092266</v>
      </c>
      <c r="M46">
        <v>46</v>
      </c>
      <c r="O46">
        <f t="shared" si="3"/>
        <v>0.18045170340681249</v>
      </c>
      <c r="P46">
        <f>[1]!XLSTAT_PDFWeibull(O46,5,1)</f>
        <v>5.3006710148602691E-3</v>
      </c>
      <c r="Q46">
        <v>46</v>
      </c>
      <c r="S46">
        <f t="shared" si="4"/>
        <v>0.18045170340681249</v>
      </c>
      <c r="T46">
        <f>[1]!XLSTAT_PDFWeibull(S46,10,1)</f>
        <v>2.0288449497617971E-6</v>
      </c>
      <c r="U46">
        <v>46</v>
      </c>
      <c r="W46">
        <f t="shared" si="5"/>
        <v>0.18045170340681249</v>
      </c>
      <c r="X46">
        <f>[1]!XLSTAT_PDFWeibull(W46,10,5)</f>
        <v>2.0775373046164965E-13</v>
      </c>
      <c r="Y46">
        <v>46</v>
      </c>
      <c r="AA46">
        <f t="shared" si="6"/>
        <v>0.18045170340681249</v>
      </c>
      <c r="AB46">
        <f>[1]!XLSTAT_PDFWeibull(AA46,10,5)</f>
        <v>2.0775373046164965E-13</v>
      </c>
    </row>
    <row r="47" spans="1:28" x14ac:dyDescent="0.3">
      <c r="A47">
        <v>47</v>
      </c>
      <c r="C47">
        <f t="shared" si="0"/>
        <v>-3.262525050100201</v>
      </c>
      <c r="D47">
        <f>[1]!XLSTAT_PDFNormal(C47,0,1)</f>
        <v>1.9479584871821031E-3</v>
      </c>
      <c r="E47">
        <v>47</v>
      </c>
      <c r="G47">
        <f t="shared" si="1"/>
        <v>0.184459519038075</v>
      </c>
      <c r="H47">
        <f>[1]!XLSTAT_PDFWeibull(G47,1)</f>
        <v>0.83155360130774947</v>
      </c>
      <c r="I47">
        <v>47</v>
      </c>
      <c r="K47">
        <f t="shared" si="2"/>
        <v>0.184459519038075</v>
      </c>
      <c r="L47">
        <f>[1]!XLSTAT_PDFWeibull(K47,1,1)</f>
        <v>0.83155360130774947</v>
      </c>
      <c r="M47">
        <v>47</v>
      </c>
      <c r="O47">
        <f t="shared" si="3"/>
        <v>0.184459519038075</v>
      </c>
      <c r="P47">
        <f>[1]!XLSTAT_PDFWeibull(O47,5,1)</f>
        <v>5.7873739775643205E-3</v>
      </c>
      <c r="Q47">
        <v>47</v>
      </c>
      <c r="S47">
        <f t="shared" si="4"/>
        <v>0.184459519038075</v>
      </c>
      <c r="T47">
        <f>[1]!XLSTAT_PDFWeibull(S47,10,1)</f>
        <v>2.4723481525946309E-6</v>
      </c>
      <c r="U47">
        <v>47</v>
      </c>
      <c r="W47">
        <f t="shared" si="5"/>
        <v>0.184459519038075</v>
      </c>
      <c r="X47">
        <f>[1]!XLSTAT_PDFWeibull(W47,10,5)</f>
        <v>2.5316846237139072E-13</v>
      </c>
      <c r="Y47">
        <v>47</v>
      </c>
      <c r="AA47">
        <f t="shared" si="6"/>
        <v>0.184459519038075</v>
      </c>
      <c r="AB47">
        <f>[1]!XLSTAT_PDFWeibull(AA47,10,5)</f>
        <v>2.5316846237139072E-13</v>
      </c>
    </row>
    <row r="48" spans="1:28" x14ac:dyDescent="0.3">
      <c r="A48">
        <v>48</v>
      </c>
      <c r="C48">
        <f t="shared" si="0"/>
        <v>-3.2464929859719445</v>
      </c>
      <c r="D48">
        <f>[1]!XLSTAT_PDFNormal(C48,0,1)</f>
        <v>2.0522944102443464E-3</v>
      </c>
      <c r="E48">
        <v>48</v>
      </c>
      <c r="G48">
        <f t="shared" si="1"/>
        <v>0.18846733466933749</v>
      </c>
      <c r="H48">
        <f>[1]!XLSTAT_PDFWeibull(G48,1)</f>
        <v>0.82822755732380138</v>
      </c>
      <c r="I48">
        <v>48</v>
      </c>
      <c r="K48">
        <f t="shared" si="2"/>
        <v>0.18846733466933749</v>
      </c>
      <c r="L48">
        <f>[1]!XLSTAT_PDFWeibull(K48,1,1)</f>
        <v>0.82822755732380138</v>
      </c>
      <c r="M48">
        <v>48</v>
      </c>
      <c r="O48">
        <f t="shared" si="3"/>
        <v>0.18846733466933749</v>
      </c>
      <c r="P48">
        <f>[1]!XLSTAT_PDFWeibull(O48,5,1)</f>
        <v>6.3068295176158399E-3</v>
      </c>
      <c r="Q48">
        <v>48</v>
      </c>
      <c r="S48">
        <f t="shared" si="4"/>
        <v>0.18846733466933749</v>
      </c>
      <c r="T48">
        <f>[1]!XLSTAT_PDFWeibull(S48,10,1)</f>
        <v>3.0000243116301974E-6</v>
      </c>
      <c r="U48">
        <v>48</v>
      </c>
      <c r="W48">
        <f t="shared" si="5"/>
        <v>0.18846733466933749</v>
      </c>
      <c r="X48">
        <f>[1]!XLSTAT_PDFWeibull(W48,10,5)</f>
        <v>3.072025068803628E-13</v>
      </c>
      <c r="Y48">
        <v>48</v>
      </c>
      <c r="AA48">
        <f t="shared" si="6"/>
        <v>0.18846733466933749</v>
      </c>
      <c r="AB48">
        <f>[1]!XLSTAT_PDFWeibull(AA48,10,5)</f>
        <v>3.072025068803628E-13</v>
      </c>
    </row>
    <row r="49" spans="1:28" x14ac:dyDescent="0.3">
      <c r="A49">
        <v>49</v>
      </c>
      <c r="C49">
        <f t="shared" si="0"/>
        <v>-3.2304609218436879</v>
      </c>
      <c r="D49">
        <f>[1]!XLSTAT_PDFNormal(C49,0,1)</f>
        <v>2.1616630629499442E-3</v>
      </c>
      <c r="E49">
        <v>49</v>
      </c>
      <c r="G49">
        <f t="shared" si="1"/>
        <v>0.1924751503006</v>
      </c>
      <c r="H49">
        <f>[1]!XLSTAT_PDFWeibull(G49,1)</f>
        <v>0.82491481683413881</v>
      </c>
      <c r="I49">
        <v>49</v>
      </c>
      <c r="K49">
        <f t="shared" si="2"/>
        <v>0.1924751503006</v>
      </c>
      <c r="L49">
        <f>[1]!XLSTAT_PDFWeibull(K49,1,1)</f>
        <v>0.82491481683413881</v>
      </c>
      <c r="M49">
        <v>49</v>
      </c>
      <c r="O49">
        <f t="shared" si="3"/>
        <v>0.1924751503006</v>
      </c>
      <c r="P49">
        <f>[1]!XLSTAT_PDFWeibull(O49,5,1)</f>
        <v>6.8604712578460994E-3</v>
      </c>
      <c r="Q49">
        <v>49</v>
      </c>
      <c r="S49">
        <f t="shared" si="4"/>
        <v>0.1924751503006</v>
      </c>
      <c r="T49">
        <f>[1]!XLSTAT_PDFWeibull(S49,10,1)</f>
        <v>3.6255339527311446E-6</v>
      </c>
      <c r="U49">
        <v>49</v>
      </c>
      <c r="W49">
        <f t="shared" si="5"/>
        <v>0.1924751503006</v>
      </c>
      <c r="X49">
        <f>[1]!XLSTAT_PDFWeibull(W49,10,5)</f>
        <v>3.7125470266675628E-13</v>
      </c>
      <c r="Y49">
        <v>49</v>
      </c>
      <c r="AA49">
        <f t="shared" si="6"/>
        <v>0.1924751503006</v>
      </c>
      <c r="AB49">
        <f>[1]!XLSTAT_PDFWeibull(AA49,10,5)</f>
        <v>3.7125470266675628E-13</v>
      </c>
    </row>
    <row r="50" spans="1:28" x14ac:dyDescent="0.3">
      <c r="A50">
        <v>50</v>
      </c>
      <c r="C50">
        <f t="shared" si="0"/>
        <v>-3.2144288577154314</v>
      </c>
      <c r="D50">
        <f>[1]!XLSTAT_PDFNormal(C50,0,1)</f>
        <v>2.276274932041454E-3</v>
      </c>
      <c r="E50">
        <v>50</v>
      </c>
      <c r="G50">
        <f t="shared" si="1"/>
        <v>0.19648296593186251</v>
      </c>
      <c r="H50">
        <f>[1]!XLSTAT_PDFWeibull(G50,1)</f>
        <v>0.82161532662751124</v>
      </c>
      <c r="I50">
        <v>50</v>
      </c>
      <c r="K50">
        <f t="shared" si="2"/>
        <v>0.19648296593186251</v>
      </c>
      <c r="L50">
        <f>[1]!XLSTAT_PDFWeibull(K50,1,1)</f>
        <v>0.82161532662751124</v>
      </c>
      <c r="M50">
        <v>50</v>
      </c>
      <c r="O50">
        <f t="shared" si="3"/>
        <v>0.19648296593186251</v>
      </c>
      <c r="P50">
        <f>[1]!XLSTAT_PDFWeibull(O50,5,1)</f>
        <v>7.4497628537652585E-3</v>
      </c>
      <c r="Q50">
        <v>50</v>
      </c>
      <c r="S50">
        <f t="shared" si="4"/>
        <v>0.19648296593186251</v>
      </c>
      <c r="T50">
        <f>[1]!XLSTAT_PDFWeibull(S50,10,1)</f>
        <v>4.364395605951202E-6</v>
      </c>
      <c r="U50">
        <v>50</v>
      </c>
      <c r="W50">
        <f t="shared" si="5"/>
        <v>0.19648296593186251</v>
      </c>
      <c r="X50">
        <f>[1]!XLSTAT_PDFWeibull(W50,10,5)</f>
        <v>4.4691414837360336E-13</v>
      </c>
      <c r="Y50">
        <v>50</v>
      </c>
      <c r="AA50">
        <f t="shared" si="6"/>
        <v>0.19648296593186251</v>
      </c>
      <c r="AB50">
        <f>[1]!XLSTAT_PDFWeibull(AA50,10,5)</f>
        <v>4.4691414837360336E-13</v>
      </c>
    </row>
    <row r="51" spans="1:28" x14ac:dyDescent="0.3">
      <c r="A51">
        <v>51</v>
      </c>
      <c r="C51">
        <f t="shared" si="0"/>
        <v>-3.1983967935871749</v>
      </c>
      <c r="D51">
        <f>[1]!XLSTAT_PDFNormal(C51,0,1)</f>
        <v>2.3963475432235066E-3</v>
      </c>
      <c r="E51">
        <v>51</v>
      </c>
      <c r="G51">
        <f t="shared" si="1"/>
        <v>0.200490781563125</v>
      </c>
      <c r="H51">
        <f>[1]!XLSTAT_PDFWeibull(G51,1)</f>
        <v>0.81832903370550192</v>
      </c>
      <c r="I51">
        <v>51</v>
      </c>
      <c r="K51">
        <f t="shared" si="2"/>
        <v>0.200490781563125</v>
      </c>
      <c r="L51">
        <f>[1]!XLSTAT_PDFWeibull(K51,1,1)</f>
        <v>0.81832903370550192</v>
      </c>
      <c r="M51">
        <v>51</v>
      </c>
      <c r="O51">
        <f t="shared" si="3"/>
        <v>0.200490781563125</v>
      </c>
      <c r="P51">
        <f>[1]!XLSTAT_PDFWeibull(O51,5,1)</f>
        <v>8.0761978907634806E-3</v>
      </c>
      <c r="Q51">
        <v>51</v>
      </c>
      <c r="S51">
        <f t="shared" si="4"/>
        <v>0.200490781563125</v>
      </c>
      <c r="T51">
        <f>[1]!XLSTAT_PDFWeibull(S51,10,1)</f>
        <v>5.2341918144659164E-6</v>
      </c>
      <c r="U51">
        <v>51</v>
      </c>
      <c r="W51">
        <f t="shared" si="5"/>
        <v>0.200490781563125</v>
      </c>
      <c r="X51">
        <f>[1]!XLSTAT_PDFWeibull(W51,10,5)</f>
        <v>5.3598129804757289E-13</v>
      </c>
      <c r="Y51">
        <v>51</v>
      </c>
      <c r="AA51">
        <f t="shared" si="6"/>
        <v>0.200490781563125</v>
      </c>
      <c r="AB51">
        <f>[1]!XLSTAT_PDFWeibull(AA51,10,5)</f>
        <v>5.3598129804757289E-13</v>
      </c>
    </row>
    <row r="52" spans="1:28" x14ac:dyDescent="0.3">
      <c r="A52">
        <v>52</v>
      </c>
      <c r="C52">
        <f t="shared" si="0"/>
        <v>-3.1823647294589184</v>
      </c>
      <c r="D52">
        <f>[1]!XLSTAT_PDFNormal(C52,0,1)</f>
        <v>2.5221056048644508E-3</v>
      </c>
      <c r="E52">
        <v>52</v>
      </c>
      <c r="G52">
        <f t="shared" si="1"/>
        <v>0.20449859719438751</v>
      </c>
      <c r="H52">
        <f>[1]!XLSTAT_PDFWeibull(G52,1)</f>
        <v>0.81505588528167716</v>
      </c>
      <c r="I52">
        <v>52</v>
      </c>
      <c r="K52">
        <f t="shared" si="2"/>
        <v>0.20449859719438751</v>
      </c>
      <c r="L52">
        <f>[1]!XLSTAT_PDFWeibull(K52,1,1)</f>
        <v>0.81505588528167716</v>
      </c>
      <c r="M52">
        <v>52</v>
      </c>
      <c r="O52">
        <f t="shared" si="3"/>
        <v>0.20449859719438751</v>
      </c>
      <c r="P52">
        <f>[1]!XLSTAT_PDFWeibull(O52,5,1)</f>
        <v>8.7412997724124683E-3</v>
      </c>
      <c r="Q52">
        <v>52</v>
      </c>
      <c r="S52">
        <f t="shared" si="4"/>
        <v>0.20449859719438751</v>
      </c>
      <c r="T52">
        <f>[1]!XLSTAT_PDFWeibull(S52,10,1)</f>
        <v>6.2547930270893798E-6</v>
      </c>
      <c r="U52">
        <v>52</v>
      </c>
      <c r="W52">
        <f t="shared" si="5"/>
        <v>0.20449859719438751</v>
      </c>
      <c r="X52">
        <f>[1]!XLSTAT_PDFWeibull(W52,10,5)</f>
        <v>6.4049088789890546E-13</v>
      </c>
      <c r="Y52">
        <v>52</v>
      </c>
      <c r="AA52">
        <f t="shared" si="6"/>
        <v>0.20449859719438751</v>
      </c>
      <c r="AB52">
        <f>[1]!XLSTAT_PDFWeibull(AA52,10,5)</f>
        <v>6.4049088789890546E-13</v>
      </c>
    </row>
    <row r="53" spans="1:28" x14ac:dyDescent="0.3">
      <c r="A53">
        <v>53</v>
      </c>
      <c r="C53">
        <f t="shared" si="0"/>
        <v>-3.1663326653306618</v>
      </c>
      <c r="D53">
        <f>[1]!XLSTAT_PDFNormal(C53,0,1)</f>
        <v>2.6537811498264082E-3</v>
      </c>
      <c r="E53">
        <v>53</v>
      </c>
      <c r="G53">
        <f t="shared" si="1"/>
        <v>0.20850641282564999</v>
      </c>
      <c r="H53">
        <f>[1]!XLSTAT_PDFWeibull(G53,1)</f>
        <v>0.81179582878073808</v>
      </c>
      <c r="I53">
        <v>53</v>
      </c>
      <c r="K53">
        <f t="shared" si="2"/>
        <v>0.20850641282564999</v>
      </c>
      <c r="L53">
        <f>[1]!XLSTAT_PDFWeibull(K53,1,1)</f>
        <v>0.81179582878073808</v>
      </c>
      <c r="M53">
        <v>53</v>
      </c>
      <c r="O53">
        <f t="shared" si="3"/>
        <v>0.20850641282564999</v>
      </c>
      <c r="P53">
        <f>[1]!XLSTAT_PDFWeibull(O53,5,1)</f>
        <v>9.4466215993049447E-3</v>
      </c>
      <c r="Q53">
        <v>53</v>
      </c>
      <c r="S53">
        <f t="shared" si="4"/>
        <v>0.20850641282564999</v>
      </c>
      <c r="T53">
        <f>[1]!XLSTAT_PDFWeibull(S53,10,1)</f>
        <v>7.4486005143443325E-6</v>
      </c>
      <c r="U53">
        <v>53</v>
      </c>
      <c r="W53">
        <f t="shared" si="5"/>
        <v>0.20850641282564999</v>
      </c>
      <c r="X53">
        <f>[1]!XLSTAT_PDFWeibull(W53,10,5)</f>
        <v>7.627368111280616E-13</v>
      </c>
      <c r="Y53">
        <v>53</v>
      </c>
      <c r="AA53">
        <f t="shared" si="6"/>
        <v>0.20850641282564999</v>
      </c>
      <c r="AB53">
        <f>[1]!XLSTAT_PDFWeibull(AA53,10,5)</f>
        <v>7.627368111280616E-13</v>
      </c>
    </row>
    <row r="54" spans="1:28" x14ac:dyDescent="0.3">
      <c r="A54">
        <v>54</v>
      </c>
      <c r="C54">
        <f t="shared" si="0"/>
        <v>-3.1503006012024053</v>
      </c>
      <c r="D54">
        <f>[1]!XLSTAT_PDFNormal(C54,0,1)</f>
        <v>2.7916136751006109E-3</v>
      </c>
      <c r="E54">
        <v>54</v>
      </c>
      <c r="G54">
        <f t="shared" si="1"/>
        <v>0.21251422845691251</v>
      </c>
      <c r="H54">
        <f>[1]!XLSTAT_PDFWeibull(G54,1)</f>
        <v>0.80854881183767624</v>
      </c>
      <c r="I54">
        <v>54</v>
      </c>
      <c r="K54">
        <f t="shared" si="2"/>
        <v>0.21251422845691251</v>
      </c>
      <c r="L54">
        <f>[1]!XLSTAT_PDFWeibull(K54,1,1)</f>
        <v>0.80854881183767624</v>
      </c>
      <c r="M54">
        <v>54</v>
      </c>
      <c r="O54">
        <f t="shared" si="3"/>
        <v>0.21251422845691251</v>
      </c>
      <c r="P54">
        <f>[1]!XLSTAT_PDFWeibull(O54,5,1)</f>
        <v>1.0193746037847121E-2</v>
      </c>
      <c r="Q54">
        <v>54</v>
      </c>
      <c r="S54">
        <f t="shared" si="4"/>
        <v>0.21251422845691251</v>
      </c>
      <c r="T54">
        <f>[1]!XLSTAT_PDFWeibull(S54,10,1)</f>
        <v>8.8408094954820883E-6</v>
      </c>
      <c r="U54">
        <v>54</v>
      </c>
      <c r="W54">
        <f t="shared" si="5"/>
        <v>0.21251422845691251</v>
      </c>
      <c r="X54">
        <f>[1]!XLSTAT_PDFWeibull(W54,10,5)</f>
        <v>9.05299062424756E-13</v>
      </c>
      <c r="Y54">
        <v>54</v>
      </c>
      <c r="AA54">
        <f t="shared" si="6"/>
        <v>0.21251422845691251</v>
      </c>
      <c r="AB54">
        <f>[1]!XLSTAT_PDFWeibull(AA54,10,5)</f>
        <v>9.05299062424756E-13</v>
      </c>
    </row>
    <row r="55" spans="1:28" x14ac:dyDescent="0.3">
      <c r="A55">
        <v>55</v>
      </c>
      <c r="C55">
        <f t="shared" si="0"/>
        <v>-3.1342685370741492</v>
      </c>
      <c r="D55">
        <f>[1]!XLSTAT_PDFNormal(C55,0,1)</f>
        <v>2.935850278911994E-3</v>
      </c>
      <c r="E55">
        <v>55</v>
      </c>
      <c r="G55">
        <f t="shared" si="1"/>
        <v>0.21652204408817499</v>
      </c>
      <c r="H55">
        <f>[1]!XLSTAT_PDFWeibull(G55,1)</f>
        <v>0.80531478229693254</v>
      </c>
      <c r="I55">
        <v>55</v>
      </c>
      <c r="K55">
        <f t="shared" si="2"/>
        <v>0.21652204408817499</v>
      </c>
      <c r="L55">
        <f>[1]!XLSTAT_PDFWeibull(K55,1,1)</f>
        <v>0.80531478229693254</v>
      </c>
      <c r="M55">
        <v>55</v>
      </c>
      <c r="O55">
        <f t="shared" si="3"/>
        <v>0.21652204408817499</v>
      </c>
      <c r="P55">
        <f>[1]!XLSTAT_PDFWeibull(O55,5,1)</f>
        <v>1.0984285178396029E-2</v>
      </c>
      <c r="Q55">
        <v>55</v>
      </c>
      <c r="S55">
        <f t="shared" si="4"/>
        <v>0.21652204408817499</v>
      </c>
      <c r="T55">
        <f>[1]!XLSTAT_PDFWeibull(S55,10,1)</f>
        <v>1.0459693712234208E-5</v>
      </c>
      <c r="U55">
        <v>55</v>
      </c>
      <c r="W55">
        <f t="shared" si="5"/>
        <v>0.21652204408817499</v>
      </c>
      <c r="X55">
        <f>[1]!XLSTAT_PDFWeibull(W55,10,5)</f>
        <v>1.0710728787044757E-12</v>
      </c>
      <c r="Y55">
        <v>55</v>
      </c>
      <c r="AA55">
        <f t="shared" si="6"/>
        <v>0.21652204408817499</v>
      </c>
      <c r="AB55">
        <f>[1]!XLSTAT_PDFWeibull(AA55,10,5)</f>
        <v>1.0710728787044757E-12</v>
      </c>
    </row>
    <row r="56" spans="1:28" x14ac:dyDescent="0.3">
      <c r="A56">
        <v>56</v>
      </c>
      <c r="C56">
        <f t="shared" si="0"/>
        <v>-3.1182364729458927</v>
      </c>
      <c r="D56">
        <f>[1]!XLSTAT_PDFNormal(C56,0,1)</f>
        <v>3.0867457949441072E-3</v>
      </c>
      <c r="E56">
        <v>56</v>
      </c>
      <c r="G56">
        <f t="shared" si="1"/>
        <v>0.2205298597194375</v>
      </c>
      <c r="H56">
        <f>[1]!XLSTAT_PDFWeibull(G56,1)</f>
        <v>0.80209368821155924</v>
      </c>
      <c r="I56">
        <v>56</v>
      </c>
      <c r="K56">
        <f t="shared" si="2"/>
        <v>0.2205298597194375</v>
      </c>
      <c r="L56">
        <f>[1]!XLSTAT_PDFWeibull(K56,1,1)</f>
        <v>0.80209368821155924</v>
      </c>
      <c r="M56">
        <v>56</v>
      </c>
      <c r="O56">
        <f t="shared" si="3"/>
        <v>0.2205298597194375</v>
      </c>
      <c r="P56">
        <f>[1]!XLSTAT_PDFWeibull(O56,5,1)</f>
        <v>1.1819880382110882E-2</v>
      </c>
      <c r="Q56">
        <v>56</v>
      </c>
      <c r="S56">
        <f t="shared" si="4"/>
        <v>0.2205298597194375</v>
      </c>
      <c r="T56">
        <f>[1]!XLSTAT_PDFWeibull(S56,10,1)</f>
        <v>1.2336912734424596E-5</v>
      </c>
      <c r="U56">
        <v>56</v>
      </c>
      <c r="W56">
        <f t="shared" si="5"/>
        <v>0.2205298597194375</v>
      </c>
      <c r="X56">
        <f>[1]!XLSTAT_PDFWeibull(W56,10,5)</f>
        <v>1.2633002077058266E-12</v>
      </c>
      <c r="Y56">
        <v>56</v>
      </c>
      <c r="AA56">
        <f t="shared" si="6"/>
        <v>0.2205298597194375</v>
      </c>
      <c r="AB56">
        <f>[1]!XLSTAT_PDFWeibull(AA56,10,5)</f>
        <v>1.2633002077058266E-12</v>
      </c>
    </row>
    <row r="57" spans="1:28" x14ac:dyDescent="0.3">
      <c r="A57">
        <v>57</v>
      </c>
      <c r="C57">
        <f t="shared" si="0"/>
        <v>-3.1022044088176361</v>
      </c>
      <c r="D57">
        <f>[1]!XLSTAT_PDFNormal(C57,0,1)</f>
        <v>3.2445629233224678E-3</v>
      </c>
      <c r="E57">
        <v>57</v>
      </c>
      <c r="G57">
        <f t="shared" si="1"/>
        <v>0.22453767535070002</v>
      </c>
      <c r="H57">
        <f>[1]!XLSTAT_PDFWeibull(G57,1)</f>
        <v>0.79888547784238606</v>
      </c>
      <c r="I57">
        <v>57</v>
      </c>
      <c r="K57">
        <f t="shared" si="2"/>
        <v>0.22453767535070002</v>
      </c>
      <c r="L57">
        <f>[1]!XLSTAT_PDFWeibull(K57,1,1)</f>
        <v>0.79888547784238606</v>
      </c>
      <c r="M57">
        <v>57</v>
      </c>
      <c r="O57">
        <f t="shared" si="3"/>
        <v>0.22453767535070002</v>
      </c>
      <c r="P57">
        <f>[1]!XLSTAT_PDFWeibull(O57,5,1)</f>
        <v>1.2702202115863379E-2</v>
      </c>
      <c r="Q57">
        <v>57</v>
      </c>
      <c r="S57">
        <f t="shared" si="4"/>
        <v>0.22453767535070002</v>
      </c>
      <c r="T57">
        <f>[1]!XLSTAT_PDFWeibull(S57,10,1)</f>
        <v>1.4507843332868864E-5</v>
      </c>
      <c r="U57">
        <v>57</v>
      </c>
      <c r="W57">
        <f t="shared" si="5"/>
        <v>0.22453767535070002</v>
      </c>
      <c r="X57">
        <f>[1]!XLSTAT_PDFWeibull(W57,10,5)</f>
        <v>1.4856036412297187E-12</v>
      </c>
      <c r="Y57">
        <v>57</v>
      </c>
      <c r="AA57">
        <f t="shared" si="6"/>
        <v>0.22453767535070002</v>
      </c>
      <c r="AB57">
        <f>[1]!XLSTAT_PDFWeibull(AA57,10,5)</f>
        <v>1.4856036412297187E-12</v>
      </c>
    </row>
    <row r="58" spans="1:28" x14ac:dyDescent="0.3">
      <c r="A58">
        <v>58</v>
      </c>
      <c r="C58">
        <f t="shared" si="0"/>
        <v>-3.0861723446893796</v>
      </c>
      <c r="D58">
        <f>[1]!XLSTAT_PDFNormal(C58,0,1)</f>
        <v>3.4095723579818547E-3</v>
      </c>
      <c r="E58">
        <v>58</v>
      </c>
      <c r="G58">
        <f t="shared" si="1"/>
        <v>0.2285454909819625</v>
      </c>
      <c r="H58">
        <f>[1]!XLSTAT_PDFWeibull(G58,1)</f>
        <v>0.79569009965718862</v>
      </c>
      <c r="I58">
        <v>58</v>
      </c>
      <c r="K58">
        <f t="shared" si="2"/>
        <v>0.2285454909819625</v>
      </c>
      <c r="L58">
        <f>[1]!XLSTAT_PDFWeibull(K58,1,1)</f>
        <v>0.79569009965718862</v>
      </c>
      <c r="M58">
        <v>58</v>
      </c>
      <c r="O58">
        <f t="shared" si="3"/>
        <v>0.2285454909819625</v>
      </c>
      <c r="P58">
        <f>[1]!XLSTAT_PDFWeibull(O58,5,1)</f>
        <v>1.3632949774528823E-2</v>
      </c>
      <c r="Q58">
        <v>58</v>
      </c>
      <c r="S58">
        <f t="shared" si="4"/>
        <v>0.2285454909819625</v>
      </c>
      <c r="T58">
        <f>[1]!XLSTAT_PDFWeibull(S58,10,1)</f>
        <v>1.7011936306242842E-5</v>
      </c>
      <c r="U58">
        <v>58</v>
      </c>
      <c r="W58">
        <f t="shared" si="5"/>
        <v>0.2285454909819625</v>
      </c>
      <c r="X58">
        <f>[1]!XLSTAT_PDFWeibull(W58,10,5)</f>
        <v>1.7420229550580947E-12</v>
      </c>
      <c r="Y58">
        <v>58</v>
      </c>
      <c r="AA58">
        <f t="shared" si="6"/>
        <v>0.2285454909819625</v>
      </c>
      <c r="AB58">
        <f>[1]!XLSTAT_PDFWeibull(AA58,10,5)</f>
        <v>1.7420229550580947E-12</v>
      </c>
    </row>
    <row r="59" spans="1:28" x14ac:dyDescent="0.3">
      <c r="A59">
        <v>59</v>
      </c>
      <c r="C59">
        <f t="shared" si="0"/>
        <v>-3.0701402805611231</v>
      </c>
      <c r="D59">
        <f>[1]!XLSTAT_PDFNormal(C59,0,1)</f>
        <v>3.5820529100303016E-3</v>
      </c>
      <c r="E59">
        <v>59</v>
      </c>
      <c r="G59">
        <f t="shared" si="1"/>
        <v>0.23255330661322501</v>
      </c>
      <c r="H59">
        <f>[1]!XLSTAT_PDFWeibull(G59,1)</f>
        <v>0.79250750232986078</v>
      </c>
      <c r="I59">
        <v>59</v>
      </c>
      <c r="K59">
        <f t="shared" si="2"/>
        <v>0.23255330661322501</v>
      </c>
      <c r="L59">
        <f>[1]!XLSTAT_PDFWeibull(K59,1,1)</f>
        <v>0.79250750232986078</v>
      </c>
      <c r="M59">
        <v>59</v>
      </c>
      <c r="O59">
        <f t="shared" si="3"/>
        <v>0.23255330661322501</v>
      </c>
      <c r="P59">
        <f>[1]!XLSTAT_PDFWeibull(O59,5,1)</f>
        <v>1.4613851489955244E-2</v>
      </c>
      <c r="Q59">
        <v>59</v>
      </c>
      <c r="S59">
        <f t="shared" si="4"/>
        <v>0.23255330661322501</v>
      </c>
      <c r="T59">
        <f>[1]!XLSTAT_PDFWeibull(S59,10,1)</f>
        <v>1.9893100200802859E-5</v>
      </c>
      <c r="U59">
        <v>59</v>
      </c>
      <c r="W59">
        <f t="shared" si="5"/>
        <v>0.23255330661322501</v>
      </c>
      <c r="X59">
        <f>[1]!XLSTAT_PDFWeibull(W59,10,5)</f>
        <v>2.0370544029457156E-12</v>
      </c>
      <c r="Y59">
        <v>59</v>
      </c>
      <c r="AA59">
        <f t="shared" si="6"/>
        <v>0.23255330661322501</v>
      </c>
      <c r="AB59">
        <f>[1]!XLSTAT_PDFWeibull(AA59,10,5)</f>
        <v>2.0370544029457156E-12</v>
      </c>
    </row>
    <row r="60" spans="1:28" x14ac:dyDescent="0.3">
      <c r="A60">
        <v>60</v>
      </c>
      <c r="C60">
        <f t="shared" si="0"/>
        <v>-3.0541082164328666</v>
      </c>
      <c r="D60">
        <f>[1]!XLSTAT_PDFNormal(C60,0,1)</f>
        <v>3.7622916267101153E-3</v>
      </c>
      <c r="E60">
        <v>60</v>
      </c>
      <c r="G60">
        <f t="shared" si="1"/>
        <v>0.2365611222444875</v>
      </c>
      <c r="H60">
        <f>[1]!XLSTAT_PDFWeibull(G60,1)</f>
        <v>0.78933763473959051</v>
      </c>
      <c r="I60">
        <v>60</v>
      </c>
      <c r="K60">
        <f t="shared" si="2"/>
        <v>0.2365611222444875</v>
      </c>
      <c r="L60">
        <f>[1]!XLSTAT_PDFWeibull(K60,1,1)</f>
        <v>0.78933763473959051</v>
      </c>
      <c r="M60">
        <v>60</v>
      </c>
      <c r="O60">
        <f t="shared" si="3"/>
        <v>0.2365611222444875</v>
      </c>
      <c r="P60">
        <f>[1]!XLSTAT_PDFWeibull(O60,5,1)</f>
        <v>1.564666392588367E-2</v>
      </c>
      <c r="Q60">
        <v>60</v>
      </c>
      <c r="S60">
        <f t="shared" si="4"/>
        <v>0.2365611222444875</v>
      </c>
      <c r="T60">
        <f>[1]!XLSTAT_PDFWeibull(S60,10,1)</f>
        <v>2.3200113414988313E-5</v>
      </c>
      <c r="U60">
        <v>60</v>
      </c>
      <c r="W60">
        <f t="shared" si="5"/>
        <v>0.2365611222444875</v>
      </c>
      <c r="X60">
        <f>[1]!XLSTAT_PDFWeibull(W60,10,5)</f>
        <v>2.3756929175334825E-12</v>
      </c>
      <c r="Y60">
        <v>60</v>
      </c>
      <c r="AA60">
        <f t="shared" si="6"/>
        <v>0.2365611222444875</v>
      </c>
      <c r="AB60">
        <f>[1]!XLSTAT_PDFWeibull(AA60,10,5)</f>
        <v>2.3756929175334825E-12</v>
      </c>
    </row>
    <row r="61" spans="1:28" x14ac:dyDescent="0.3">
      <c r="A61">
        <v>61</v>
      </c>
      <c r="C61">
        <f t="shared" si="0"/>
        <v>-3.03807615230461</v>
      </c>
      <c r="D61">
        <f>[1]!XLSTAT_PDFNormal(C61,0,1)</f>
        <v>3.9505839055440249E-3</v>
      </c>
      <c r="E61">
        <v>61</v>
      </c>
      <c r="G61">
        <f t="shared" si="1"/>
        <v>0.24056893787575001</v>
      </c>
      <c r="H61">
        <f>[1]!XLSTAT_PDFWeibull(G61,1)</f>
        <v>0.78618044597003833</v>
      </c>
      <c r="I61">
        <v>61</v>
      </c>
      <c r="K61">
        <f t="shared" si="2"/>
        <v>0.24056893787575001</v>
      </c>
      <c r="L61">
        <f>[1]!XLSTAT_PDFWeibull(K61,1,1)</f>
        <v>0.78618044597003833</v>
      </c>
      <c r="M61">
        <v>61</v>
      </c>
      <c r="O61">
        <f t="shared" si="3"/>
        <v>0.24056893787575001</v>
      </c>
      <c r="P61">
        <f>[1]!XLSTAT_PDFWeibull(O61,5,1)</f>
        <v>1.6733172058068249E-2</v>
      </c>
      <c r="Q61">
        <v>61</v>
      </c>
      <c r="S61">
        <f t="shared" si="4"/>
        <v>0.24056893787575001</v>
      </c>
      <c r="T61">
        <f>[1]!XLSTAT_PDFWeibull(S61,10,1)</f>
        <v>2.6987066235028358E-5</v>
      </c>
      <c r="U61">
        <v>61</v>
      </c>
      <c r="W61">
        <f t="shared" si="5"/>
        <v>0.24056893787575001</v>
      </c>
      <c r="X61">
        <f>[1]!XLSTAT_PDFWeibull(W61,10,5)</f>
        <v>2.7634773765858627E-12</v>
      </c>
      <c r="Y61">
        <v>61</v>
      </c>
      <c r="AA61">
        <f t="shared" si="6"/>
        <v>0.24056893787575001</v>
      </c>
      <c r="AB61">
        <f>[1]!XLSTAT_PDFWeibull(AA61,10,5)</f>
        <v>2.7634773765858627E-12</v>
      </c>
    </row>
    <row r="62" spans="1:28" x14ac:dyDescent="0.3">
      <c r="A62">
        <v>62</v>
      </c>
      <c r="C62">
        <f t="shared" si="0"/>
        <v>-3.0220440881763535</v>
      </c>
      <c r="D62">
        <f>[1]!XLSTAT_PDFNormal(C62,0,1)</f>
        <v>4.1472336032424926E-3</v>
      </c>
      <c r="E62">
        <v>62</v>
      </c>
      <c r="G62">
        <f t="shared" si="1"/>
        <v>0.2445767535070125</v>
      </c>
      <c r="H62">
        <f>[1]!XLSTAT_PDFWeibull(G62,1)</f>
        <v>0.78303588530851997</v>
      </c>
      <c r="I62">
        <v>62</v>
      </c>
      <c r="K62">
        <f t="shared" si="2"/>
        <v>0.2445767535070125</v>
      </c>
      <c r="L62">
        <f>[1]!XLSTAT_PDFWeibull(K62,1,1)</f>
        <v>0.78303588530851997</v>
      </c>
      <c r="M62">
        <v>62</v>
      </c>
      <c r="O62">
        <f t="shared" si="3"/>
        <v>0.2445767535070125</v>
      </c>
      <c r="P62">
        <f>[1]!XLSTAT_PDFWeibull(O62,5,1)</f>
        <v>1.7875188938819862E-2</v>
      </c>
      <c r="Q62">
        <v>62</v>
      </c>
      <c r="S62">
        <f t="shared" si="4"/>
        <v>0.2445767535070125</v>
      </c>
      <c r="T62">
        <f>[1]!XLSTAT_PDFWeibull(S62,10,1)</f>
        <v>3.1313834402696002E-5</v>
      </c>
      <c r="U62">
        <v>62</v>
      </c>
      <c r="W62">
        <f t="shared" si="5"/>
        <v>0.2445767535070125</v>
      </c>
      <c r="X62">
        <f>[1]!XLSTAT_PDFWeibull(W62,10,5)</f>
        <v>3.2065390986083273E-12</v>
      </c>
      <c r="Y62">
        <v>62</v>
      </c>
      <c r="AA62">
        <f t="shared" si="6"/>
        <v>0.2445767535070125</v>
      </c>
      <c r="AB62">
        <f>[1]!XLSTAT_PDFWeibull(AA62,10,5)</f>
        <v>3.2065390986083273E-12</v>
      </c>
    </row>
    <row r="63" spans="1:28" x14ac:dyDescent="0.3">
      <c r="A63">
        <v>63</v>
      </c>
      <c r="C63">
        <f t="shared" si="0"/>
        <v>-3.006012024048097</v>
      </c>
      <c r="D63">
        <f>[1]!XLSTAT_PDFNormal(C63,0,1)</f>
        <v>4.3525531389365622E-3</v>
      </c>
      <c r="E63">
        <v>63</v>
      </c>
      <c r="G63">
        <f t="shared" si="1"/>
        <v>0.24858456913827501</v>
      </c>
      <c r="H63">
        <f>[1]!XLSTAT_PDFWeibull(G63,1)</f>
        <v>0.77990390224519124</v>
      </c>
      <c r="I63">
        <v>63</v>
      </c>
      <c r="K63">
        <f t="shared" si="2"/>
        <v>0.24858456913827501</v>
      </c>
      <c r="L63">
        <f>[1]!XLSTAT_PDFWeibull(K63,1,1)</f>
        <v>0.77990390224519124</v>
      </c>
      <c r="M63">
        <v>63</v>
      </c>
      <c r="O63">
        <f t="shared" si="3"/>
        <v>0.24858456913827501</v>
      </c>
      <c r="P63">
        <f>[1]!XLSTAT_PDFWeibull(O63,5,1)</f>
        <v>1.9074555445172153E-2</v>
      </c>
      <c r="Q63">
        <v>63</v>
      </c>
      <c r="S63">
        <f t="shared" si="4"/>
        <v>0.24858456913827501</v>
      </c>
      <c r="T63">
        <f>[1]!XLSTAT_PDFWeibull(S63,10,1)</f>
        <v>3.6246585872312285E-5</v>
      </c>
      <c r="U63">
        <v>63</v>
      </c>
      <c r="W63">
        <f t="shared" si="5"/>
        <v>0.24858456913827501</v>
      </c>
      <c r="X63">
        <f>[1]!XLSTAT_PDFWeibull(W63,10,5)</f>
        <v>3.7116537376528874E-12</v>
      </c>
      <c r="Y63">
        <v>63</v>
      </c>
      <c r="AA63">
        <f t="shared" si="6"/>
        <v>0.24858456913827501</v>
      </c>
      <c r="AB63">
        <f>[1]!XLSTAT_PDFWeibull(AA63,10,5)</f>
        <v>3.7116537376528874E-12</v>
      </c>
    </row>
    <row r="64" spans="1:28" x14ac:dyDescent="0.3">
      <c r="A64">
        <v>64</v>
      </c>
      <c r="C64">
        <f t="shared" si="0"/>
        <v>-2.9899799599198404</v>
      </c>
      <c r="D64">
        <f>[1]!XLSTAT_PDFNormal(C64,0,1)</f>
        <v>4.5668635912891435E-3</v>
      </c>
      <c r="E64">
        <v>64</v>
      </c>
      <c r="G64">
        <f t="shared" si="1"/>
        <v>0.25259238476953749</v>
      </c>
      <c r="H64">
        <f>[1]!XLSTAT_PDFWeibull(G64,1)</f>
        <v>0.7767844464722371</v>
      </c>
      <c r="I64">
        <v>64</v>
      </c>
      <c r="K64">
        <f t="shared" si="2"/>
        <v>0.25259238476953749</v>
      </c>
      <c r="L64">
        <f>[1]!XLSTAT_PDFWeibull(K64,1,1)</f>
        <v>0.7767844464722371</v>
      </c>
      <c r="M64">
        <v>64</v>
      </c>
      <c r="O64">
        <f t="shared" si="3"/>
        <v>0.25259238476953749</v>
      </c>
      <c r="P64">
        <f>[1]!XLSTAT_PDFWeibull(O64,5,1)</f>
        <v>2.0333140009844139E-2</v>
      </c>
      <c r="Q64">
        <v>64</v>
      </c>
      <c r="S64">
        <f t="shared" si="4"/>
        <v>0.25259238476953749</v>
      </c>
      <c r="T64">
        <f>[1]!XLSTAT_PDFWeibull(S64,10,1)</f>
        <v>4.1858322470976867E-5</v>
      </c>
      <c r="U64">
        <v>64</v>
      </c>
      <c r="W64">
        <f t="shared" si="5"/>
        <v>0.25259238476953749</v>
      </c>
      <c r="X64">
        <f>[1]!XLSTAT_PDFWeibull(W64,10,5)</f>
        <v>4.2862967529716013E-12</v>
      </c>
      <c r="Y64">
        <v>64</v>
      </c>
      <c r="AA64">
        <f t="shared" si="6"/>
        <v>0.25259238476953749</v>
      </c>
      <c r="AB64">
        <f>[1]!XLSTAT_PDFWeibull(AA64,10,5)</f>
        <v>4.2862967529716013E-12</v>
      </c>
    </row>
    <row r="65" spans="1:28" x14ac:dyDescent="0.3">
      <c r="A65">
        <v>65</v>
      </c>
      <c r="C65">
        <f t="shared" ref="C65:C128" si="7">-4+(A65-1)*0.0160320641282565</f>
        <v>-2.9739478957915839</v>
      </c>
      <c r="D65">
        <f>[1]!XLSTAT_PDFNormal(C65,0,1)</f>
        <v>4.790494789026655E-3</v>
      </c>
      <c r="E65">
        <v>65</v>
      </c>
      <c r="G65">
        <f t="shared" ref="G65:G128" si="8">0.0001+(E65-1)*0.0040078156312625</f>
        <v>0.2566002004008</v>
      </c>
      <c r="H65">
        <f>[1]!XLSTAT_PDFWeibull(G65,1)</f>
        <v>0.77367746788306346</v>
      </c>
      <c r="I65">
        <v>65</v>
      </c>
      <c r="K65">
        <f t="shared" ref="K65:K128" si="9">0.0001+(I65-1)*0.0040078156312625</f>
        <v>0.2566002004008</v>
      </c>
      <c r="L65">
        <f>[1]!XLSTAT_PDFWeibull(K65,1,1)</f>
        <v>0.77367746788306346</v>
      </c>
      <c r="M65">
        <v>65</v>
      </c>
      <c r="O65">
        <f t="shared" ref="O65:O128" si="10">0.0001+(M65-1)*0.0040078156312625</f>
        <v>0.2566002004008</v>
      </c>
      <c r="P65">
        <f>[1]!XLSTAT_PDFWeibull(O65,5,1)</f>
        <v>2.1652838334147564E-2</v>
      </c>
      <c r="Q65">
        <v>65</v>
      </c>
      <c r="S65">
        <f t="shared" ref="S65:S128" si="11">0.0001+(Q65-1)*0.0040078156312625</f>
        <v>0.2566002004008</v>
      </c>
      <c r="T65">
        <f>[1]!XLSTAT_PDFWeibull(S65,10,1)</f>
        <v>4.8229458233794112E-5</v>
      </c>
      <c r="U65">
        <v>65</v>
      </c>
      <c r="W65">
        <f t="shared" ref="W65:W128" si="12">0.0001+(U65-1)*0.0040078156312625</f>
        <v>0.2566002004008</v>
      </c>
      <c r="X65">
        <f>[1]!XLSTAT_PDFWeibull(W65,10,5)</f>
        <v>4.938702635128301E-12</v>
      </c>
      <c r="Y65">
        <v>65</v>
      </c>
      <c r="AA65">
        <f t="shared" ref="AA65:AA128" si="13">0.0001+(Y65-1)*0.0040078156312625</f>
        <v>0.2566002004008</v>
      </c>
      <c r="AB65">
        <f>[1]!XLSTAT_PDFWeibull(AA65,10,5)</f>
        <v>4.938702635128301E-12</v>
      </c>
    </row>
    <row r="66" spans="1:28" x14ac:dyDescent="0.3">
      <c r="A66">
        <v>66</v>
      </c>
      <c r="C66">
        <f t="shared" si="7"/>
        <v>-2.9579158316633274</v>
      </c>
      <c r="D66">
        <f>[1]!XLSTAT_PDFNormal(C66,0,1)</f>
        <v>5.0237853944223587E-3</v>
      </c>
      <c r="E66">
        <v>66</v>
      </c>
      <c r="G66">
        <f t="shared" si="8"/>
        <v>0.26060801603206252</v>
      </c>
      <c r="H66">
        <f>[1]!XLSTAT_PDFWeibull(G66,1)</f>
        <v>0.77058291657149214</v>
      </c>
      <c r="I66">
        <v>66</v>
      </c>
      <c r="K66">
        <f t="shared" si="9"/>
        <v>0.26060801603206252</v>
      </c>
      <c r="L66">
        <f>[1]!XLSTAT_PDFWeibull(K66,1,1)</f>
        <v>0.77058291657149214</v>
      </c>
      <c r="M66">
        <v>66</v>
      </c>
      <c r="O66">
        <f t="shared" si="10"/>
        <v>0.26060801603206252</v>
      </c>
      <c r="P66">
        <f>[1]!XLSTAT_PDFWeibull(O66,5,1)</f>
        <v>2.3035573081963037E-2</v>
      </c>
      <c r="Q66">
        <v>66</v>
      </c>
      <c r="S66">
        <f t="shared" si="11"/>
        <v>0.26060801603206252</v>
      </c>
      <c r="T66">
        <f>[1]!XLSTAT_PDFWeibull(S66,10,1)</f>
        <v>5.5448436244563858E-5</v>
      </c>
      <c r="U66">
        <v>66</v>
      </c>
      <c r="W66">
        <f t="shared" si="12"/>
        <v>0.26060801603206252</v>
      </c>
      <c r="X66">
        <f>[1]!XLSTAT_PDFWeibull(W66,10,5)</f>
        <v>5.6779280762287876E-12</v>
      </c>
      <c r="Y66">
        <v>66</v>
      </c>
      <c r="AA66">
        <f t="shared" si="13"/>
        <v>0.26060801603206252</v>
      </c>
      <c r="AB66">
        <f>[1]!XLSTAT_PDFWeibull(AA66,10,5)</f>
        <v>5.6779280762287876E-12</v>
      </c>
    </row>
    <row r="67" spans="1:28" x14ac:dyDescent="0.3">
      <c r="A67">
        <v>67</v>
      </c>
      <c r="C67">
        <f t="shared" si="7"/>
        <v>-2.9418837675350709</v>
      </c>
      <c r="D67">
        <f>[1]!XLSTAT_PDFNormal(C67,0,1)</f>
        <v>5.2670829792524666E-3</v>
      </c>
      <c r="E67">
        <v>67</v>
      </c>
      <c r="G67">
        <f t="shared" si="8"/>
        <v>0.26461583166332503</v>
      </c>
      <c r="H67">
        <f>[1]!XLSTAT_PDFWeibull(G67,1)</f>
        <v>0.76750074283095993</v>
      </c>
      <c r="I67">
        <v>67</v>
      </c>
      <c r="K67">
        <f t="shared" si="9"/>
        <v>0.26461583166332503</v>
      </c>
      <c r="L67">
        <f>[1]!XLSTAT_PDFWeibull(K67,1,1)</f>
        <v>0.76750074283095993</v>
      </c>
      <c r="M67">
        <v>67</v>
      </c>
      <c r="O67">
        <f t="shared" si="10"/>
        <v>0.26461583166332503</v>
      </c>
      <c r="P67">
        <f>[1]!XLSTAT_PDFWeibull(O67,5,1)</f>
        <v>2.4483293553882565E-2</v>
      </c>
      <c r="Q67">
        <v>67</v>
      </c>
      <c r="S67">
        <f t="shared" si="11"/>
        <v>0.26461583166332503</v>
      </c>
      <c r="T67">
        <f>[1]!XLSTAT_PDFWeibull(S67,10,1)</f>
        <v>6.3612385871986707E-5</v>
      </c>
      <c r="U67">
        <v>67</v>
      </c>
      <c r="W67">
        <f t="shared" si="12"/>
        <v>0.26461583166332503</v>
      </c>
      <c r="X67">
        <f>[1]!XLSTAT_PDFWeibull(W67,10,5)</f>
        <v>6.5139192780785216E-12</v>
      </c>
      <c r="Y67">
        <v>67</v>
      </c>
      <c r="AA67">
        <f t="shared" si="13"/>
        <v>0.26461583166332503</v>
      </c>
      <c r="AB67">
        <f>[1]!XLSTAT_PDFWeibull(AA67,10,5)</f>
        <v>6.5139192780785216E-12</v>
      </c>
    </row>
    <row r="68" spans="1:28" x14ac:dyDescent="0.3">
      <c r="A68">
        <v>68</v>
      </c>
      <c r="C68">
        <f t="shared" si="7"/>
        <v>-2.9258517034068143</v>
      </c>
      <c r="D68">
        <f>[1]!XLSTAT_PDFNormal(C68,0,1)</f>
        <v>5.5207440927366094E-3</v>
      </c>
      <c r="E68">
        <v>68</v>
      </c>
      <c r="G68">
        <f t="shared" si="8"/>
        <v>0.26862364729458749</v>
      </c>
      <c r="H68">
        <f>[1]!XLSTAT_PDFWeibull(G68,1)</f>
        <v>0.76443089715371915</v>
      </c>
      <c r="I68">
        <v>68</v>
      </c>
      <c r="K68">
        <f t="shared" si="9"/>
        <v>0.26862364729458749</v>
      </c>
      <c r="L68">
        <f>[1]!XLSTAT_PDFWeibull(K68,1,1)</f>
        <v>0.76443089715371915</v>
      </c>
      <c r="M68">
        <v>68</v>
      </c>
      <c r="O68">
        <f t="shared" si="10"/>
        <v>0.26862364729458749</v>
      </c>
      <c r="P68">
        <f>[1]!XLSTAT_PDFWeibull(O68,5,1)</f>
        <v>2.5997975340591794E-2</v>
      </c>
      <c r="Q68">
        <v>68</v>
      </c>
      <c r="S68">
        <f t="shared" si="11"/>
        <v>0.26862364729458749</v>
      </c>
      <c r="T68">
        <f>[1]!XLSTAT_PDFWeibull(S68,10,1)</f>
        <v>7.2827822351915025E-5</v>
      </c>
      <c r="U68">
        <v>68</v>
      </c>
      <c r="W68">
        <f t="shared" si="12"/>
        <v>0.26862364729458749</v>
      </c>
      <c r="X68">
        <f>[1]!XLSTAT_PDFWeibull(W68,10,5)</f>
        <v>7.4575835983249579E-12</v>
      </c>
      <c r="Y68">
        <v>68</v>
      </c>
      <c r="AA68">
        <f t="shared" si="13"/>
        <v>0.26862364729458749</v>
      </c>
      <c r="AB68">
        <f>[1]!XLSTAT_PDFWeibull(AA68,10,5)</f>
        <v>7.4575835983249579E-12</v>
      </c>
    </row>
    <row r="69" spans="1:28" x14ac:dyDescent="0.3">
      <c r="A69">
        <v>69</v>
      </c>
      <c r="C69">
        <f t="shared" si="7"/>
        <v>-2.9098196392785578</v>
      </c>
      <c r="D69">
        <f>[1]!XLSTAT_PDFNormal(C69,0,1)</f>
        <v>5.7851343209649846E-3</v>
      </c>
      <c r="E69">
        <v>69</v>
      </c>
      <c r="G69">
        <f t="shared" si="8"/>
        <v>0.27263146292585</v>
      </c>
      <c r="H69">
        <f>[1]!XLSTAT_PDFWeibull(G69,1)</f>
        <v>0.76137333023004317</v>
      </c>
      <c r="I69">
        <v>69</v>
      </c>
      <c r="K69">
        <f t="shared" si="9"/>
        <v>0.27263146292585</v>
      </c>
      <c r="L69">
        <f>[1]!XLSTAT_PDFWeibull(K69,1,1)</f>
        <v>0.76137333023004317</v>
      </c>
      <c r="M69">
        <v>69</v>
      </c>
      <c r="O69">
        <f t="shared" si="10"/>
        <v>0.27263146292585</v>
      </c>
      <c r="P69">
        <f>[1]!XLSTAT_PDFWeibull(O69,5,1)</f>
        <v>2.7581619954539231E-2</v>
      </c>
      <c r="Q69">
        <v>69</v>
      </c>
      <c r="S69">
        <f t="shared" si="11"/>
        <v>0.27263146292585</v>
      </c>
      <c r="T69">
        <f>[1]!XLSTAT_PDFWeibull(S69,10,1)</f>
        <v>8.3211390727501027E-5</v>
      </c>
      <c r="U69">
        <v>69</v>
      </c>
      <c r="W69">
        <f t="shared" si="12"/>
        <v>0.27263146292585</v>
      </c>
      <c r="X69">
        <f>[1]!XLSTAT_PDFWeibull(W69,10,5)</f>
        <v>8.5208657409888889E-12</v>
      </c>
      <c r="Y69">
        <v>69</v>
      </c>
      <c r="AA69">
        <f t="shared" si="13"/>
        <v>0.27263146292585</v>
      </c>
      <c r="AB69">
        <f>[1]!XLSTAT_PDFWeibull(AA69,10,5)</f>
        <v>8.5208657409888889E-12</v>
      </c>
    </row>
    <row r="70" spans="1:28" x14ac:dyDescent="0.3">
      <c r="A70">
        <v>70</v>
      </c>
      <c r="C70">
        <f t="shared" si="7"/>
        <v>-2.8937875751503013</v>
      </c>
      <c r="D70">
        <f>[1]!XLSTAT_PDFNormal(C70,0,1)</f>
        <v>6.060628337306263E-3</v>
      </c>
      <c r="E70">
        <v>70</v>
      </c>
      <c r="G70">
        <f t="shared" si="8"/>
        <v>0.27663927855711251</v>
      </c>
      <c r="H70">
        <f>[1]!XLSTAT_PDFWeibull(G70,1)</f>
        <v>0.75832799294743425</v>
      </c>
      <c r="I70">
        <v>70</v>
      </c>
      <c r="K70">
        <f t="shared" si="9"/>
        <v>0.27663927855711251</v>
      </c>
      <c r="L70">
        <f>[1]!XLSTAT_PDFWeibull(K70,1,1)</f>
        <v>0.75832799294743425</v>
      </c>
      <c r="M70">
        <v>70</v>
      </c>
      <c r="O70">
        <f t="shared" si="10"/>
        <v>0.27663927855711251</v>
      </c>
      <c r="P70">
        <f>[1]!XLSTAT_PDFWeibull(O70,5,1)</f>
        <v>2.923625443891481E-2</v>
      </c>
      <c r="Q70">
        <v>70</v>
      </c>
      <c r="S70">
        <f t="shared" si="11"/>
        <v>0.27663927855711251</v>
      </c>
      <c r="T70">
        <f>[1]!XLSTAT_PDFWeibull(S70,10,1)</f>
        <v>9.4890656221292456E-5</v>
      </c>
      <c r="U70">
        <v>70</v>
      </c>
      <c r="W70">
        <f t="shared" si="12"/>
        <v>0.27663927855711251</v>
      </c>
      <c r="X70">
        <f>[1]!XLSTAT_PDFWeibull(W70,10,5)</f>
        <v>9.7168287042355601E-12</v>
      </c>
      <c r="Y70">
        <v>70</v>
      </c>
      <c r="AA70">
        <f t="shared" si="13"/>
        <v>0.27663927855711251</v>
      </c>
      <c r="AB70">
        <f>[1]!XLSTAT_PDFWeibull(AA70,10,5)</f>
        <v>9.7168287042355601E-12</v>
      </c>
    </row>
    <row r="71" spans="1:28" x14ac:dyDescent="0.3">
      <c r="A71">
        <v>71</v>
      </c>
      <c r="C71">
        <f t="shared" si="7"/>
        <v>-2.8777555110220447</v>
      </c>
      <c r="D71">
        <f>[1]!XLSTAT_PDFNormal(C71,0,1)</f>
        <v>6.347609943282229E-3</v>
      </c>
      <c r="E71">
        <v>71</v>
      </c>
      <c r="G71">
        <f t="shared" si="8"/>
        <v>0.28064709418837502</v>
      </c>
      <c r="H71">
        <f>[1]!XLSTAT_PDFWeibull(G71,1)</f>
        <v>0.75529483638983452</v>
      </c>
      <c r="I71">
        <v>71</v>
      </c>
      <c r="K71">
        <f t="shared" si="9"/>
        <v>0.28064709418837502</v>
      </c>
      <c r="L71">
        <f>[1]!XLSTAT_PDFWeibull(K71,1,1)</f>
        <v>0.75529483638983452</v>
      </c>
      <c r="M71">
        <v>71</v>
      </c>
      <c r="O71">
        <f t="shared" si="10"/>
        <v>0.28064709418837502</v>
      </c>
      <c r="P71">
        <f>[1]!XLSTAT_PDFWeibull(O71,5,1)</f>
        <v>3.0963930952935228E-2</v>
      </c>
      <c r="Q71">
        <v>71</v>
      </c>
      <c r="S71">
        <f t="shared" si="11"/>
        <v>0.28064709418837502</v>
      </c>
      <c r="T71">
        <f>[1]!XLSTAT_PDFWeibull(S71,10,1)</f>
        <v>1.0800494317631331E-4</v>
      </c>
      <c r="U71">
        <v>71</v>
      </c>
      <c r="W71">
        <f t="shared" si="12"/>
        <v>0.28064709418837502</v>
      </c>
      <c r="X71">
        <f>[1]!XLSTAT_PDFWeibull(W71,10,5)</f>
        <v>1.1059739704781346E-11</v>
      </c>
      <c r="Y71">
        <v>71</v>
      </c>
      <c r="AA71">
        <f t="shared" si="13"/>
        <v>0.28064709418837502</v>
      </c>
      <c r="AB71">
        <f>[1]!XLSTAT_PDFWeibull(AA71,10,5)</f>
        <v>1.1059739704781346E-11</v>
      </c>
    </row>
    <row r="72" spans="1:28" x14ac:dyDescent="0.3">
      <c r="A72">
        <v>72</v>
      </c>
      <c r="C72">
        <f t="shared" si="7"/>
        <v>-2.8617234468937882</v>
      </c>
      <c r="D72">
        <f>[1]!XLSTAT_PDFNormal(C72,0,1)</f>
        <v>6.6464720993882741E-3</v>
      </c>
      <c r="E72">
        <v>72</v>
      </c>
      <c r="G72">
        <f t="shared" si="8"/>
        <v>0.28465490981963748</v>
      </c>
      <c r="H72">
        <f>[1]!XLSTAT_PDFWeibull(G72,1)</f>
        <v>0.75227381183684028</v>
      </c>
      <c r="I72">
        <v>72</v>
      </c>
      <c r="K72">
        <f t="shared" si="9"/>
        <v>0.28465490981963748</v>
      </c>
      <c r="L72">
        <f>[1]!XLSTAT_PDFWeibull(K72,1,1)</f>
        <v>0.75227381183684028</v>
      </c>
      <c r="M72">
        <v>72</v>
      </c>
      <c r="O72">
        <f t="shared" si="10"/>
        <v>0.28465490981963748</v>
      </c>
      <c r="P72">
        <f>[1]!XLSTAT_PDFWeibull(O72,5,1)</f>
        <v>3.2766726332408194E-2</v>
      </c>
      <c r="Q72">
        <v>72</v>
      </c>
      <c r="S72">
        <f t="shared" si="11"/>
        <v>0.28465490981963748</v>
      </c>
      <c r="T72">
        <f>[1]!XLSTAT_PDFWeibull(S72,10,1)</f>
        <v>1.2270622476700903E-4</v>
      </c>
      <c r="U72">
        <v>72</v>
      </c>
      <c r="W72">
        <f t="shared" si="12"/>
        <v>0.28465490981963748</v>
      </c>
      <c r="X72">
        <f>[1]!XLSTAT_PDFWeibull(W72,10,5)</f>
        <v>1.256516130497706E-11</v>
      </c>
      <c r="Y72">
        <v>72</v>
      </c>
      <c r="AA72">
        <f t="shared" si="13"/>
        <v>0.28465490981963748</v>
      </c>
      <c r="AB72">
        <f>[1]!XLSTAT_PDFWeibull(AA72,10,5)</f>
        <v>1.256516130497706E-11</v>
      </c>
    </row>
    <row r="73" spans="1:28" x14ac:dyDescent="0.3">
      <c r="A73">
        <v>73</v>
      </c>
      <c r="C73">
        <f t="shared" si="7"/>
        <v>-2.8456913827655317</v>
      </c>
      <c r="D73">
        <f>[1]!XLSTAT_PDFNormal(C73,0,1)</f>
        <v>6.9576169453322784E-3</v>
      </c>
      <c r="E73">
        <v>73</v>
      </c>
      <c r="G73">
        <f t="shared" si="8"/>
        <v>0.28866272545089999</v>
      </c>
      <c r="H73">
        <f>[1]!XLSTAT_PDFWeibull(G73,1)</f>
        <v>0.74926487076291948</v>
      </c>
      <c r="I73">
        <v>73</v>
      </c>
      <c r="K73">
        <f t="shared" si="9"/>
        <v>0.28866272545089999</v>
      </c>
      <c r="L73">
        <f>[1]!XLSTAT_PDFWeibull(K73,1,1)</f>
        <v>0.74926487076291948</v>
      </c>
      <c r="M73">
        <v>73</v>
      </c>
      <c r="O73">
        <f t="shared" si="10"/>
        <v>0.28866272545089999</v>
      </c>
      <c r="P73">
        <f>[1]!XLSTAT_PDFWeibull(O73,5,1)</f>
        <v>3.4646741624523518E-2</v>
      </c>
      <c r="Q73">
        <v>73</v>
      </c>
      <c r="S73">
        <f t="shared" si="11"/>
        <v>0.28866272545089999</v>
      </c>
      <c r="T73">
        <f>[1]!XLSTAT_PDFWeibull(S73,10,1)</f>
        <v>1.3916006574550181E-4</v>
      </c>
      <c r="U73">
        <v>73</v>
      </c>
      <c r="W73">
        <f t="shared" si="12"/>
        <v>0.28866272545089999</v>
      </c>
      <c r="X73">
        <f>[1]!XLSTAT_PDFWeibull(W73,10,5)</f>
        <v>1.4250047975352693E-11</v>
      </c>
      <c r="Y73">
        <v>73</v>
      </c>
      <c r="AA73">
        <f t="shared" si="13"/>
        <v>0.28866272545089999</v>
      </c>
      <c r="AB73">
        <f>[1]!XLSTAT_PDFWeibull(AA73,10,5)</f>
        <v>1.4250047975352693E-11</v>
      </c>
    </row>
    <row r="74" spans="1:28" x14ac:dyDescent="0.3">
      <c r="A74">
        <v>74</v>
      </c>
      <c r="C74">
        <f t="shared" si="7"/>
        <v>-2.8296593186372752</v>
      </c>
      <c r="D74">
        <f>[1]!XLSTAT_PDFNormal(C74,0,1)</f>
        <v>7.2814558091590072E-3</v>
      </c>
      <c r="E74">
        <v>74</v>
      </c>
      <c r="G74">
        <f t="shared" si="8"/>
        <v>0.29267054108216251</v>
      </c>
      <c r="H74">
        <f>[1]!XLSTAT_PDFWeibull(G74,1)</f>
        <v>0.74626796483663227</v>
      </c>
      <c r="I74">
        <v>74</v>
      </c>
      <c r="K74">
        <f t="shared" si="9"/>
        <v>0.29267054108216251</v>
      </c>
      <c r="L74">
        <f>[1]!XLSTAT_PDFWeibull(K74,1,1)</f>
        <v>0.74626796483663227</v>
      </c>
      <c r="M74">
        <v>74</v>
      </c>
      <c r="O74">
        <f t="shared" si="10"/>
        <v>0.29267054108216251</v>
      </c>
      <c r="P74">
        <f>[1]!XLSTAT_PDFWeibull(O74,5,1)</f>
        <v>3.6606101595793215E-2</v>
      </c>
      <c r="Q74">
        <v>74</v>
      </c>
      <c r="S74">
        <f t="shared" si="11"/>
        <v>0.29267054108216251</v>
      </c>
      <c r="T74">
        <f>[1]!XLSTAT_PDFWeibull(S74,10,1)</f>
        <v>1.5754662055395197E-4</v>
      </c>
      <c r="U74">
        <v>74</v>
      </c>
      <c r="W74">
        <f t="shared" si="12"/>
        <v>0.29267054108216251</v>
      </c>
      <c r="X74">
        <f>[1]!XLSTAT_PDFWeibull(W74,10,5)</f>
        <v>1.6132848332249807E-11</v>
      </c>
      <c r="Y74">
        <v>74</v>
      </c>
      <c r="AA74">
        <f t="shared" si="13"/>
        <v>0.29267054108216251</v>
      </c>
      <c r="AB74">
        <f>[1]!XLSTAT_PDFWeibull(AA74,10,5)</f>
        <v>1.6132848332249807E-11</v>
      </c>
    </row>
    <row r="75" spans="1:28" x14ac:dyDescent="0.3">
      <c r="A75">
        <v>75</v>
      </c>
      <c r="C75">
        <f t="shared" si="7"/>
        <v>-2.8136272545090186</v>
      </c>
      <c r="D75">
        <f>[1]!XLSTAT_PDFNormal(C75,0,1)</f>
        <v>7.6184092047224157E-3</v>
      </c>
      <c r="E75">
        <v>75</v>
      </c>
      <c r="G75">
        <f t="shared" si="8"/>
        <v>0.29667835671342502</v>
      </c>
      <c r="H75">
        <f>[1]!XLSTAT_PDFWeibull(G75,1)</f>
        <v>0.74328304591985461</v>
      </c>
      <c r="I75">
        <v>75</v>
      </c>
      <c r="K75">
        <f t="shared" si="9"/>
        <v>0.29667835671342502</v>
      </c>
      <c r="L75">
        <f>[1]!XLSTAT_PDFWeibull(K75,1,1)</f>
        <v>0.74328304591985461</v>
      </c>
      <c r="M75">
        <v>75</v>
      </c>
      <c r="O75">
        <f t="shared" si="10"/>
        <v>0.29667835671342502</v>
      </c>
      <c r="P75">
        <f>[1]!XLSTAT_PDFWeibull(O75,5,1)</f>
        <v>3.8646954212040618E-2</v>
      </c>
      <c r="Q75">
        <v>75</v>
      </c>
      <c r="S75">
        <f t="shared" si="11"/>
        <v>0.29667835671342502</v>
      </c>
      <c r="T75">
        <f>[1]!XLSTAT_PDFWeibull(S75,10,1)</f>
        <v>1.7806168919989027E-4</v>
      </c>
      <c r="U75">
        <v>75</v>
      </c>
      <c r="W75">
        <f t="shared" si="12"/>
        <v>0.29667835671342502</v>
      </c>
      <c r="X75">
        <f>[1]!XLSTAT_PDFWeibull(W75,10,5)</f>
        <v>1.8233613297112348E-11</v>
      </c>
      <c r="Y75">
        <v>75</v>
      </c>
      <c r="AA75">
        <f t="shared" si="13"/>
        <v>0.29667835671342502</v>
      </c>
      <c r="AB75">
        <f>[1]!XLSTAT_PDFWeibull(AA75,10,5)</f>
        <v>1.8233613297112348E-11</v>
      </c>
    </row>
    <row r="76" spans="1:28" x14ac:dyDescent="0.3">
      <c r="A76">
        <v>76</v>
      </c>
      <c r="C76">
        <f t="shared" si="7"/>
        <v>-2.7975951903807621</v>
      </c>
      <c r="D76">
        <f>[1]!XLSTAT_PDFNormal(C76,0,1)</f>
        <v>7.9689068169643724E-3</v>
      </c>
      <c r="E76">
        <v>76</v>
      </c>
      <c r="G76">
        <f t="shared" si="8"/>
        <v>0.30068617234468753</v>
      </c>
      <c r="H76">
        <f>[1]!XLSTAT_PDFWeibull(G76,1)</f>
        <v>0.74031006606700511</v>
      </c>
      <c r="I76">
        <v>76</v>
      </c>
      <c r="K76">
        <f t="shared" si="9"/>
        <v>0.30068617234468753</v>
      </c>
      <c r="L76">
        <f>[1]!XLSTAT_PDFWeibull(K76,1,1)</f>
        <v>0.74031006606700511</v>
      </c>
      <c r="M76">
        <v>76</v>
      </c>
      <c r="O76">
        <f t="shared" si="10"/>
        <v>0.30068617234468753</v>
      </c>
      <c r="P76">
        <f>[1]!XLSTAT_PDFWeibull(O76,5,1)</f>
        <v>4.0771470089313235E-2</v>
      </c>
      <c r="Q76">
        <v>76</v>
      </c>
      <c r="S76">
        <f t="shared" si="11"/>
        <v>0.30068617234468753</v>
      </c>
      <c r="T76">
        <f>[1]!XLSTAT_PDFWeibull(S76,10,1)</f>
        <v>2.0091783335808653E-4</v>
      </c>
      <c r="U76">
        <v>76</v>
      </c>
      <c r="W76">
        <f t="shared" si="12"/>
        <v>0.30068617234468753</v>
      </c>
      <c r="X76">
        <f>[1]!XLSTAT_PDFWeibull(W76,10,5)</f>
        <v>2.0574110431044981E-11</v>
      </c>
      <c r="Y76">
        <v>76</v>
      </c>
      <c r="AA76">
        <f t="shared" si="13"/>
        <v>0.30068617234468753</v>
      </c>
      <c r="AB76">
        <f>[1]!XLSTAT_PDFWeibull(AA76,10,5)</f>
        <v>2.0574110431044981E-11</v>
      </c>
    </row>
    <row r="77" spans="1:28" x14ac:dyDescent="0.3">
      <c r="A77">
        <v>77</v>
      </c>
      <c r="C77">
        <f t="shared" si="7"/>
        <v>-2.781563126252506</v>
      </c>
      <c r="D77">
        <f>[1]!XLSTAT_PDFNormal(C77,0,1)</f>
        <v>8.3333874744555923E-3</v>
      </c>
      <c r="E77">
        <v>77</v>
      </c>
      <c r="G77">
        <f t="shared" si="8"/>
        <v>0.30469398797594999</v>
      </c>
      <c r="H77">
        <f>[1]!XLSTAT_PDFWeibull(G77,1)</f>
        <v>0.73734897752427497</v>
      </c>
      <c r="I77">
        <v>77</v>
      </c>
      <c r="K77">
        <f t="shared" si="9"/>
        <v>0.30469398797594999</v>
      </c>
      <c r="L77">
        <f>[1]!XLSTAT_PDFWeibull(K77,1,1)</f>
        <v>0.73734897752427497</v>
      </c>
      <c r="M77">
        <v>77</v>
      </c>
      <c r="O77">
        <f t="shared" si="10"/>
        <v>0.30469398797594999</v>
      </c>
      <c r="P77">
        <f>[1]!XLSTAT_PDFWeibull(O77,5,1)</f>
        <v>4.2981841914570287E-2</v>
      </c>
      <c r="Q77">
        <v>77</v>
      </c>
      <c r="S77">
        <f t="shared" si="11"/>
        <v>0.30469398797594999</v>
      </c>
      <c r="T77">
        <f>[1]!XLSTAT_PDFWeibull(S77,10,1)</f>
        <v>2.2634555522990489E-4</v>
      </c>
      <c r="U77">
        <v>77</v>
      </c>
      <c r="W77">
        <f t="shared" si="12"/>
        <v>0.30469398797594999</v>
      </c>
      <c r="X77">
        <f>[1]!XLSTAT_PDFWeibull(W77,10,5)</f>
        <v>2.3177944705391615E-11</v>
      </c>
      <c r="Y77">
        <v>77</v>
      </c>
      <c r="AA77">
        <f t="shared" si="13"/>
        <v>0.30469398797594999</v>
      </c>
      <c r="AB77">
        <f>[1]!XLSTAT_PDFWeibull(AA77,10,5)</f>
        <v>2.3177944705391615E-11</v>
      </c>
    </row>
    <row r="78" spans="1:28" x14ac:dyDescent="0.3">
      <c r="A78">
        <v>78</v>
      </c>
      <c r="C78">
        <f t="shared" si="7"/>
        <v>-2.7655310621242495</v>
      </c>
      <c r="D78">
        <f>[1]!XLSTAT_PDFNormal(C78,0,1)</f>
        <v>8.7122991086527983E-3</v>
      </c>
      <c r="E78">
        <v>78</v>
      </c>
      <c r="G78">
        <f t="shared" si="8"/>
        <v>0.3087018036072125</v>
      </c>
      <c r="H78">
        <f>[1]!XLSTAT_PDFWeibull(G78,1)</f>
        <v>0.73439973272886072</v>
      </c>
      <c r="I78">
        <v>78</v>
      </c>
      <c r="K78">
        <f t="shared" si="9"/>
        <v>0.3087018036072125</v>
      </c>
      <c r="L78">
        <f>[1]!XLSTAT_PDFWeibull(K78,1,1)</f>
        <v>0.73439973272886072</v>
      </c>
      <c r="M78">
        <v>78</v>
      </c>
      <c r="O78">
        <f t="shared" si="10"/>
        <v>0.3087018036072125</v>
      </c>
      <c r="P78">
        <f>[1]!XLSTAT_PDFWeibull(O78,5,1)</f>
        <v>4.5280283834975336E-2</v>
      </c>
      <c r="Q78">
        <v>78</v>
      </c>
      <c r="S78">
        <f t="shared" si="11"/>
        <v>0.3087018036072125</v>
      </c>
      <c r="T78">
        <f>[1]!XLSTAT_PDFWeibull(S78,10,1)</f>
        <v>2.5459454175903593E-4</v>
      </c>
      <c r="U78">
        <v>78</v>
      </c>
      <c r="W78">
        <f t="shared" si="12"/>
        <v>0.3087018036072125</v>
      </c>
      <c r="X78">
        <f>[1]!XLSTAT_PDFWeibull(W78,10,5)</f>
        <v>2.6070685976322471E-11</v>
      </c>
      <c r="Y78">
        <v>78</v>
      </c>
      <c r="AA78">
        <f t="shared" si="13"/>
        <v>0.3087018036072125</v>
      </c>
      <c r="AB78">
        <f>[1]!XLSTAT_PDFWeibull(AA78,10,5)</f>
        <v>2.6070685976322471E-11</v>
      </c>
    </row>
    <row r="79" spans="1:28" x14ac:dyDescent="0.3">
      <c r="A79">
        <v>79</v>
      </c>
      <c r="C79">
        <f t="shared" si="7"/>
        <v>-2.749498997995993</v>
      </c>
      <c r="D79">
        <f>[1]!XLSTAT_PDFNormal(C79,0,1)</f>
        <v>9.1060986993250839E-3</v>
      </c>
      <c r="E79">
        <v>79</v>
      </c>
      <c r="G79">
        <f t="shared" si="8"/>
        <v>0.31270961923847501</v>
      </c>
      <c r="H79">
        <f>[1]!XLSTAT_PDFWeibull(G79,1)</f>
        <v>0.73146228430820026</v>
      </c>
      <c r="I79">
        <v>79</v>
      </c>
      <c r="K79">
        <f t="shared" si="9"/>
        <v>0.31270961923847501</v>
      </c>
      <c r="L79">
        <f>[1]!XLSTAT_PDFWeibull(K79,1,1)</f>
        <v>0.73146228430820026</v>
      </c>
      <c r="M79">
        <v>79</v>
      </c>
      <c r="O79">
        <f t="shared" si="10"/>
        <v>0.31270961923847501</v>
      </c>
      <c r="P79">
        <f>[1]!XLSTAT_PDFWeibull(O79,5,1)</f>
        <v>4.7669030814598688E-2</v>
      </c>
      <c r="Q79">
        <v>79</v>
      </c>
      <c r="S79">
        <f t="shared" si="11"/>
        <v>0.31270961923847501</v>
      </c>
      <c r="T79">
        <f>[1]!XLSTAT_PDFWeibull(S79,10,1)</f>
        <v>2.8593497687093208E-4</v>
      </c>
      <c r="U79">
        <v>79</v>
      </c>
      <c r="W79">
        <f t="shared" si="12"/>
        <v>0.31270961923847501</v>
      </c>
      <c r="X79">
        <f>[1]!XLSTAT_PDFWeibull(W79,10,5)</f>
        <v>2.9280003438758721E-11</v>
      </c>
      <c r="Y79">
        <v>79</v>
      </c>
      <c r="AA79">
        <f t="shared" si="13"/>
        <v>0.31270961923847501</v>
      </c>
      <c r="AB79">
        <f>[1]!XLSTAT_PDFWeibull(AA79,10,5)</f>
        <v>2.9280003438758721E-11</v>
      </c>
    </row>
    <row r="80" spans="1:28" x14ac:dyDescent="0.3">
      <c r="A80">
        <v>80</v>
      </c>
      <c r="C80">
        <f t="shared" si="7"/>
        <v>-2.7334669338677364</v>
      </c>
      <c r="D80">
        <f>[1]!XLSTAT_PDFNormal(C80,0,1)</f>
        <v>9.515252205603255E-3</v>
      </c>
      <c r="E80">
        <v>80</v>
      </c>
      <c r="G80">
        <f t="shared" si="8"/>
        <v>0.31671743486973752</v>
      </c>
      <c r="H80">
        <f>[1]!XLSTAT_PDFWeibull(G80,1)</f>
        <v>0.72853658507921226</v>
      </c>
      <c r="I80">
        <v>80</v>
      </c>
      <c r="K80">
        <f t="shared" si="9"/>
        <v>0.31671743486973752</v>
      </c>
      <c r="L80">
        <f>[1]!XLSTAT_PDFWeibull(K80,1,1)</f>
        <v>0.72853658507921226</v>
      </c>
      <c r="M80">
        <v>80</v>
      </c>
      <c r="O80">
        <f t="shared" si="10"/>
        <v>0.31671743486973752</v>
      </c>
      <c r="P80">
        <f>[1]!XLSTAT_PDFWeibull(O80,5,1)</f>
        <v>5.0150337957315883E-2</v>
      </c>
      <c r="Q80">
        <v>80</v>
      </c>
      <c r="S80">
        <f t="shared" si="11"/>
        <v>0.31671743486973752</v>
      </c>
      <c r="T80">
        <f>[1]!XLSTAT_PDFWeibull(S80,10,1)</f>
        <v>3.2065892447225085E-4</v>
      </c>
      <c r="U80">
        <v>80</v>
      </c>
      <c r="W80">
        <f t="shared" si="12"/>
        <v>0.31671743486973752</v>
      </c>
      <c r="X80">
        <f>[1]!XLSTAT_PDFWeibull(W80,10,5)</f>
        <v>3.2835807342403145E-11</v>
      </c>
      <c r="Y80">
        <v>80</v>
      </c>
      <c r="AA80">
        <f t="shared" si="13"/>
        <v>0.31671743486973752</v>
      </c>
      <c r="AB80">
        <f>[1]!XLSTAT_PDFWeibull(AA80,10,5)</f>
        <v>3.2835807342403145E-11</v>
      </c>
    </row>
    <row r="81" spans="1:28" x14ac:dyDescent="0.3">
      <c r="A81">
        <v>81</v>
      </c>
      <c r="C81">
        <f t="shared" si="7"/>
        <v>-2.7174348697394799</v>
      </c>
      <c r="D81">
        <f>[1]!XLSTAT_PDFNormal(C81,0,1)</f>
        <v>9.9402344821070809E-3</v>
      </c>
      <c r="E81">
        <v>81</v>
      </c>
      <c r="G81">
        <f t="shared" si="8"/>
        <v>0.32072525050099998</v>
      </c>
      <c r="H81">
        <f>[1]!XLSTAT_PDFWeibull(G81,1)</f>
        <v>0.7256225880475381</v>
      </c>
      <c r="I81">
        <v>81</v>
      </c>
      <c r="K81">
        <f t="shared" si="9"/>
        <v>0.32072525050099998</v>
      </c>
      <c r="L81">
        <f>[1]!XLSTAT_PDFWeibull(K81,1,1)</f>
        <v>0.7256225880475381</v>
      </c>
      <c r="M81">
        <v>81</v>
      </c>
      <c r="O81">
        <f t="shared" si="10"/>
        <v>0.32072525050099998</v>
      </c>
      <c r="P81">
        <f>[1]!XLSTAT_PDFWeibull(O81,5,1)</f>
        <v>5.2726479794664972E-2</v>
      </c>
      <c r="Q81">
        <v>81</v>
      </c>
      <c r="S81">
        <f t="shared" si="11"/>
        <v>0.32072525050099998</v>
      </c>
      <c r="T81">
        <f>[1]!XLSTAT_PDFWeibull(S81,10,1)</f>
        <v>3.5908178501586294E-4</v>
      </c>
      <c r="U81">
        <v>81</v>
      </c>
      <c r="W81">
        <f t="shared" si="12"/>
        <v>0.32072525050099998</v>
      </c>
      <c r="X81">
        <f>[1]!XLSTAT_PDFWeibull(W81,10,5)</f>
        <v>3.6770398260177658E-11</v>
      </c>
      <c r="Y81">
        <v>81</v>
      </c>
      <c r="AA81">
        <f t="shared" si="13"/>
        <v>0.32072525050099998</v>
      </c>
      <c r="AB81">
        <f>[1]!XLSTAT_PDFWeibull(AA81,10,5)</f>
        <v>3.6770398260177658E-11</v>
      </c>
    </row>
    <row r="82" spans="1:28" x14ac:dyDescent="0.3">
      <c r="A82">
        <v>82</v>
      </c>
      <c r="C82">
        <f t="shared" si="7"/>
        <v>-2.7014028056112234</v>
      </c>
      <c r="D82">
        <f>[1]!XLSTAT_PDFNormal(C82,0,1)</f>
        <v>1.0381529179608332E-2</v>
      </c>
      <c r="E82">
        <v>82</v>
      </c>
      <c r="G82">
        <f t="shared" si="8"/>
        <v>0.32473306613226249</v>
      </c>
      <c r="H82">
        <f>[1]!XLSTAT_PDFWeibull(G82,1)</f>
        <v>0.72272024640678656</v>
      </c>
      <c r="I82">
        <v>82</v>
      </c>
      <c r="K82">
        <f t="shared" si="9"/>
        <v>0.32473306613226249</v>
      </c>
      <c r="L82">
        <f>[1]!XLSTAT_PDFWeibull(K82,1,1)</f>
        <v>0.72272024640678656</v>
      </c>
      <c r="M82">
        <v>82</v>
      </c>
      <c r="O82">
        <f t="shared" si="10"/>
        <v>0.32473306613226249</v>
      </c>
      <c r="P82">
        <f>[1]!XLSTAT_PDFWeibull(O82,5,1)</f>
        <v>5.5399749537407228E-2</v>
      </c>
      <c r="Q82">
        <v>82</v>
      </c>
      <c r="S82">
        <f t="shared" si="11"/>
        <v>0.32473306613226249</v>
      </c>
      <c r="T82">
        <f>[1]!XLSTAT_PDFWeibull(S82,10,1)</f>
        <v>4.0154382850665697E-4</v>
      </c>
      <c r="U82">
        <v>82</v>
      </c>
      <c r="W82">
        <f t="shared" si="12"/>
        <v>0.32473306613226249</v>
      </c>
      <c r="X82">
        <f>[1]!XLSTAT_PDFWeibull(W82,10,5)</f>
        <v>4.1118624207007968E-11</v>
      </c>
      <c r="Y82">
        <v>82</v>
      </c>
      <c r="AA82">
        <f t="shared" si="13"/>
        <v>0.32473306613226249</v>
      </c>
      <c r="AB82">
        <f>[1]!XLSTAT_PDFWeibull(AA82,10,5)</f>
        <v>4.1118624207007968E-11</v>
      </c>
    </row>
    <row r="83" spans="1:28" x14ac:dyDescent="0.3">
      <c r="A83">
        <v>83</v>
      </c>
      <c r="C83">
        <f t="shared" si="7"/>
        <v>-2.6853707414829668</v>
      </c>
      <c r="D83">
        <f>[1]!XLSTAT_PDFNormal(C83,0,1)</f>
        <v>1.0839628629691371E-2</v>
      </c>
      <c r="E83">
        <v>83</v>
      </c>
      <c r="G83">
        <f t="shared" si="8"/>
        <v>0.32874088176352501</v>
      </c>
      <c r="H83">
        <f>[1]!XLSTAT_PDFWeibull(G83,1)</f>
        <v>0.71982951353778268</v>
      </c>
      <c r="I83">
        <v>83</v>
      </c>
      <c r="K83">
        <f t="shared" si="9"/>
        <v>0.32874088176352501</v>
      </c>
      <c r="L83">
        <f>[1]!XLSTAT_PDFWeibull(K83,1,1)</f>
        <v>0.71982951353778268</v>
      </c>
      <c r="M83">
        <v>83</v>
      </c>
      <c r="O83">
        <f t="shared" si="10"/>
        <v>0.32874088176352501</v>
      </c>
      <c r="P83">
        <f>[1]!XLSTAT_PDFWeibull(O83,5,1)</f>
        <v>5.8172458289513902E-2</v>
      </c>
      <c r="Q83">
        <v>83</v>
      </c>
      <c r="S83">
        <f t="shared" si="11"/>
        <v>0.32874088176352501</v>
      </c>
      <c r="T83">
        <f>[1]!XLSTAT_PDFWeibull(S83,10,1)</f>
        <v>4.4841180689315907E-4</v>
      </c>
      <c r="U83">
        <v>83</v>
      </c>
      <c r="W83">
        <f t="shared" si="12"/>
        <v>0.32874088176352501</v>
      </c>
      <c r="X83">
        <f>[1]!XLSTAT_PDFWeibull(W83,10,5)</f>
        <v>4.5918045914630429E-11</v>
      </c>
      <c r="Y83">
        <v>83</v>
      </c>
      <c r="AA83">
        <f t="shared" si="13"/>
        <v>0.32874088176352501</v>
      </c>
      <c r="AB83">
        <f>[1]!XLSTAT_PDFWeibull(AA83,10,5)</f>
        <v>4.5918045914630429E-11</v>
      </c>
    </row>
    <row r="84" spans="1:28" x14ac:dyDescent="0.3">
      <c r="A84">
        <v>84</v>
      </c>
      <c r="C84">
        <f t="shared" si="7"/>
        <v>-2.6693386773547103</v>
      </c>
      <c r="D84">
        <f>[1]!XLSTAT_PDFNormal(C84,0,1)</f>
        <v>1.1315033712878494E-2</v>
      </c>
      <c r="E84">
        <v>84</v>
      </c>
      <c r="G84">
        <f t="shared" si="8"/>
        <v>0.33274869739478752</v>
      </c>
      <c r="H84">
        <f>[1]!XLSTAT_PDFWeibull(G84,1)</f>
        <v>0.71695034300781879</v>
      </c>
      <c r="I84">
        <v>84</v>
      </c>
      <c r="K84">
        <f t="shared" si="9"/>
        <v>0.33274869739478752</v>
      </c>
      <c r="L84">
        <f>[1]!XLSTAT_PDFWeibull(K84,1,1)</f>
        <v>0.71695034300781879</v>
      </c>
      <c r="M84">
        <v>84</v>
      </c>
      <c r="O84">
        <f t="shared" si="10"/>
        <v>0.33274869739478752</v>
      </c>
      <c r="P84">
        <f>[1]!XLSTAT_PDFWeibull(O84,5,1)</f>
        <v>6.1046934223286553E-2</v>
      </c>
      <c r="Q84">
        <v>84</v>
      </c>
      <c r="S84">
        <f t="shared" si="11"/>
        <v>0.33274869739478752</v>
      </c>
      <c r="T84">
        <f>[1]!XLSTAT_PDFWeibull(S84,10,1)</f>
        <v>5.0008064885995955E-4</v>
      </c>
      <c r="U84">
        <v>84</v>
      </c>
      <c r="W84">
        <f t="shared" si="12"/>
        <v>0.33274869739478752</v>
      </c>
      <c r="X84">
        <f>[1]!XLSTAT_PDFWeibull(W84,10,5)</f>
        <v>5.1209110575928379E-11</v>
      </c>
      <c r="Y84">
        <v>84</v>
      </c>
      <c r="AA84">
        <f t="shared" si="13"/>
        <v>0.33274869739478752</v>
      </c>
      <c r="AB84">
        <f>[1]!XLSTAT_PDFWeibull(AA84,10,5)</f>
        <v>5.1209110575928379E-11</v>
      </c>
    </row>
    <row r="85" spans="1:28" x14ac:dyDescent="0.3">
      <c r="A85">
        <v>85</v>
      </c>
      <c r="C85">
        <f t="shared" si="7"/>
        <v>-2.6533066132264538</v>
      </c>
      <c r="D85">
        <f>[1]!XLSTAT_PDFNormal(C85,0,1)</f>
        <v>1.1808253709693803E-2</v>
      </c>
      <c r="E85">
        <v>85</v>
      </c>
      <c r="G85">
        <f t="shared" si="8"/>
        <v>0.33675651302605003</v>
      </c>
      <c r="H85">
        <f>[1]!XLSTAT_PDFWeibull(G85,1)</f>
        <v>0.7140826885699082</v>
      </c>
      <c r="I85">
        <v>85</v>
      </c>
      <c r="K85">
        <f t="shared" si="9"/>
        <v>0.33675651302605003</v>
      </c>
      <c r="L85">
        <f>[1]!XLSTAT_PDFWeibull(K85,1,1)</f>
        <v>0.7140826885699082</v>
      </c>
      <c r="M85">
        <v>85</v>
      </c>
      <c r="O85">
        <f t="shared" si="10"/>
        <v>0.33675651302605003</v>
      </c>
      <c r="P85">
        <f>[1]!XLSTAT_PDFWeibull(O85,5,1)</f>
        <v>6.4025521714298192E-2</v>
      </c>
      <c r="Q85">
        <v>85</v>
      </c>
      <c r="S85">
        <f t="shared" si="11"/>
        <v>0.33675651302605003</v>
      </c>
      <c r="T85">
        <f>[1]!XLSTAT_PDFWeibull(S85,10,1)</f>
        <v>5.5697524010587477E-4</v>
      </c>
      <c r="U85">
        <v>85</v>
      </c>
      <c r="W85">
        <f t="shared" si="12"/>
        <v>0.33675651302605003</v>
      </c>
      <c r="X85">
        <f>[1]!XLSTAT_PDFWeibull(W85,10,5)</f>
        <v>5.703533438024069E-11</v>
      </c>
      <c r="Y85">
        <v>85</v>
      </c>
      <c r="AA85">
        <f t="shared" si="13"/>
        <v>0.33675651302605003</v>
      </c>
      <c r="AB85">
        <f>[1]!XLSTAT_PDFWeibull(AA85,10,5)</f>
        <v>5.703533438024069E-11</v>
      </c>
    </row>
    <row r="86" spans="1:28" x14ac:dyDescent="0.3">
      <c r="A86">
        <v>86</v>
      </c>
      <c r="C86">
        <f t="shared" si="7"/>
        <v>-2.6372745490981977</v>
      </c>
      <c r="D86">
        <f>[1]!XLSTAT_PDFNormal(C86,0,1)</f>
        <v>1.2319806134147508E-2</v>
      </c>
      <c r="E86">
        <v>86</v>
      </c>
      <c r="G86">
        <f t="shared" si="8"/>
        <v>0.34076432865731249</v>
      </c>
      <c r="H86">
        <f>[1]!XLSTAT_PDFWeibull(G86,1)</f>
        <v>0.71122650416204292</v>
      </c>
      <c r="I86">
        <v>86</v>
      </c>
      <c r="K86">
        <f t="shared" si="9"/>
        <v>0.34076432865731249</v>
      </c>
      <c r="L86">
        <f>[1]!XLSTAT_PDFWeibull(K86,1,1)</f>
        <v>0.71122650416204292</v>
      </c>
      <c r="M86">
        <v>86</v>
      </c>
      <c r="O86">
        <f t="shared" si="10"/>
        <v>0.34076432865731249</v>
      </c>
      <c r="P86">
        <f>[1]!XLSTAT_PDFWeibull(O86,5,1)</f>
        <v>6.7110580434827427E-2</v>
      </c>
      <c r="Q86">
        <v>86</v>
      </c>
      <c r="S86">
        <f t="shared" si="11"/>
        <v>0.34076432865731249</v>
      </c>
      <c r="T86">
        <f>[1]!XLSTAT_PDFWeibull(S86,10,1)</f>
        <v>6.195522922625644E-4</v>
      </c>
      <c r="U86">
        <v>86</v>
      </c>
      <c r="W86">
        <f t="shared" si="12"/>
        <v>0.34076432865731249</v>
      </c>
      <c r="X86">
        <f>[1]!XLSTAT_PDFWeibull(W86,10,5)</f>
        <v>6.3443494169118295E-11</v>
      </c>
      <c r="Y86">
        <v>86</v>
      </c>
      <c r="AA86">
        <f t="shared" si="13"/>
        <v>0.34076432865731249</v>
      </c>
      <c r="AB86">
        <f>[1]!XLSTAT_PDFWeibull(AA86,10,5)</f>
        <v>6.3443494169118295E-11</v>
      </c>
    </row>
    <row r="87" spans="1:28" x14ac:dyDescent="0.3">
      <c r="A87">
        <v>87</v>
      </c>
      <c r="C87">
        <f t="shared" si="7"/>
        <v>-2.6212424849699412</v>
      </c>
      <c r="D87">
        <f>[1]!XLSTAT_PDFNormal(C87,0,1)</f>
        <v>1.285021654913206E-2</v>
      </c>
      <c r="E87">
        <v>87</v>
      </c>
      <c r="G87">
        <f t="shared" si="8"/>
        <v>0.344772144288575</v>
      </c>
      <c r="H87">
        <f>[1]!XLSTAT_PDFWeibull(G87,1)</f>
        <v>0.70838174390645336</v>
      </c>
      <c r="I87">
        <v>87</v>
      </c>
      <c r="K87">
        <f t="shared" si="9"/>
        <v>0.344772144288575</v>
      </c>
      <c r="L87">
        <f>[1]!XLSTAT_PDFWeibull(K87,1,1)</f>
        <v>0.70838174390645336</v>
      </c>
      <c r="M87">
        <v>87</v>
      </c>
      <c r="O87">
        <f t="shared" si="10"/>
        <v>0.344772144288575</v>
      </c>
      <c r="P87">
        <f>[1]!XLSTAT_PDFWeibull(O87,5,1)</f>
        <v>7.0304484404443257E-2</v>
      </c>
      <c r="Q87">
        <v>87</v>
      </c>
      <c r="S87">
        <f t="shared" si="11"/>
        <v>0.344772144288575</v>
      </c>
      <c r="T87">
        <f>[1]!XLSTAT_PDFWeibull(S87,10,1)</f>
        <v>6.8830230367787778E-4</v>
      </c>
      <c r="U87">
        <v>87</v>
      </c>
      <c r="W87">
        <f t="shared" si="12"/>
        <v>0.344772144288575</v>
      </c>
      <c r="X87">
        <f>[1]!XLSTAT_PDFWeibull(W87,10,5)</f>
        <v>7.0483828550131134E-11</v>
      </c>
      <c r="Y87">
        <v>87</v>
      </c>
      <c r="AA87">
        <f t="shared" si="13"/>
        <v>0.344772144288575</v>
      </c>
      <c r="AB87">
        <f>[1]!XLSTAT_PDFWeibull(AA87,10,5)</f>
        <v>7.0483828550131134E-11</v>
      </c>
    </row>
    <row r="88" spans="1:28" x14ac:dyDescent="0.3">
      <c r="A88">
        <v>88</v>
      </c>
      <c r="C88">
        <f t="shared" si="7"/>
        <v>-2.6052104208416846</v>
      </c>
      <c r="D88">
        <f>[1]!XLSTAT_PDFNormal(C88,0,1)</f>
        <v>1.3400018363232482E-2</v>
      </c>
      <c r="E88">
        <v>88</v>
      </c>
      <c r="G88">
        <f t="shared" si="8"/>
        <v>0.34877995991983751</v>
      </c>
      <c r="H88">
        <f>[1]!XLSTAT_PDFWeibull(G88,1)</f>
        <v>0.70554836210887184</v>
      </c>
      <c r="I88">
        <v>88</v>
      </c>
      <c r="K88">
        <f t="shared" si="9"/>
        <v>0.34877995991983751</v>
      </c>
      <c r="L88">
        <f>[1]!XLSTAT_PDFWeibull(K88,1,1)</f>
        <v>0.70554836210887184</v>
      </c>
      <c r="M88">
        <v>88</v>
      </c>
      <c r="O88">
        <f t="shared" si="10"/>
        <v>0.34877995991983751</v>
      </c>
      <c r="P88">
        <f>[1]!XLSTAT_PDFWeibull(O88,5,1)</f>
        <v>7.3609620996383365E-2</v>
      </c>
      <c r="Q88">
        <v>88</v>
      </c>
      <c r="S88">
        <f t="shared" si="11"/>
        <v>0.34877995991983751</v>
      </c>
      <c r="T88">
        <f>[1]!XLSTAT_PDFWeibull(S88,10,1)</f>
        <v>7.6375161535727958E-4</v>
      </c>
      <c r="U88">
        <v>88</v>
      </c>
      <c r="W88">
        <f t="shared" si="12"/>
        <v>0.34877995991983751</v>
      </c>
      <c r="X88">
        <f>[1]!XLSTAT_PDFWeibull(W88,10,5)</f>
        <v>7.8210248814566995E-11</v>
      </c>
      <c r="Y88">
        <v>88</v>
      </c>
      <c r="AA88">
        <f t="shared" si="13"/>
        <v>0.34877995991983751</v>
      </c>
      <c r="AB88">
        <f>[1]!XLSTAT_PDFWeibull(AA88,10,5)</f>
        <v>7.8210248814566995E-11</v>
      </c>
    </row>
    <row r="89" spans="1:28" x14ac:dyDescent="0.3">
      <c r="A89">
        <v>89</v>
      </c>
      <c r="C89">
        <f t="shared" si="7"/>
        <v>-2.5891783567134281</v>
      </c>
      <c r="D89">
        <f>[1]!XLSTAT_PDFNormal(C89,0,1)</f>
        <v>1.3969752608465948E-2</v>
      </c>
      <c r="E89">
        <v>89</v>
      </c>
      <c r="G89">
        <f t="shared" si="8"/>
        <v>0.35278777555110002</v>
      </c>
      <c r="H89">
        <f>[1]!XLSTAT_PDFWeibull(G89,1)</f>
        <v>0.70272631325779822</v>
      </c>
      <c r="I89">
        <v>89</v>
      </c>
      <c r="K89">
        <f t="shared" si="9"/>
        <v>0.35278777555110002</v>
      </c>
      <c r="L89">
        <f>[1]!XLSTAT_PDFWeibull(K89,1,1)</f>
        <v>0.70272631325779822</v>
      </c>
      <c r="M89">
        <v>89</v>
      </c>
      <c r="O89">
        <f t="shared" si="10"/>
        <v>0.35278777555110002</v>
      </c>
      <c r="P89">
        <f>[1]!XLSTAT_PDFWeibull(O89,5,1)</f>
        <v>7.7028389898356475E-2</v>
      </c>
      <c r="Q89">
        <v>89</v>
      </c>
      <c r="S89">
        <f t="shared" si="11"/>
        <v>0.35278777555110002</v>
      </c>
      <c r="T89">
        <f>[1]!XLSTAT_PDFWeibull(S89,10,1)</f>
        <v>8.4646456542517088E-4</v>
      </c>
      <c r="U89">
        <v>89</v>
      </c>
      <c r="W89">
        <f t="shared" si="12"/>
        <v>0.35278777555110002</v>
      </c>
      <c r="X89">
        <f>[1]!XLSTAT_PDFWeibull(W89,10,5)</f>
        <v>8.6680560013185716E-11</v>
      </c>
      <c r="Y89">
        <v>89</v>
      </c>
      <c r="AA89">
        <f t="shared" si="13"/>
        <v>0.35278777555110002</v>
      </c>
      <c r="AB89">
        <f>[1]!XLSTAT_PDFWeibull(AA89,10,5)</f>
        <v>8.6680560013185716E-11</v>
      </c>
    </row>
    <row r="90" spans="1:28" x14ac:dyDescent="0.3">
      <c r="A90">
        <v>90</v>
      </c>
      <c r="C90">
        <f t="shared" si="7"/>
        <v>-2.5731462925851716</v>
      </c>
      <c r="D90">
        <f>[1]!XLSTAT_PDFNormal(C90,0,1)</f>
        <v>1.4559967698479528E-2</v>
      </c>
      <c r="E90">
        <v>90</v>
      </c>
      <c r="G90">
        <f t="shared" si="8"/>
        <v>0.35679559118236254</v>
      </c>
      <c r="H90">
        <f>[1]!XLSTAT_PDFWeibull(G90,1)</f>
        <v>0.69991555202376909</v>
      </c>
      <c r="I90">
        <v>90</v>
      </c>
      <c r="K90">
        <f t="shared" si="9"/>
        <v>0.35679559118236254</v>
      </c>
      <c r="L90">
        <f>[1]!XLSTAT_PDFWeibull(K90,1,1)</f>
        <v>0.69991555202376909</v>
      </c>
      <c r="M90">
        <v>90</v>
      </c>
      <c r="O90">
        <f t="shared" si="10"/>
        <v>0.35679559118236254</v>
      </c>
      <c r="P90">
        <f>[1]!XLSTAT_PDFWeibull(O90,5,1)</f>
        <v>8.0563202026390598E-2</v>
      </c>
      <c r="Q90">
        <v>90</v>
      </c>
      <c r="S90">
        <f t="shared" si="11"/>
        <v>0.35679559118236254</v>
      </c>
      <c r="T90">
        <f>[1]!XLSTAT_PDFWeibull(S90,10,1)</f>
        <v>9.3704574553560792E-4</v>
      </c>
      <c r="U90">
        <v>90</v>
      </c>
      <c r="W90">
        <f t="shared" si="12"/>
        <v>0.35679559118236254</v>
      </c>
      <c r="X90">
        <f>[1]!XLSTAT_PDFWeibull(W90,10,5)</f>
        <v>9.5956692552626741E-11</v>
      </c>
      <c r="Y90">
        <v>90</v>
      </c>
      <c r="AA90">
        <f t="shared" si="13"/>
        <v>0.35679559118236254</v>
      </c>
      <c r="AB90">
        <f>[1]!XLSTAT_PDFWeibull(AA90,10,5)</f>
        <v>9.5956692552626741E-11</v>
      </c>
    </row>
    <row r="91" spans="1:28" x14ac:dyDescent="0.3">
      <c r="A91">
        <v>91</v>
      </c>
      <c r="C91">
        <f t="shared" si="7"/>
        <v>-2.5571142284569151</v>
      </c>
      <c r="D91">
        <f>[1]!XLSTAT_PDFNormal(C91,0,1)</f>
        <v>1.5171219166750925E-2</v>
      </c>
      <c r="E91">
        <v>91</v>
      </c>
      <c r="G91">
        <f t="shared" si="8"/>
        <v>0.36080340681362499</v>
      </c>
      <c r="H91">
        <f>[1]!XLSTAT_PDFWeibull(G91,1)</f>
        <v>0.69711603325862959</v>
      </c>
      <c r="I91">
        <v>91</v>
      </c>
      <c r="K91">
        <f t="shared" si="9"/>
        <v>0.36080340681362499</v>
      </c>
      <c r="L91">
        <f>[1]!XLSTAT_PDFWeibull(K91,1,1)</f>
        <v>0.69711603325862959</v>
      </c>
      <c r="M91">
        <v>91</v>
      </c>
      <c r="O91">
        <f t="shared" si="10"/>
        <v>0.36080340681362499</v>
      </c>
      <c r="P91">
        <f>[1]!XLSTAT_PDFWeibull(O91,5,1)</f>
        <v>8.4216478390335775E-2</v>
      </c>
      <c r="Q91">
        <v>91</v>
      </c>
      <c r="S91">
        <f t="shared" si="11"/>
        <v>0.36080340681362499</v>
      </c>
      <c r="T91">
        <f>[1]!XLSTAT_PDFWeibull(S91,10,1)</f>
        <v>1.0361423627284958E-3</v>
      </c>
      <c r="U91">
        <v>91</v>
      </c>
      <c r="W91">
        <f t="shared" si="12"/>
        <v>0.36080340681362499</v>
      </c>
      <c r="X91">
        <f>[1]!XLSTAT_PDFWeibull(W91,10,5)</f>
        <v>1.0610494468359278E-10</v>
      </c>
      <c r="Y91">
        <v>91</v>
      </c>
      <c r="AA91">
        <f t="shared" si="13"/>
        <v>0.36080340681362499</v>
      </c>
      <c r="AB91">
        <f>[1]!XLSTAT_PDFWeibull(AA91,10,5)</f>
        <v>1.0610494468359278E-10</v>
      </c>
    </row>
    <row r="92" spans="1:28" x14ac:dyDescent="0.3">
      <c r="A92">
        <v>92</v>
      </c>
      <c r="C92">
        <f t="shared" si="7"/>
        <v>-2.5410821643286585</v>
      </c>
      <c r="D92">
        <f>[1]!XLSTAT_PDFNormal(C92,0,1)</f>
        <v>1.5804069384354111E-2</v>
      </c>
      <c r="E92">
        <v>92</v>
      </c>
      <c r="G92">
        <f t="shared" si="8"/>
        <v>0.36481122244488751</v>
      </c>
      <c r="H92">
        <f>[1]!XLSTAT_PDFWeibull(G92,1)</f>
        <v>0.69432771199480825</v>
      </c>
      <c r="I92">
        <v>92</v>
      </c>
      <c r="K92">
        <f t="shared" si="9"/>
        <v>0.36481122244488751</v>
      </c>
      <c r="L92">
        <f>[1]!XLSTAT_PDFWeibull(K92,1,1)</f>
        <v>0.69432771199480825</v>
      </c>
      <c r="M92">
        <v>92</v>
      </c>
      <c r="O92">
        <f t="shared" si="10"/>
        <v>0.36481122244488751</v>
      </c>
      <c r="P92">
        <f>[1]!XLSTAT_PDFWeibull(O92,5,1)</f>
        <v>8.7990648909628572E-2</v>
      </c>
      <c r="Q92">
        <v>92</v>
      </c>
      <c r="S92">
        <f t="shared" si="11"/>
        <v>0.36481122244488751</v>
      </c>
      <c r="T92">
        <f>[1]!XLSTAT_PDFWeibull(S92,10,1)</f>
        <v>1.1444467102927011E-3</v>
      </c>
      <c r="U92">
        <v>92</v>
      </c>
      <c r="W92">
        <f t="shared" si="12"/>
        <v>0.36481122244488751</v>
      </c>
      <c r="X92">
        <f>[1]!XLSTAT_PDFWeibull(W92,10,5)</f>
        <v>1.1719623626056238E-10</v>
      </c>
      <c r="Y92">
        <v>92</v>
      </c>
      <c r="AA92">
        <f t="shared" si="13"/>
        <v>0.36481122244488751</v>
      </c>
      <c r="AB92">
        <f>[1]!XLSTAT_PDFWeibull(AA92,10,5)</f>
        <v>1.1719623626056238E-10</v>
      </c>
    </row>
    <row r="93" spans="1:28" x14ac:dyDescent="0.3">
      <c r="A93">
        <v>93</v>
      </c>
      <c r="C93">
        <f t="shared" si="7"/>
        <v>-2.525050100200402</v>
      </c>
      <c r="D93">
        <f>[1]!XLSTAT_PDFNormal(C93,0,1)</f>
        <v>1.6459087256870963E-2</v>
      </c>
      <c r="E93">
        <v>93</v>
      </c>
      <c r="G93">
        <f t="shared" si="8"/>
        <v>0.36881903807615002</v>
      </c>
      <c r="H93">
        <f>[1]!XLSTAT_PDFWeibull(G93,1)</f>
        <v>0.69155054344459455</v>
      </c>
      <c r="I93">
        <v>93</v>
      </c>
      <c r="K93">
        <f t="shared" si="9"/>
        <v>0.36881903807615002</v>
      </c>
      <c r="L93">
        <f>[1]!XLSTAT_PDFWeibull(K93,1,1)</f>
        <v>0.69155054344459455</v>
      </c>
      <c r="M93">
        <v>93</v>
      </c>
      <c r="O93">
        <f t="shared" si="10"/>
        <v>0.36881903807615002</v>
      </c>
      <c r="P93">
        <f>[1]!XLSTAT_PDFWeibull(O93,5,1)</f>
        <v>9.188815117791202E-2</v>
      </c>
      <c r="Q93">
        <v>93</v>
      </c>
      <c r="S93">
        <f t="shared" si="11"/>
        <v>0.36881903807615002</v>
      </c>
      <c r="T93">
        <f>[1]!XLSTAT_PDFWeibull(S93,10,1)</f>
        <v>1.2626987512612425E-3</v>
      </c>
      <c r="U93">
        <v>93</v>
      </c>
      <c r="W93">
        <f t="shared" si="12"/>
        <v>0.36881903807615002</v>
      </c>
      <c r="X93">
        <f>[1]!XLSTAT_PDFWeibull(W93,10,5)</f>
        <v>1.2930637416150593E-10</v>
      </c>
      <c r="Y93">
        <v>93</v>
      </c>
      <c r="AA93">
        <f t="shared" si="13"/>
        <v>0.36881903807615002</v>
      </c>
      <c r="AB93">
        <f>[1]!XLSTAT_PDFWeibull(AA93,10,5)</f>
        <v>1.2930637416150593E-10</v>
      </c>
    </row>
    <row r="94" spans="1:28" x14ac:dyDescent="0.3">
      <c r="A94">
        <v>94</v>
      </c>
      <c r="C94">
        <f t="shared" si="7"/>
        <v>-2.5090180360721455</v>
      </c>
      <c r="D94">
        <f>[1]!XLSTAT_PDFNormal(C94,0,1)</f>
        <v>1.7136847900050569E-2</v>
      </c>
      <c r="E94">
        <v>94</v>
      </c>
      <c r="G94">
        <f t="shared" si="8"/>
        <v>0.37282685370741253</v>
      </c>
      <c r="H94">
        <f>[1]!XLSTAT_PDFWeibull(G94,1)</f>
        <v>0.68878448299941986</v>
      </c>
      <c r="I94">
        <v>94</v>
      </c>
      <c r="K94">
        <f t="shared" si="9"/>
        <v>0.37282685370741253</v>
      </c>
      <c r="L94">
        <f>[1]!XLSTAT_PDFWeibull(K94,1,1)</f>
        <v>0.68878448299941986</v>
      </c>
      <c r="M94">
        <v>94</v>
      </c>
      <c r="O94">
        <f t="shared" si="10"/>
        <v>0.37282685370741253</v>
      </c>
      <c r="P94">
        <f>[1]!XLSTAT_PDFWeibull(O94,5,1)</f>
        <v>9.5911429175110655E-2</v>
      </c>
      <c r="Q94">
        <v>94</v>
      </c>
      <c r="S94">
        <f t="shared" si="11"/>
        <v>0.37282685370741253</v>
      </c>
      <c r="T94">
        <f>[1]!XLSTAT_PDFWeibull(S94,10,1)</f>
        <v>1.3916888182256616E-3</v>
      </c>
      <c r="U94">
        <v>94</v>
      </c>
      <c r="W94">
        <f t="shared" si="12"/>
        <v>0.37282685370741253</v>
      </c>
      <c r="X94">
        <f>[1]!XLSTAT_PDFWeibull(W94,10,5)</f>
        <v>1.4251632976491491E-10</v>
      </c>
      <c r="Y94">
        <v>94</v>
      </c>
      <c r="AA94">
        <f t="shared" si="13"/>
        <v>0.37282685370741253</v>
      </c>
      <c r="AB94">
        <f>[1]!XLSTAT_PDFWeibull(AA94,10,5)</f>
        <v>1.4251632976491491E-10</v>
      </c>
    </row>
    <row r="95" spans="1:28" x14ac:dyDescent="0.3">
      <c r="A95">
        <v>95</v>
      </c>
      <c r="C95">
        <f t="shared" si="7"/>
        <v>-2.4929859719438889</v>
      </c>
      <c r="D95">
        <f>[1]!XLSTAT_PDFNormal(C95,0,1)</f>
        <v>1.7837932293840033E-2</v>
      </c>
      <c r="E95">
        <v>95</v>
      </c>
      <c r="G95">
        <f t="shared" si="8"/>
        <v>0.37683466933867499</v>
      </c>
      <c r="H95">
        <f>[1]!XLSTAT_PDFWeibull(G95,1)</f>
        <v>0.68602948622914051</v>
      </c>
      <c r="I95">
        <v>95</v>
      </c>
      <c r="K95">
        <f t="shared" si="9"/>
        <v>0.37683466933867499</v>
      </c>
      <c r="L95">
        <f>[1]!XLSTAT_PDFWeibull(K95,1,1)</f>
        <v>0.68602948622914051</v>
      </c>
      <c r="M95">
        <v>95</v>
      </c>
      <c r="O95">
        <f t="shared" si="10"/>
        <v>0.37683466933867499</v>
      </c>
      <c r="P95">
        <f>[1]!XLSTAT_PDFWeibull(O95,5,1)</f>
        <v>0.1000629319255501</v>
      </c>
      <c r="Q95">
        <v>95</v>
      </c>
      <c r="S95">
        <f t="shared" si="11"/>
        <v>0.37683466933867499</v>
      </c>
      <c r="T95">
        <f>[1]!XLSTAT_PDFWeibull(S95,10,1)</f>
        <v>1.5322604332163741E-3</v>
      </c>
      <c r="U95">
        <v>95</v>
      </c>
      <c r="W95">
        <f t="shared" si="12"/>
        <v>0.37683466933867499</v>
      </c>
      <c r="X95">
        <f>[1]!XLSTAT_PDFWeibull(W95,10,5)</f>
        <v>1.5691252889036686E-10</v>
      </c>
      <c r="Y95">
        <v>95</v>
      </c>
      <c r="AA95">
        <f t="shared" si="13"/>
        <v>0.37683466933867499</v>
      </c>
      <c r="AB95">
        <f>[1]!XLSTAT_PDFWeibull(AA95,10,5)</f>
        <v>1.5691252889036686E-10</v>
      </c>
    </row>
    <row r="96" spans="1:28" x14ac:dyDescent="0.3">
      <c r="A96">
        <v>96</v>
      </c>
      <c r="C96">
        <f t="shared" si="7"/>
        <v>-2.4769539078156324</v>
      </c>
      <c r="D96">
        <f>[1]!XLSTAT_PDFNormal(C96,0,1)</f>
        <v>1.8562926914435115E-2</v>
      </c>
      <c r="E96">
        <v>96</v>
      </c>
      <c r="G96">
        <f t="shared" si="8"/>
        <v>0.3808424849699375</v>
      </c>
      <c r="H96">
        <f>[1]!XLSTAT_PDFWeibull(G96,1)</f>
        <v>0.68328550888132433</v>
      </c>
      <c r="I96">
        <v>96</v>
      </c>
      <c r="K96">
        <f t="shared" si="9"/>
        <v>0.3808424849699375</v>
      </c>
      <c r="L96">
        <f>[1]!XLSTAT_PDFWeibull(K96,1,1)</f>
        <v>0.68328550888132433</v>
      </c>
      <c r="M96">
        <v>96</v>
      </c>
      <c r="O96">
        <f t="shared" si="10"/>
        <v>0.3808424849699375</v>
      </c>
      <c r="P96">
        <f>[1]!XLSTAT_PDFWeibull(O96,5,1)</f>
        <v>0.10434511210071876</v>
      </c>
      <c r="Q96">
        <v>96</v>
      </c>
      <c r="S96">
        <f t="shared" si="11"/>
        <v>0.3808424849699375</v>
      </c>
      <c r="T96">
        <f>[1]!XLSTAT_PDFWeibull(S96,10,1)</f>
        <v>1.6853132514528797E-3</v>
      </c>
      <c r="U96">
        <v>96</v>
      </c>
      <c r="W96">
        <f t="shared" si="12"/>
        <v>0.3808424849699375</v>
      </c>
      <c r="X96">
        <f>[1]!XLSTAT_PDFWeibull(W96,10,5)</f>
        <v>1.7258715461788062E-10</v>
      </c>
      <c r="Y96">
        <v>96</v>
      </c>
      <c r="AA96">
        <f t="shared" si="13"/>
        <v>0.3808424849699375</v>
      </c>
      <c r="AB96">
        <f>[1]!XLSTAT_PDFWeibull(AA96,10,5)</f>
        <v>1.7258715461788062E-10</v>
      </c>
    </row>
    <row r="97" spans="1:28" x14ac:dyDescent="0.3">
      <c r="A97">
        <v>97</v>
      </c>
      <c r="C97">
        <f t="shared" si="7"/>
        <v>-2.4609218436873759</v>
      </c>
      <c r="D97">
        <f>[1]!XLSTAT_PDFNormal(C97,0,1)</f>
        <v>1.9312423344024325E-2</v>
      </c>
      <c r="E97">
        <v>97</v>
      </c>
      <c r="G97">
        <f t="shared" si="8"/>
        <v>0.38485030060120001</v>
      </c>
      <c r="H97">
        <f>[1]!XLSTAT_PDFWeibull(G97,1)</f>
        <v>0.68055250688053981</v>
      </c>
      <c r="I97">
        <v>97</v>
      </c>
      <c r="K97">
        <f t="shared" si="9"/>
        <v>0.38485030060120001</v>
      </c>
      <c r="L97">
        <f>[1]!XLSTAT_PDFWeibull(K97,1,1)</f>
        <v>0.68055250688053981</v>
      </c>
      <c r="M97">
        <v>97</v>
      </c>
      <c r="O97">
        <f t="shared" si="10"/>
        <v>0.38485030060120001</v>
      </c>
      <c r="P97">
        <f>[1]!XLSTAT_PDFWeibull(O97,5,1)</f>
        <v>0.10876042456526666</v>
      </c>
      <c r="Q97">
        <v>97</v>
      </c>
      <c r="S97">
        <f t="shared" si="11"/>
        <v>0.38485030060120001</v>
      </c>
      <c r="T97">
        <f>[1]!XLSTAT_PDFWeibull(S97,10,1)</f>
        <v>1.8518061328218702E-3</v>
      </c>
      <c r="U97">
        <v>97</v>
      </c>
      <c r="W97">
        <f t="shared" si="12"/>
        <v>0.38485030060120001</v>
      </c>
      <c r="X97">
        <f>[1]!XLSTAT_PDFWeibull(W97,10,5)</f>
        <v>1.8963846341043487E-10</v>
      </c>
      <c r="Y97">
        <v>97</v>
      </c>
      <c r="AA97">
        <f t="shared" si="13"/>
        <v>0.38485030060120001</v>
      </c>
      <c r="AB97">
        <f>[1]!XLSTAT_PDFWeibull(AA97,10,5)</f>
        <v>1.8963846341043487E-10</v>
      </c>
    </row>
    <row r="98" spans="1:28" x14ac:dyDescent="0.3">
      <c r="A98">
        <v>98</v>
      </c>
      <c r="C98">
        <f t="shared" si="7"/>
        <v>-2.4448897795591193</v>
      </c>
      <c r="D98">
        <f>[1]!XLSTAT_PDFNormal(C98,0,1)</f>
        <v>2.0087017857928116E-2</v>
      </c>
      <c r="E98">
        <v>98</v>
      </c>
      <c r="G98">
        <f t="shared" si="8"/>
        <v>0.38885811623246253</v>
      </c>
      <c r="H98">
        <f>[1]!XLSTAT_PDFWeibull(G98,1)</f>
        <v>0.67783043632764806</v>
      </c>
      <c r="I98">
        <v>98</v>
      </c>
      <c r="K98">
        <f t="shared" si="9"/>
        <v>0.38885811623246253</v>
      </c>
      <c r="L98">
        <f>[1]!XLSTAT_PDFWeibull(K98,1,1)</f>
        <v>0.67783043632764806</v>
      </c>
      <c r="M98">
        <v>98</v>
      </c>
      <c r="O98">
        <f t="shared" si="10"/>
        <v>0.38885811623246253</v>
      </c>
      <c r="P98">
        <f>[1]!XLSTAT_PDFWeibull(O98,5,1)</f>
        <v>0.11331132486484755</v>
      </c>
      <c r="Q98">
        <v>98</v>
      </c>
      <c r="S98">
        <f t="shared" si="11"/>
        <v>0.38885811623246253</v>
      </c>
      <c r="T98">
        <f>[1]!XLSTAT_PDFWeibull(S98,10,1)</f>
        <v>2.0327603449920642E-3</v>
      </c>
      <c r="U98">
        <v>98</v>
      </c>
      <c r="W98">
        <f t="shared" si="12"/>
        <v>0.38885811623246253</v>
      </c>
      <c r="X98">
        <f>[1]!XLSTAT_PDFWeibull(W98,10,5)</f>
        <v>2.0817111497324921E-10</v>
      </c>
      <c r="Y98">
        <v>98</v>
      </c>
      <c r="AA98">
        <f t="shared" si="13"/>
        <v>0.38885811623246253</v>
      </c>
      <c r="AB98">
        <f>[1]!XLSTAT_PDFWeibull(AA98,10,5)</f>
        <v>2.0817111497324921E-10</v>
      </c>
    </row>
    <row r="99" spans="1:28" x14ac:dyDescent="0.3">
      <c r="A99">
        <v>99</v>
      </c>
      <c r="C99">
        <f t="shared" si="7"/>
        <v>-2.4288577154308628</v>
      </c>
      <c r="D99">
        <f>[1]!XLSTAT_PDFNormal(C99,0,1)</f>
        <v>2.0887310988863771E-2</v>
      </c>
      <c r="E99">
        <v>99</v>
      </c>
      <c r="G99">
        <f t="shared" si="8"/>
        <v>0.39286593186372504</v>
      </c>
      <c r="H99">
        <f>[1]!XLSTAT_PDFWeibull(G99,1)</f>
        <v>0.67511925349909807</v>
      </c>
      <c r="I99">
        <v>99</v>
      </c>
      <c r="K99">
        <f t="shared" si="9"/>
        <v>0.39286593186372504</v>
      </c>
      <c r="L99">
        <f>[1]!XLSTAT_PDFWeibull(K99,1,1)</f>
        <v>0.67511925349909807</v>
      </c>
      <c r="M99">
        <v>99</v>
      </c>
      <c r="O99">
        <f t="shared" si="10"/>
        <v>0.39286593186372504</v>
      </c>
      <c r="P99">
        <f>[1]!XLSTAT_PDFWeibull(O99,5,1)</f>
        <v>0.11800026765441467</v>
      </c>
      <c r="Q99">
        <v>99</v>
      </c>
      <c r="S99">
        <f t="shared" si="11"/>
        <v>0.39286593186372504</v>
      </c>
      <c r="T99">
        <f>[1]!XLSTAT_PDFWeibull(S99,10,1)</f>
        <v>2.2292629021211951E-3</v>
      </c>
      <c r="U99">
        <v>99</v>
      </c>
      <c r="W99">
        <f t="shared" si="12"/>
        <v>0.39286593186372504</v>
      </c>
      <c r="X99">
        <f>[1]!XLSTAT_PDFWeibull(W99,10,5)</f>
        <v>2.2829651629275561E-10</v>
      </c>
      <c r="Y99">
        <v>99</v>
      </c>
      <c r="AA99">
        <f t="shared" si="13"/>
        <v>0.39286593186372504</v>
      </c>
      <c r="AB99">
        <f>[1]!XLSTAT_PDFWeibull(AA99,10,5)</f>
        <v>2.2829651629275561E-10</v>
      </c>
    </row>
    <row r="100" spans="1:28" x14ac:dyDescent="0.3">
      <c r="A100">
        <v>100</v>
      </c>
      <c r="C100">
        <f t="shared" si="7"/>
        <v>-2.4128256513026063</v>
      </c>
      <c r="D100">
        <f>[1]!XLSTAT_PDFNormal(C100,0,1)</f>
        <v>2.1713907068097948E-2</v>
      </c>
      <c r="E100">
        <v>100</v>
      </c>
      <c r="G100">
        <f t="shared" si="8"/>
        <v>0.39687374749498749</v>
      </c>
      <c r="H100">
        <f>[1]!XLSTAT_PDFWeibull(G100,1)</f>
        <v>0.67241891484622374</v>
      </c>
      <c r="I100">
        <v>100</v>
      </c>
      <c r="K100">
        <f t="shared" si="9"/>
        <v>0.39687374749498749</v>
      </c>
      <c r="L100">
        <f>[1]!XLSTAT_PDFWeibull(K100,1,1)</f>
        <v>0.67241891484622374</v>
      </c>
      <c r="M100">
        <v>100</v>
      </c>
      <c r="O100">
        <f t="shared" si="10"/>
        <v>0.39687374749498749</v>
      </c>
      <c r="P100">
        <f>[1]!XLSTAT_PDFWeibull(O100,5,1)</f>
        <v>0.122829705065596</v>
      </c>
      <c r="Q100">
        <v>100</v>
      </c>
      <c r="S100">
        <f t="shared" si="11"/>
        <v>0.39687374749498749</v>
      </c>
      <c r="T100">
        <f>[1]!XLSTAT_PDFWeibull(S100,10,1)</f>
        <v>2.442470043153093E-3</v>
      </c>
      <c r="U100">
        <v>100</v>
      </c>
      <c r="W100">
        <f t="shared" si="12"/>
        <v>0.39687374749498749</v>
      </c>
      <c r="X100">
        <f>[1]!XLSTAT_PDFWeibull(W100,10,5)</f>
        <v>2.5013318030756942E-10</v>
      </c>
      <c r="Y100">
        <v>100</v>
      </c>
      <c r="AA100">
        <f t="shared" si="13"/>
        <v>0.39687374749498749</v>
      </c>
      <c r="AB100">
        <f>[1]!XLSTAT_PDFWeibull(AA100,10,5)</f>
        <v>2.5013318030756942E-10</v>
      </c>
    </row>
    <row r="101" spans="1:28" x14ac:dyDescent="0.3">
      <c r="A101">
        <v>101</v>
      </c>
      <c r="C101">
        <f t="shared" si="7"/>
        <v>-2.3967935871743498</v>
      </c>
      <c r="D101">
        <f>[1]!XLSTAT_PDFNormal(C101,0,1)</f>
        <v>2.2567413743281254E-2</v>
      </c>
      <c r="E101">
        <v>101</v>
      </c>
      <c r="G101">
        <f t="shared" si="8"/>
        <v>0.40088156312625001</v>
      </c>
      <c r="H101">
        <f>[1]!XLSTAT_PDFWeibull(G101,1)</f>
        <v>0.66972937699454471</v>
      </c>
      <c r="I101">
        <v>101</v>
      </c>
      <c r="K101">
        <f t="shared" si="9"/>
        <v>0.40088156312625001</v>
      </c>
      <c r="L101">
        <f>[1]!XLSTAT_PDFWeibull(K101,1,1)</f>
        <v>0.66972937699454471</v>
      </c>
      <c r="M101">
        <v>101</v>
      </c>
      <c r="O101">
        <f t="shared" si="10"/>
        <v>0.40088156312625001</v>
      </c>
      <c r="P101">
        <f>[1]!XLSTAT_PDFWeibull(O101,5,1)</f>
        <v>0.12780208501178494</v>
      </c>
      <c r="Q101">
        <v>101</v>
      </c>
      <c r="S101">
        <f t="shared" si="11"/>
        <v>0.40088156312625001</v>
      </c>
      <c r="T101">
        <f>[1]!XLSTAT_PDFWeibull(S101,10,1)</f>
        <v>2.6736108537398187E-3</v>
      </c>
      <c r="U101">
        <v>101</v>
      </c>
      <c r="W101">
        <f t="shared" si="12"/>
        <v>0.40088156312625001</v>
      </c>
      <c r="X101">
        <f>[1]!XLSTAT_PDFWeibull(W101,10,5)</f>
        <v>2.738070996733572E-10</v>
      </c>
      <c r="Y101">
        <v>101</v>
      </c>
      <c r="AA101">
        <f t="shared" si="13"/>
        <v>0.40088156312625001</v>
      </c>
      <c r="AB101">
        <f>[1]!XLSTAT_PDFWeibull(AA101,10,5)</f>
        <v>2.738070996733572E-10</v>
      </c>
    </row>
    <row r="102" spans="1:28" x14ac:dyDescent="0.3">
      <c r="A102">
        <v>102</v>
      </c>
      <c r="C102">
        <f t="shared" si="7"/>
        <v>-2.3807615230460932</v>
      </c>
      <c r="D102">
        <f>[1]!XLSTAT_PDFNormal(C102,0,1)</f>
        <v>2.3448441472794432E-2</v>
      </c>
      <c r="E102">
        <v>102</v>
      </c>
      <c r="G102">
        <f t="shared" si="8"/>
        <v>0.40488937875751252</v>
      </c>
      <c r="H102">
        <f>[1]!XLSTAT_PDFWeibull(G102,1)</f>
        <v>0.66705059674306977</v>
      </c>
      <c r="I102">
        <v>102</v>
      </c>
      <c r="K102">
        <f t="shared" si="9"/>
        <v>0.40488937875751252</v>
      </c>
      <c r="L102">
        <f>[1]!XLSTAT_PDFWeibull(K102,1,1)</f>
        <v>0.66705059674306977</v>
      </c>
      <c r="M102">
        <v>102</v>
      </c>
      <c r="O102">
        <f t="shared" si="10"/>
        <v>0.40488937875751252</v>
      </c>
      <c r="P102">
        <f>[1]!XLSTAT_PDFWeibull(O102,5,1)</f>
        <v>0.13291984942960411</v>
      </c>
      <c r="Q102">
        <v>102</v>
      </c>
      <c r="S102">
        <f t="shared" si="11"/>
        <v>0.40488937875751252</v>
      </c>
      <c r="T102">
        <f>[1]!XLSTAT_PDFWeibull(S102,10,1)</f>
        <v>2.9239910358553759E-3</v>
      </c>
      <c r="U102">
        <v>102</v>
      </c>
      <c r="W102">
        <f t="shared" si="12"/>
        <v>0.40488937875751252</v>
      </c>
      <c r="X102">
        <f>[1]!XLSTAT_PDFWeibull(W102,10,5)</f>
        <v>2.9945213609305511E-10</v>
      </c>
      <c r="Y102">
        <v>102</v>
      </c>
      <c r="AA102">
        <f t="shared" si="13"/>
        <v>0.40488937875751252</v>
      </c>
      <c r="AB102">
        <f>[1]!XLSTAT_PDFWeibull(AA102,10,5)</f>
        <v>2.9945213609305511E-10</v>
      </c>
    </row>
    <row r="103" spans="1:28" x14ac:dyDescent="0.3">
      <c r="A103">
        <v>103</v>
      </c>
      <c r="C103">
        <f t="shared" si="7"/>
        <v>-2.3647294589178367</v>
      </c>
      <c r="D103">
        <f>[1]!XLSTAT_PDFNormal(C103,0,1)</f>
        <v>2.4357602996471189E-2</v>
      </c>
      <c r="E103">
        <v>103</v>
      </c>
      <c r="G103">
        <f t="shared" si="8"/>
        <v>0.40889719438877503</v>
      </c>
      <c r="H103">
        <f>[1]!XLSTAT_PDFWeibull(G103,1)</f>
        <v>0.6643825310636029</v>
      </c>
      <c r="I103">
        <v>103</v>
      </c>
      <c r="K103">
        <f t="shared" si="9"/>
        <v>0.40889719438877503</v>
      </c>
      <c r="L103">
        <f>[1]!XLSTAT_PDFWeibull(K103,1,1)</f>
        <v>0.6643825310636029</v>
      </c>
      <c r="M103">
        <v>103</v>
      </c>
      <c r="O103">
        <f t="shared" si="10"/>
        <v>0.40889719438877503</v>
      </c>
      <c r="P103">
        <f>[1]!XLSTAT_PDFWeibull(O103,5,1)</f>
        <v>0.13818543245541956</v>
      </c>
      <c r="Q103">
        <v>103</v>
      </c>
      <c r="S103">
        <f t="shared" si="11"/>
        <v>0.40889719438877503</v>
      </c>
      <c r="T103">
        <f>[1]!XLSTAT_PDFWeibull(S103,10,1)</f>
        <v>3.1949968291926012E-3</v>
      </c>
      <c r="U103">
        <v>103</v>
      </c>
      <c r="W103">
        <f t="shared" si="12"/>
        <v>0.40889719438877503</v>
      </c>
      <c r="X103">
        <f>[1]!XLSTAT_PDFWeibull(W103,10,5)</f>
        <v>3.2721042569363559E-10</v>
      </c>
      <c r="Y103">
        <v>103</v>
      </c>
      <c r="AA103">
        <f t="shared" si="13"/>
        <v>0.40889719438877503</v>
      </c>
      <c r="AB103">
        <f>[1]!XLSTAT_PDFWeibull(AA103,10,5)</f>
        <v>3.2721042569363559E-10</v>
      </c>
    </row>
    <row r="104" spans="1:28" x14ac:dyDescent="0.3">
      <c r="A104">
        <v>104</v>
      </c>
      <c r="C104">
        <f t="shared" si="7"/>
        <v>-2.3486973947895802</v>
      </c>
      <c r="D104">
        <f>[1]!XLSTAT_PDFNormal(C104,0,1)</f>
        <v>2.5295512782601549E-2</v>
      </c>
      <c r="E104">
        <v>104</v>
      </c>
      <c r="G104">
        <f t="shared" si="8"/>
        <v>0.41290501002003749</v>
      </c>
      <c r="H104">
        <f>[1]!XLSTAT_PDFWeibull(G104,1)</f>
        <v>0.66172513710005187</v>
      </c>
      <c r="I104">
        <v>104</v>
      </c>
      <c r="K104">
        <f t="shared" si="9"/>
        <v>0.41290501002003749</v>
      </c>
      <c r="L104">
        <f>[1]!XLSTAT_PDFWeibull(K104,1,1)</f>
        <v>0.66172513710005187</v>
      </c>
      <c r="M104">
        <v>104</v>
      </c>
      <c r="O104">
        <f t="shared" si="10"/>
        <v>0.41290501002003749</v>
      </c>
      <c r="P104">
        <f>[1]!XLSTAT_PDFWeibull(O104,5,1)</f>
        <v>0.1436012585356046</v>
      </c>
      <c r="Q104">
        <v>104</v>
      </c>
      <c r="S104">
        <f t="shared" si="11"/>
        <v>0.41290501002003749</v>
      </c>
      <c r="T104">
        <f>[1]!XLSTAT_PDFWeibull(S104,10,1)</f>
        <v>3.4880990884523701E-3</v>
      </c>
      <c r="U104">
        <v>104</v>
      </c>
      <c r="W104">
        <f t="shared" si="12"/>
        <v>0.41290501002003749</v>
      </c>
      <c r="X104">
        <f>[1]!XLSTAT_PDFWeibull(W104,10,5)</f>
        <v>3.5723280094043041E-10</v>
      </c>
      <c r="Y104">
        <v>104</v>
      </c>
      <c r="AA104">
        <f t="shared" si="13"/>
        <v>0.41290501002003749</v>
      </c>
      <c r="AB104">
        <f>[1]!XLSTAT_PDFWeibull(AA104,10,5)</f>
        <v>3.5723280094043041E-10</v>
      </c>
    </row>
    <row r="105" spans="1:28" x14ac:dyDescent="0.3">
      <c r="A105">
        <v>105</v>
      </c>
      <c r="C105">
        <f t="shared" si="7"/>
        <v>-2.3326653306613236</v>
      </c>
      <c r="D105">
        <f>[1]!XLSTAT_PDFNormal(C105,0,1)</f>
        <v>2.6262786451158805E-2</v>
      </c>
      <c r="E105">
        <v>105</v>
      </c>
      <c r="G105">
        <f t="shared" si="8"/>
        <v>0.4169128256513</v>
      </c>
      <c r="H105">
        <f>[1]!XLSTAT_PDFWeibull(G105,1)</f>
        <v>0.65907837216774023</v>
      </c>
      <c r="I105">
        <v>105</v>
      </c>
      <c r="K105">
        <f t="shared" si="9"/>
        <v>0.4169128256513</v>
      </c>
      <c r="L105">
        <f>[1]!XLSTAT_PDFWeibull(K105,1,1)</f>
        <v>0.65907837216774023</v>
      </c>
      <c r="M105">
        <v>105</v>
      </c>
      <c r="O105">
        <f t="shared" si="10"/>
        <v>0.4169128256513</v>
      </c>
      <c r="P105">
        <f>[1]!XLSTAT_PDFWeibull(O105,5,1)</f>
        <v>0.14916974046928663</v>
      </c>
      <c r="Q105">
        <v>105</v>
      </c>
      <c r="S105">
        <f t="shared" si="11"/>
        <v>0.4169128256513</v>
      </c>
      <c r="T105">
        <f>[1]!XLSTAT_PDFWeibull(S105,10,1)</f>
        <v>3.8048575206441077E-3</v>
      </c>
      <c r="U105">
        <v>105</v>
      </c>
      <c r="W105">
        <f t="shared" si="12"/>
        <v>0.4169128256513</v>
      </c>
      <c r="X105">
        <f>[1]!XLSTAT_PDFWeibull(W105,10,5)</f>
        <v>3.8967922958995957E-10</v>
      </c>
      <c r="Y105">
        <v>105</v>
      </c>
      <c r="AA105">
        <f t="shared" si="13"/>
        <v>0.4169128256513</v>
      </c>
      <c r="AB105">
        <f>[1]!XLSTAT_PDFWeibull(AA105,10,5)</f>
        <v>3.8967922958995957E-10</v>
      </c>
    </row>
    <row r="106" spans="1:28" x14ac:dyDescent="0.3">
      <c r="A106">
        <v>106</v>
      </c>
      <c r="C106">
        <f t="shared" si="7"/>
        <v>-2.3166332665330671</v>
      </c>
      <c r="D106">
        <f>[1]!XLSTAT_PDFNormal(C106,0,1)</f>
        <v>2.7260040173234541E-2</v>
      </c>
      <c r="E106">
        <v>106</v>
      </c>
      <c r="G106">
        <f t="shared" si="8"/>
        <v>0.42092064128256251</v>
      </c>
      <c r="H106">
        <f>[1]!XLSTAT_PDFWeibull(G106,1)</f>
        <v>0.65644219375272117</v>
      </c>
      <c r="I106">
        <v>106</v>
      </c>
      <c r="K106">
        <f t="shared" si="9"/>
        <v>0.42092064128256251</v>
      </c>
      <c r="L106">
        <f>[1]!XLSTAT_PDFWeibull(K106,1,1)</f>
        <v>0.65644219375272117</v>
      </c>
      <c r="M106">
        <v>106</v>
      </c>
      <c r="O106">
        <f t="shared" si="10"/>
        <v>0.42092064128256251</v>
      </c>
      <c r="P106">
        <f>[1]!XLSTAT_PDFWeibull(O106,5,1)</f>
        <v>0.15489327738233383</v>
      </c>
      <c r="Q106">
        <v>106</v>
      </c>
      <c r="S106">
        <f t="shared" si="11"/>
        <v>0.42092064128256251</v>
      </c>
      <c r="T106">
        <f>[1]!XLSTAT_PDFWeibull(S106,10,1)</f>
        <v>4.1469250865169179E-3</v>
      </c>
      <c r="U106">
        <v>106</v>
      </c>
      <c r="W106">
        <f t="shared" si="12"/>
        <v>0.42092064128256251</v>
      </c>
      <c r="X106">
        <f>[1]!XLSTAT_PDFWeibull(W106,10,5)</f>
        <v>4.2471927119218751E-10</v>
      </c>
      <c r="Y106">
        <v>106</v>
      </c>
      <c r="AA106">
        <f t="shared" si="13"/>
        <v>0.42092064128256251</v>
      </c>
      <c r="AB106">
        <f>[1]!XLSTAT_PDFWeibull(AA106,10,5)</f>
        <v>4.2471927119218751E-10</v>
      </c>
    </row>
    <row r="107" spans="1:28" x14ac:dyDescent="0.3">
      <c r="A107">
        <v>107</v>
      </c>
      <c r="C107">
        <f t="shared" si="7"/>
        <v>-2.3006012024048106</v>
      </c>
      <c r="D107">
        <f>[1]!XLSTAT_PDFNormal(C107,0,1)</f>
        <v>2.8287890046709604E-2</v>
      </c>
      <c r="E107">
        <v>107</v>
      </c>
      <c r="G107">
        <f t="shared" si="8"/>
        <v>0.42492845691382503</v>
      </c>
      <c r="H107">
        <f>[1]!XLSTAT_PDFWeibull(G107,1)</f>
        <v>0.6538165595110953</v>
      </c>
      <c r="I107">
        <v>107</v>
      </c>
      <c r="K107">
        <f t="shared" si="9"/>
        <v>0.42492845691382503</v>
      </c>
      <c r="L107">
        <f>[1]!XLSTAT_PDFWeibull(K107,1,1)</f>
        <v>0.6538165595110953</v>
      </c>
      <c r="M107">
        <v>107</v>
      </c>
      <c r="O107">
        <f t="shared" si="10"/>
        <v>0.42492845691382503</v>
      </c>
      <c r="P107">
        <f>[1]!XLSTAT_PDFWeibull(O107,5,1)</f>
        <v>0.16077425263138501</v>
      </c>
      <c r="Q107">
        <v>107</v>
      </c>
      <c r="S107">
        <f t="shared" si="11"/>
        <v>0.42492845691382503</v>
      </c>
      <c r="T107">
        <f>[1]!XLSTAT_PDFWeibull(S107,10,1)</f>
        <v>4.5160525702312663E-3</v>
      </c>
      <c r="U107">
        <v>107</v>
      </c>
      <c r="W107">
        <f t="shared" si="12"/>
        <v>0.42492845691382503</v>
      </c>
      <c r="X107">
        <f>[1]!XLSTAT_PDFWeibull(W107,10,5)</f>
        <v>4.625325516632639E-10</v>
      </c>
      <c r="Y107">
        <v>107</v>
      </c>
      <c r="AA107">
        <f t="shared" si="13"/>
        <v>0.42492845691382503</v>
      </c>
      <c r="AB107">
        <f>[1]!XLSTAT_PDFWeibull(AA107,10,5)</f>
        <v>4.625325516632639E-10</v>
      </c>
    </row>
    <row r="108" spans="1:28" x14ac:dyDescent="0.3">
      <c r="A108">
        <v>108</v>
      </c>
      <c r="C108">
        <f t="shared" si="7"/>
        <v>-2.2845691382765541</v>
      </c>
      <c r="D108">
        <f>[1]!XLSTAT_PDFNormal(C108,0,1)</f>
        <v>2.9346951448233082E-2</v>
      </c>
      <c r="E108">
        <v>108</v>
      </c>
      <c r="G108">
        <f t="shared" si="8"/>
        <v>0.42893627254508754</v>
      </c>
      <c r="H108">
        <f>[1]!XLSTAT_PDFWeibull(G108,1)</f>
        <v>0.65120142726832986</v>
      </c>
      <c r="I108">
        <v>108</v>
      </c>
      <c r="K108">
        <f t="shared" si="9"/>
        <v>0.42893627254508754</v>
      </c>
      <c r="L108">
        <f>[1]!XLSTAT_PDFWeibull(K108,1,1)</f>
        <v>0.65120142726832986</v>
      </c>
      <c r="M108">
        <v>108</v>
      </c>
      <c r="O108">
        <f t="shared" si="10"/>
        <v>0.42893627254508754</v>
      </c>
      <c r="P108">
        <f>[1]!XLSTAT_PDFWeibull(O108,5,1)</f>
        <v>0.16681503163675604</v>
      </c>
      <c r="Q108">
        <v>108</v>
      </c>
      <c r="S108">
        <f t="shared" si="11"/>
        <v>0.42893627254508754</v>
      </c>
      <c r="T108">
        <f>[1]!XLSTAT_PDFWeibull(S108,10,1)</f>
        <v>4.914093321360103E-3</v>
      </c>
      <c r="U108">
        <v>108</v>
      </c>
      <c r="W108">
        <f t="shared" si="12"/>
        <v>0.42893627254508754</v>
      </c>
      <c r="X108">
        <f>[1]!XLSTAT_PDFWeibull(W108,10,5)</f>
        <v>5.0330925646003167E-10</v>
      </c>
      <c r="Y108">
        <v>108</v>
      </c>
      <c r="AA108">
        <f t="shared" si="13"/>
        <v>0.42893627254508754</v>
      </c>
      <c r="AB108">
        <f>[1]!XLSTAT_PDFWeibull(AA108,10,5)</f>
        <v>5.0330925646003167E-10</v>
      </c>
    </row>
    <row r="109" spans="1:28" x14ac:dyDescent="0.3">
      <c r="A109">
        <v>109</v>
      </c>
      <c r="C109">
        <f t="shared" si="7"/>
        <v>-2.268537074148298</v>
      </c>
      <c r="D109">
        <f>[1]!XLSTAT_PDFNormal(C109,0,1)</f>
        <v>3.0437838361627691E-2</v>
      </c>
      <c r="E109">
        <v>109</v>
      </c>
      <c r="G109">
        <f t="shared" si="8"/>
        <v>0.43294408817634999</v>
      </c>
      <c r="H109">
        <f>[1]!XLSTAT_PDFWeibull(G109,1)</f>
        <v>0.64859675501858194</v>
      </c>
      <c r="I109">
        <v>109</v>
      </c>
      <c r="K109">
        <f t="shared" si="9"/>
        <v>0.43294408817634999</v>
      </c>
      <c r="L109">
        <f>[1]!XLSTAT_PDFWeibull(K109,1,1)</f>
        <v>0.64859675501858194</v>
      </c>
      <c r="M109">
        <v>109</v>
      </c>
      <c r="O109">
        <f t="shared" si="10"/>
        <v>0.43294408817634999</v>
      </c>
      <c r="P109">
        <f>[1]!XLSTAT_PDFWeibull(O109,5,1)</f>
        <v>0.17301795964310832</v>
      </c>
      <c r="Q109">
        <v>109</v>
      </c>
      <c r="S109">
        <f t="shared" si="11"/>
        <v>0.43294408817634999</v>
      </c>
      <c r="T109">
        <f>[1]!XLSTAT_PDFWeibull(S109,10,1)</f>
        <v>5.3430081732751648E-3</v>
      </c>
      <c r="U109">
        <v>109</v>
      </c>
      <c r="W109">
        <f t="shared" si="12"/>
        <v>0.43294408817634999</v>
      </c>
      <c r="X109">
        <f>[1]!XLSTAT_PDFWeibull(W109,10,5)</f>
        <v>5.4725064289790062E-10</v>
      </c>
      <c r="Y109">
        <v>109</v>
      </c>
      <c r="AA109">
        <f t="shared" si="13"/>
        <v>0.43294408817634999</v>
      </c>
      <c r="AB109">
        <f>[1]!XLSTAT_PDFWeibull(AA109,10,5)</f>
        <v>5.4725064289790062E-10</v>
      </c>
    </row>
    <row r="110" spans="1:28" x14ac:dyDescent="0.3">
      <c r="A110">
        <v>110</v>
      </c>
      <c r="C110">
        <f t="shared" si="7"/>
        <v>-2.2525050100200414</v>
      </c>
      <c r="D110">
        <f>[1]!XLSTAT_PDFNormal(C110,0,1)</f>
        <v>3.1561162682887917E-2</v>
      </c>
      <c r="E110">
        <v>110</v>
      </c>
      <c r="G110">
        <f t="shared" si="8"/>
        <v>0.43695190380761251</v>
      </c>
      <c r="H110">
        <f>[1]!XLSTAT_PDFWeibull(G110,1)</f>
        <v>0.64600250092402312</v>
      </c>
      <c r="I110">
        <v>110</v>
      </c>
      <c r="K110">
        <f t="shared" si="9"/>
        <v>0.43695190380761251</v>
      </c>
      <c r="L110">
        <f>[1]!XLSTAT_PDFWeibull(K110,1,1)</f>
        <v>0.64600250092402312</v>
      </c>
      <c r="M110">
        <v>110</v>
      </c>
      <c r="O110">
        <f t="shared" si="10"/>
        <v>0.43695190380761251</v>
      </c>
      <c r="P110">
        <f>[1]!XLSTAT_PDFWeibull(O110,5,1)</f>
        <v>0.17938535940681083</v>
      </c>
      <c r="Q110">
        <v>110</v>
      </c>
      <c r="S110">
        <f t="shared" si="11"/>
        <v>0.43695190380761251</v>
      </c>
      <c r="T110">
        <f>[1]!XLSTAT_PDFWeibull(S110,10,1)</f>
        <v>5.8048705419270251E-3</v>
      </c>
      <c r="U110">
        <v>110</v>
      </c>
      <c r="W110">
        <f t="shared" si="12"/>
        <v>0.43695190380761251</v>
      </c>
      <c r="X110">
        <f>[1]!XLSTAT_PDFWeibull(W110,10,5)</f>
        <v>5.9456957216402183E-10</v>
      </c>
      <c r="Y110">
        <v>110</v>
      </c>
      <c r="AA110">
        <f t="shared" si="13"/>
        <v>0.43695190380761251</v>
      </c>
      <c r="AB110">
        <f>[1]!XLSTAT_PDFWeibull(AA110,10,5)</f>
        <v>5.9456957216402183E-10</v>
      </c>
    </row>
    <row r="111" spans="1:28" x14ac:dyDescent="0.3">
      <c r="A111">
        <v>111</v>
      </c>
      <c r="C111">
        <f t="shared" si="7"/>
        <v>-2.2364729458917849</v>
      </c>
      <c r="D111">
        <f>[1]!XLSTAT_PDFNormal(C111,0,1)</f>
        <v>3.2717533501985509E-2</v>
      </c>
      <c r="E111">
        <v>111</v>
      </c>
      <c r="G111">
        <f t="shared" si="8"/>
        <v>0.44095971943887502</v>
      </c>
      <c r="H111">
        <f>[1]!XLSTAT_PDFWeibull(G111,1)</f>
        <v>0.64341862331416755</v>
      </c>
      <c r="I111">
        <v>111</v>
      </c>
      <c r="K111">
        <f t="shared" si="9"/>
        <v>0.44095971943887502</v>
      </c>
      <c r="L111">
        <f>[1]!XLSTAT_PDFWeibull(K111,1,1)</f>
        <v>0.64341862331416755</v>
      </c>
      <c r="M111">
        <v>111</v>
      </c>
      <c r="O111">
        <f t="shared" si="10"/>
        <v>0.44095971943887502</v>
      </c>
      <c r="P111">
        <f>[1]!XLSTAT_PDFWeibull(O111,5,1)</f>
        <v>0.18591952880898061</v>
      </c>
      <c r="Q111">
        <v>111</v>
      </c>
      <c r="S111">
        <f t="shared" si="11"/>
        <v>0.44095971943887502</v>
      </c>
      <c r="T111">
        <f>[1]!XLSTAT_PDFWeibull(S111,10,1)</f>
        <v>6.3018717089648292E-3</v>
      </c>
      <c r="U111">
        <v>111</v>
      </c>
      <c r="W111">
        <f t="shared" si="12"/>
        <v>0.44095971943887502</v>
      </c>
      <c r="X111">
        <f>[1]!XLSTAT_PDFWeibull(W111,10,5)</f>
        <v>6.4549106158835467E-10</v>
      </c>
      <c r="Y111">
        <v>111</v>
      </c>
      <c r="AA111">
        <f t="shared" si="13"/>
        <v>0.44095971943887502</v>
      </c>
      <c r="AB111">
        <f>[1]!XLSTAT_PDFWeibull(AA111,10,5)</f>
        <v>6.4549106158835467E-10</v>
      </c>
    </row>
    <row r="112" spans="1:28" x14ac:dyDescent="0.3">
      <c r="A112">
        <v>112</v>
      </c>
      <c r="C112">
        <f t="shared" si="7"/>
        <v>-2.2204408817635284</v>
      </c>
      <c r="D112">
        <f>[1]!XLSTAT_PDFNormal(C112,0,1)</f>
        <v>3.39075563617489E-2</v>
      </c>
      <c r="E112">
        <v>112</v>
      </c>
      <c r="G112">
        <f t="shared" si="8"/>
        <v>0.44496753507013753</v>
      </c>
      <c r="H112">
        <f>[1]!XLSTAT_PDFWeibull(G112,1)</f>
        <v>0.64084508068520329</v>
      </c>
      <c r="I112">
        <v>112</v>
      </c>
      <c r="K112">
        <f t="shared" si="9"/>
        <v>0.44496753507013753</v>
      </c>
      <c r="L112">
        <f>[1]!XLSTAT_PDFWeibull(K112,1,1)</f>
        <v>0.64084508068520329</v>
      </c>
      <c r="M112">
        <v>112</v>
      </c>
      <c r="O112">
        <f t="shared" si="10"/>
        <v>0.44496753507013753</v>
      </c>
      <c r="P112">
        <f>[1]!XLSTAT_PDFWeibull(O112,5,1)</f>
        <v>0.19262273839324837</v>
      </c>
      <c r="Q112">
        <v>112</v>
      </c>
      <c r="S112">
        <f t="shared" si="11"/>
        <v>0.44496753507013753</v>
      </c>
      <c r="T112">
        <f>[1]!XLSTAT_PDFWeibull(S112,10,1)</f>
        <v>6.8363262930627262E-3</v>
      </c>
      <c r="U112">
        <v>112</v>
      </c>
      <c r="W112">
        <f t="shared" si="12"/>
        <v>0.44496753507013753</v>
      </c>
      <c r="X112">
        <f>[1]!XLSTAT_PDFWeibull(W112,10,5)</f>
        <v>7.0025285774568525E-10</v>
      </c>
      <c r="Y112">
        <v>112</v>
      </c>
      <c r="AA112">
        <f t="shared" si="13"/>
        <v>0.44496753507013753</v>
      </c>
      <c r="AB112">
        <f>[1]!XLSTAT_PDFWeibull(AA112,10,5)</f>
        <v>7.0025285774568525E-10</v>
      </c>
    </row>
    <row r="113" spans="1:28" x14ac:dyDescent="0.3">
      <c r="A113">
        <v>113</v>
      </c>
      <c r="C113">
        <f t="shared" si="7"/>
        <v>-2.2044088176352719</v>
      </c>
      <c r="D113">
        <f>[1]!XLSTAT_PDFNormal(C113,0,1)</f>
        <v>3.5131832494133382E-2</v>
      </c>
      <c r="E113">
        <v>113</v>
      </c>
      <c r="G113">
        <f t="shared" si="8"/>
        <v>0.44897535070140004</v>
      </c>
      <c r="H113">
        <f>[1]!XLSTAT_PDFWeibull(G113,1)</f>
        <v>0.63828183169932473</v>
      </c>
      <c r="I113">
        <v>113</v>
      </c>
      <c r="K113">
        <f t="shared" si="9"/>
        <v>0.44897535070140004</v>
      </c>
      <c r="L113">
        <f>[1]!XLSTAT_PDFWeibull(K113,1,1)</f>
        <v>0.63828183169932473</v>
      </c>
      <c r="M113">
        <v>113</v>
      </c>
      <c r="O113">
        <f t="shared" si="10"/>
        <v>0.44897535070140004</v>
      </c>
      <c r="P113">
        <f>[1]!XLSTAT_PDFWeibull(O113,5,1)</f>
        <v>0.19949722882735782</v>
      </c>
      <c r="Q113">
        <v>113</v>
      </c>
      <c r="S113">
        <f t="shared" si="11"/>
        <v>0.44897535070140004</v>
      </c>
      <c r="T113">
        <f>[1]!XLSTAT_PDFWeibull(S113,10,1)</f>
        <v>7.4106779132216563E-3</v>
      </c>
      <c r="U113">
        <v>113</v>
      </c>
      <c r="W113">
        <f t="shared" si="12"/>
        <v>0.44897535070140004</v>
      </c>
      <c r="X113">
        <f>[1]!XLSTAT_PDFWeibull(W113,10,5)</f>
        <v>7.5910603097241013E-10</v>
      </c>
      <c r="Y113">
        <v>113</v>
      </c>
      <c r="AA113">
        <f t="shared" si="13"/>
        <v>0.44897535070140004</v>
      </c>
      <c r="AB113">
        <f>[1]!XLSTAT_PDFWeibull(AA113,10,5)</f>
        <v>7.5910603097241013E-10</v>
      </c>
    </row>
    <row r="114" spans="1:28" x14ac:dyDescent="0.3">
      <c r="A114">
        <v>114</v>
      </c>
      <c r="C114">
        <f t="shared" si="7"/>
        <v>-2.1883767535070153</v>
      </c>
      <c r="D114">
        <f>[1]!XLSTAT_PDFNormal(C114,0,1)</f>
        <v>3.639095803425306E-2</v>
      </c>
      <c r="E114">
        <v>114</v>
      </c>
      <c r="G114">
        <f t="shared" si="8"/>
        <v>0.4529831663326625</v>
      </c>
      <c r="H114">
        <f>[1]!XLSTAT_PDFWeibull(G114,1)</f>
        <v>0.6357288351840692</v>
      </c>
      <c r="I114">
        <v>114</v>
      </c>
      <c r="K114">
        <f t="shared" si="9"/>
        <v>0.4529831663326625</v>
      </c>
      <c r="L114">
        <f>[1]!XLSTAT_PDFWeibull(K114,1,1)</f>
        <v>0.6357288351840692</v>
      </c>
      <c r="M114">
        <v>114</v>
      </c>
      <c r="O114">
        <f t="shared" si="10"/>
        <v>0.4529831663326625</v>
      </c>
      <c r="P114">
        <f>[1]!XLSTAT_PDFWeibull(O114,5,1)</f>
        <v>0.20654520828777703</v>
      </c>
      <c r="Q114">
        <v>114</v>
      </c>
      <c r="S114">
        <f t="shared" si="11"/>
        <v>0.4529831663326625</v>
      </c>
      <c r="T114">
        <f>[1]!XLSTAT_PDFWeibull(S114,10,1)</f>
        <v>8.0275050476970658E-3</v>
      </c>
      <c r="U114">
        <v>114</v>
      </c>
      <c r="W114">
        <f t="shared" si="12"/>
        <v>0.4529831663326625</v>
      </c>
      <c r="X114">
        <f>[1]!XLSTAT_PDFWeibull(W114,10,5)</f>
        <v>8.2231559189277899E-10</v>
      </c>
      <c r="Y114">
        <v>114</v>
      </c>
      <c r="AA114">
        <f t="shared" si="13"/>
        <v>0.4529831663326625</v>
      </c>
      <c r="AB114">
        <f>[1]!XLSTAT_PDFWeibull(AA114,10,5)</f>
        <v>8.2231559189277899E-10</v>
      </c>
    </row>
    <row r="115" spans="1:28" x14ac:dyDescent="0.3">
      <c r="A115">
        <v>115</v>
      </c>
      <c r="C115">
        <f t="shared" si="7"/>
        <v>-2.1723446893787588</v>
      </c>
      <c r="D115">
        <f>[1]!XLSTAT_PDFNormal(C115,0,1)</f>
        <v>3.7685523212599444E-2</v>
      </c>
      <c r="E115">
        <v>115</v>
      </c>
      <c r="G115">
        <f t="shared" si="8"/>
        <v>0.45699098196392501</v>
      </c>
      <c r="H115">
        <f>[1]!XLSTAT_PDFWeibull(G115,1)</f>
        <v>0.63318605013165519</v>
      </c>
      <c r="I115">
        <v>115</v>
      </c>
      <c r="K115">
        <f t="shared" si="9"/>
        <v>0.45699098196392501</v>
      </c>
      <c r="L115">
        <f>[1]!XLSTAT_PDFWeibull(K115,1,1)</f>
        <v>0.63318605013165519</v>
      </c>
      <c r="M115">
        <v>115</v>
      </c>
      <c r="O115">
        <f t="shared" si="10"/>
        <v>0.45699098196392501</v>
      </c>
      <c r="P115">
        <f>[1]!XLSTAT_PDFWeibull(O115,5,1)</f>
        <v>0.2137688497665757</v>
      </c>
      <c r="Q115">
        <v>115</v>
      </c>
      <c r="S115">
        <f t="shared" si="11"/>
        <v>0.45699098196392501</v>
      </c>
      <c r="T115">
        <f>[1]!XLSTAT_PDFWeibull(S115,10,1)</f>
        <v>8.6895270920620982E-3</v>
      </c>
      <c r="U115">
        <v>115</v>
      </c>
      <c r="W115">
        <f t="shared" si="12"/>
        <v>0.45699098196392501</v>
      </c>
      <c r="X115">
        <f>[1]!XLSTAT_PDFWeibull(W115,10,5)</f>
        <v>8.9016113056012662E-10</v>
      </c>
      <c r="Y115">
        <v>115</v>
      </c>
      <c r="AA115">
        <f t="shared" si="13"/>
        <v>0.45699098196392501</v>
      </c>
      <c r="AB115">
        <f>[1]!XLSTAT_PDFWeibull(AA115,10,5)</f>
        <v>8.9016113056012662E-10</v>
      </c>
    </row>
    <row r="116" spans="1:28" x14ac:dyDescent="0.3">
      <c r="A116">
        <v>116</v>
      </c>
      <c r="C116">
        <f t="shared" si="7"/>
        <v>-2.1563126252505023</v>
      </c>
      <c r="D116">
        <f>[1]!XLSTAT_PDFNormal(C116,0,1)</f>
        <v>3.901611152592669E-2</v>
      </c>
      <c r="E116">
        <v>116</v>
      </c>
      <c r="G116">
        <f t="shared" si="8"/>
        <v>0.46099879759518753</v>
      </c>
      <c r="H116">
        <f>[1]!XLSTAT_PDFWeibull(G116,1)</f>
        <v>0.63065343569832433</v>
      </c>
      <c r="I116">
        <v>116</v>
      </c>
      <c r="K116">
        <f t="shared" si="9"/>
        <v>0.46099879759518753</v>
      </c>
      <c r="L116">
        <f>[1]!XLSTAT_PDFWeibull(K116,1,1)</f>
        <v>0.63065343569832433</v>
      </c>
      <c r="M116">
        <v>116</v>
      </c>
      <c r="O116">
        <f t="shared" si="10"/>
        <v>0.46099879759518753</v>
      </c>
      <c r="P116">
        <f>[1]!XLSTAT_PDFWeibull(O116,5,1)</f>
        <v>0.22117028829990404</v>
      </c>
      <c r="Q116">
        <v>116</v>
      </c>
      <c r="S116">
        <f t="shared" si="11"/>
        <v>0.46099879759518753</v>
      </c>
      <c r="T116">
        <f>[1]!XLSTAT_PDFWeibull(S116,10,1)</f>
        <v>9.3996106197501931E-3</v>
      </c>
      <c r="U116">
        <v>116</v>
      </c>
      <c r="W116">
        <f t="shared" si="12"/>
        <v>0.46099879759518753</v>
      </c>
      <c r="X116">
        <f>[1]!XLSTAT_PDFWeibull(W116,10,5)</f>
        <v>9.6293747882952364E-10</v>
      </c>
      <c r="Y116">
        <v>116</v>
      </c>
      <c r="AA116">
        <f t="shared" si="13"/>
        <v>0.46099879759518753</v>
      </c>
      <c r="AB116">
        <f>[1]!XLSTAT_PDFWeibull(AA116,10,5)</f>
        <v>9.6293747882952364E-10</v>
      </c>
    </row>
    <row r="117" spans="1:28" x14ac:dyDescent="0.3">
      <c r="A117">
        <v>117</v>
      </c>
      <c r="C117">
        <f t="shared" si="7"/>
        <v>-2.1402805611222457</v>
      </c>
      <c r="D117">
        <f>[1]!XLSTAT_PDFNormal(C117,0,1)</f>
        <v>4.0383298887340435E-2</v>
      </c>
      <c r="E117">
        <v>117</v>
      </c>
      <c r="G117">
        <f t="shared" si="8"/>
        <v>0.46500661322645004</v>
      </c>
      <c r="H117">
        <f>[1]!XLSTAT_PDFWeibull(G117,1)</f>
        <v>0.62813095120368456</v>
      </c>
      <c r="I117">
        <v>117</v>
      </c>
      <c r="K117">
        <f t="shared" si="9"/>
        <v>0.46500661322645004</v>
      </c>
      <c r="L117">
        <f>[1]!XLSTAT_PDFWeibull(K117,1,1)</f>
        <v>0.62813095120368456</v>
      </c>
      <c r="M117">
        <v>117</v>
      </c>
      <c r="O117">
        <f t="shared" si="10"/>
        <v>0.46500661322645004</v>
      </c>
      <c r="P117">
        <f>[1]!XLSTAT_PDFWeibull(O117,5,1)</f>
        <v>0.22875161811749239</v>
      </c>
      <c r="Q117">
        <v>117</v>
      </c>
      <c r="S117">
        <f t="shared" si="11"/>
        <v>0.46500661322645004</v>
      </c>
      <c r="T117">
        <f>[1]!XLSTAT_PDFWeibull(S117,10,1)</f>
        <v>1.016077584822832E-2</v>
      </c>
      <c r="U117">
        <v>117</v>
      </c>
      <c r="W117">
        <f t="shared" si="12"/>
        <v>0.46500661322645004</v>
      </c>
      <c r="X117">
        <f>[1]!XLSTAT_PDFWeibull(W117,10,5)</f>
        <v>1.0409553965897189E-9</v>
      </c>
      <c r="Y117">
        <v>117</v>
      </c>
      <c r="AA117">
        <f t="shared" si="13"/>
        <v>0.46500661322645004</v>
      </c>
      <c r="AB117">
        <f>[1]!XLSTAT_PDFWeibull(AA117,10,5)</f>
        <v>1.0409553965897189E-9</v>
      </c>
    </row>
    <row r="118" spans="1:28" x14ac:dyDescent="0.3">
      <c r="A118">
        <v>118</v>
      </c>
      <c r="C118">
        <f t="shared" si="7"/>
        <v>-2.1242484969939897</v>
      </c>
      <c r="D118">
        <f>[1]!XLSTAT_PDFNormal(C118,0,1)</f>
        <v>4.1787652756183499E-2</v>
      </c>
      <c r="E118">
        <v>118</v>
      </c>
      <c r="G118">
        <f t="shared" si="8"/>
        <v>0.4690144288577125</v>
      </c>
      <c r="H118">
        <f>[1]!XLSTAT_PDFWeibull(G118,1)</f>
        <v>0.62561855613005735</v>
      </c>
      <c r="I118">
        <v>118</v>
      </c>
      <c r="K118">
        <f t="shared" si="9"/>
        <v>0.4690144288577125</v>
      </c>
      <c r="L118">
        <f>[1]!XLSTAT_PDFWeibull(K118,1,1)</f>
        <v>0.62561855613005735</v>
      </c>
      <c r="M118">
        <v>118</v>
      </c>
      <c r="O118">
        <f t="shared" si="10"/>
        <v>0.4690144288577125</v>
      </c>
      <c r="P118">
        <f>[1]!XLSTAT_PDFWeibull(O118,5,1)</f>
        <v>0.23651488971268814</v>
      </c>
      <c r="Q118">
        <v>118</v>
      </c>
      <c r="S118">
        <f t="shared" si="11"/>
        <v>0.4690144288577125</v>
      </c>
      <c r="T118">
        <f>[1]!XLSTAT_PDFWeibull(S118,10,1)</f>
        <v>1.0976203313729931E-2</v>
      </c>
      <c r="U118">
        <v>118</v>
      </c>
      <c r="W118">
        <f t="shared" si="12"/>
        <v>0.4690144288577125</v>
      </c>
      <c r="X118">
        <f>[1]!XLSTAT_PDFWeibull(W118,10,5)</f>
        <v>1.1245422824930218E-9</v>
      </c>
      <c r="Y118">
        <v>118</v>
      </c>
      <c r="AA118">
        <f t="shared" si="13"/>
        <v>0.4690144288577125</v>
      </c>
      <c r="AB118">
        <f>[1]!XLSTAT_PDFWeibull(AA118,10,5)</f>
        <v>1.1245422824930218E-9</v>
      </c>
    </row>
    <row r="119" spans="1:28" x14ac:dyDescent="0.3">
      <c r="A119">
        <v>119</v>
      </c>
      <c r="C119">
        <f t="shared" si="7"/>
        <v>-2.1082164328657331</v>
      </c>
      <c r="D119">
        <f>[1]!XLSTAT_PDFNormal(C119,0,1)</f>
        <v>4.3229731248371046E-2</v>
      </c>
      <c r="E119">
        <v>119</v>
      </c>
      <c r="G119">
        <f t="shared" si="8"/>
        <v>0.47302224448897501</v>
      </c>
      <c r="H119">
        <f>[1]!XLSTAT_PDFWeibull(G119,1)</f>
        <v>0.62311621012182616</v>
      </c>
      <c r="I119">
        <v>119</v>
      </c>
      <c r="K119">
        <f t="shared" si="9"/>
        <v>0.47302224448897501</v>
      </c>
      <c r="L119">
        <f>[1]!XLSTAT_PDFWeibull(K119,1,1)</f>
        <v>0.62311621012182616</v>
      </c>
      <c r="M119">
        <v>119</v>
      </c>
      <c r="O119">
        <f t="shared" si="10"/>
        <v>0.47302224448897501</v>
      </c>
      <c r="P119">
        <f>[1]!XLSTAT_PDFWeibull(O119,5,1)</f>
        <v>0.24446210683264144</v>
      </c>
      <c r="Q119">
        <v>119</v>
      </c>
      <c r="S119">
        <f t="shared" si="11"/>
        <v>0.47302224448897501</v>
      </c>
      <c r="T119">
        <f>[1]!XLSTAT_PDFWeibull(S119,10,1)</f>
        <v>1.1849240757221748E-2</v>
      </c>
      <c r="U119">
        <v>119</v>
      </c>
      <c r="W119">
        <f t="shared" si="12"/>
        <v>0.47302224448897501</v>
      </c>
      <c r="X119">
        <f>[1]!XLSTAT_PDFWeibull(W119,10,5)</f>
        <v>1.2140429098334151E-9</v>
      </c>
      <c r="Y119">
        <v>119</v>
      </c>
      <c r="AA119">
        <f t="shared" si="13"/>
        <v>0.47302224448897501</v>
      </c>
      <c r="AB119">
        <f>[1]!XLSTAT_PDFWeibull(AA119,10,5)</f>
        <v>1.2140429098334151E-9</v>
      </c>
    </row>
    <row r="120" spans="1:28" x14ac:dyDescent="0.3">
      <c r="A120">
        <v>120</v>
      </c>
      <c r="C120">
        <f t="shared" si="7"/>
        <v>-2.0921843687374766</v>
      </c>
      <c r="D120">
        <f>[1]!XLSTAT_PDFNormal(C120,0,1)</f>
        <v>4.4710082227884557E-2</v>
      </c>
      <c r="E120">
        <v>120</v>
      </c>
      <c r="G120">
        <f t="shared" si="8"/>
        <v>0.47703006012023752</v>
      </c>
      <c r="H120">
        <f>[1]!XLSTAT_PDFWeibull(G120,1)</f>
        <v>0.62062387298478905</v>
      </c>
      <c r="I120">
        <v>120</v>
      </c>
      <c r="K120">
        <f t="shared" si="9"/>
        <v>0.47703006012023752</v>
      </c>
      <c r="L120">
        <f>[1]!XLSTAT_PDFWeibull(K120,1,1)</f>
        <v>0.62062387298478905</v>
      </c>
      <c r="M120">
        <v>120</v>
      </c>
      <c r="O120">
        <f t="shared" si="10"/>
        <v>0.47703006012023752</v>
      </c>
      <c r="P120">
        <f>[1]!XLSTAT_PDFWeibull(O120,5,1)</f>
        <v>0.25259522338835871</v>
      </c>
      <c r="Q120">
        <v>120</v>
      </c>
      <c r="S120">
        <f t="shared" si="11"/>
        <v>0.47703006012023752</v>
      </c>
      <c r="T120">
        <f>[1]!XLSTAT_PDFWeibull(S120,10,1)</f>
        <v>1.2783410223988271E-2</v>
      </c>
      <c r="U120">
        <v>120</v>
      </c>
      <c r="W120">
        <f t="shared" si="12"/>
        <v>0.47703006012023752</v>
      </c>
      <c r="X120">
        <f>[1]!XLSTAT_PDFWeibull(W120,10,5)</f>
        <v>1.3098201882344286E-9</v>
      </c>
      <c r="Y120">
        <v>120</v>
      </c>
      <c r="AA120">
        <f t="shared" si="13"/>
        <v>0.47703006012023752</v>
      </c>
      <c r="AB120">
        <f>[1]!XLSTAT_PDFWeibull(AA120,10,5)</f>
        <v>1.3098201882344286E-9</v>
      </c>
    </row>
    <row r="121" spans="1:28" x14ac:dyDescent="0.3">
      <c r="A121">
        <v>121</v>
      </c>
      <c r="C121">
        <f t="shared" si="7"/>
        <v>-2.0761523046092201</v>
      </c>
      <c r="D121">
        <f>[1]!XLSTAT_PDFNormal(C121,0,1)</f>
        <v>4.6229242380195538E-2</v>
      </c>
      <c r="E121">
        <v>121</v>
      </c>
      <c r="G121">
        <f t="shared" si="8"/>
        <v>0.48103787575150003</v>
      </c>
      <c r="H121">
        <f>[1]!XLSTAT_PDFWeibull(G121,1)</f>
        <v>0.61814150468551243</v>
      </c>
      <c r="I121">
        <v>121</v>
      </c>
      <c r="K121">
        <f t="shared" si="9"/>
        <v>0.48103787575150003</v>
      </c>
      <c r="L121">
        <f>[1]!XLSTAT_PDFWeibull(K121,1,1)</f>
        <v>0.61814150468551243</v>
      </c>
      <c r="M121">
        <v>121</v>
      </c>
      <c r="O121">
        <f t="shared" si="10"/>
        <v>0.48103787575150003</v>
      </c>
      <c r="P121">
        <f>[1]!XLSTAT_PDFWeibull(O121,5,1)</f>
        <v>0.26091614028445731</v>
      </c>
      <c r="Q121">
        <v>121</v>
      </c>
      <c r="S121">
        <f t="shared" si="11"/>
        <v>0.48103787575150003</v>
      </c>
      <c r="T121">
        <f>[1]!XLSTAT_PDFWeibull(S121,10,1)</f>
        <v>1.3782415378889681E-2</v>
      </c>
      <c r="U121">
        <v>121</v>
      </c>
      <c r="W121">
        <f t="shared" si="12"/>
        <v>0.48103787575150003</v>
      </c>
      <c r="X121">
        <f>[1]!XLSTAT_PDFWeibull(W121,10,5)</f>
        <v>1.4122559518197961E-9</v>
      </c>
      <c r="Y121">
        <v>121</v>
      </c>
      <c r="AA121">
        <f t="shared" si="13"/>
        <v>0.48103787575150003</v>
      </c>
      <c r="AB121">
        <f>[1]!XLSTAT_PDFWeibull(AA121,10,5)</f>
        <v>1.4122559518197961E-9</v>
      </c>
    </row>
    <row r="122" spans="1:28" x14ac:dyDescent="0.3">
      <c r="A122">
        <v>122</v>
      </c>
      <c r="C122">
        <f t="shared" si="7"/>
        <v>-2.0601202404809635</v>
      </c>
      <c r="D122">
        <f>[1]!XLSTAT_PDFNormal(C122,0,1)</f>
        <v>4.7787736268447886E-2</v>
      </c>
      <c r="E122">
        <v>122</v>
      </c>
      <c r="G122">
        <f t="shared" si="8"/>
        <v>0.48504569138276254</v>
      </c>
      <c r="H122">
        <f>[1]!XLSTAT_PDFWeibull(G122,1)</f>
        <v>0.61566906535068844</v>
      </c>
      <c r="I122">
        <v>122</v>
      </c>
      <c r="K122">
        <f t="shared" si="9"/>
        <v>0.48504569138276254</v>
      </c>
      <c r="L122">
        <f>[1]!XLSTAT_PDFWeibull(K122,1,1)</f>
        <v>0.61566906535068844</v>
      </c>
      <c r="M122">
        <v>122</v>
      </c>
      <c r="O122">
        <f t="shared" si="10"/>
        <v>0.48504569138276254</v>
      </c>
      <c r="P122">
        <f>[1]!XLSTAT_PDFWeibull(O122,5,1)</f>
        <v>0.26942670216856957</v>
      </c>
      <c r="Q122">
        <v>122</v>
      </c>
      <c r="S122">
        <f t="shared" si="11"/>
        <v>0.48504569138276254</v>
      </c>
      <c r="T122">
        <f>[1]!XLSTAT_PDFWeibull(S122,10,1)</f>
        <v>1.4850149038977196E-2</v>
      </c>
      <c r="U122">
        <v>122</v>
      </c>
      <c r="W122">
        <f t="shared" si="12"/>
        <v>0.48504569138276254</v>
      </c>
      <c r="X122">
        <f>[1]!XLSTAT_PDFWeibull(W122,10,5)</f>
        <v>1.5217517745516714E-9</v>
      </c>
      <c r="Y122">
        <v>122</v>
      </c>
      <c r="AA122">
        <f t="shared" si="13"/>
        <v>0.48504569138276254</v>
      </c>
      <c r="AB122">
        <f>[1]!XLSTAT_PDFWeibull(AA122,10,5)</f>
        <v>1.5217517745516714E-9</v>
      </c>
    </row>
    <row r="123" spans="1:28" x14ac:dyDescent="0.3">
      <c r="A123">
        <v>123</v>
      </c>
      <c r="C123">
        <f t="shared" si="7"/>
        <v>-2.044088176352707</v>
      </c>
      <c r="D123">
        <f>[1]!XLSTAT_PDFNormal(C123,0,1)</f>
        <v>4.9386075373288513E-2</v>
      </c>
      <c r="E123">
        <v>123</v>
      </c>
      <c r="G123">
        <f t="shared" si="8"/>
        <v>0.489053507014025</v>
      </c>
      <c r="H123">
        <f>[1]!XLSTAT_PDFWeibull(G123,1)</f>
        <v>0.61320651526649395</v>
      </c>
      <c r="I123">
        <v>123</v>
      </c>
      <c r="K123">
        <f t="shared" si="9"/>
        <v>0.489053507014025</v>
      </c>
      <c r="L123">
        <f>[1]!XLSTAT_PDFWeibull(K123,1,1)</f>
        <v>0.61320651526649395</v>
      </c>
      <c r="M123">
        <v>123</v>
      </c>
      <c r="O123">
        <f t="shared" si="10"/>
        <v>0.489053507014025</v>
      </c>
      <c r="P123">
        <f>[1]!XLSTAT_PDFWeibull(O123,5,1)</f>
        <v>0.27812869410047375</v>
      </c>
      <c r="Q123">
        <v>123</v>
      </c>
      <c r="S123">
        <f t="shared" si="11"/>
        <v>0.489053507014025</v>
      </c>
      <c r="T123">
        <f>[1]!XLSTAT_PDFWeibull(S123,10,1)</f>
        <v>1.5990700924733897E-2</v>
      </c>
      <c r="U123">
        <v>123</v>
      </c>
      <c r="W123">
        <f t="shared" si="12"/>
        <v>0.489053507014025</v>
      </c>
      <c r="X123">
        <f>[1]!XLSTAT_PDFWeibull(W123,10,5)</f>
        <v>1.6387298134326376E-9</v>
      </c>
      <c r="Y123">
        <v>123</v>
      </c>
      <c r="AA123">
        <f t="shared" si="13"/>
        <v>0.489053507014025</v>
      </c>
      <c r="AB123">
        <f>[1]!XLSTAT_PDFWeibull(AA123,10,5)</f>
        <v>1.6387298134326376E-9</v>
      </c>
    </row>
    <row r="124" spans="1:28" x14ac:dyDescent="0.3">
      <c r="A124">
        <v>124</v>
      </c>
      <c r="C124">
        <f t="shared" si="7"/>
        <v>-2.0280561122244505</v>
      </c>
      <c r="D124">
        <f>[1]!XLSTAT_PDFNormal(C124,0,1)</f>
        <v>5.1024757117296038E-2</v>
      </c>
      <c r="E124">
        <v>124</v>
      </c>
      <c r="G124">
        <f t="shared" si="8"/>
        <v>0.49306132264528751</v>
      </c>
      <c r="H124">
        <f>[1]!XLSTAT_PDFWeibull(G124,1)</f>
        <v>0.61075381487795333</v>
      </c>
      <c r="I124">
        <v>124</v>
      </c>
      <c r="K124">
        <f t="shared" si="9"/>
        <v>0.49306132264528751</v>
      </c>
      <c r="L124">
        <f>[1]!XLSTAT_PDFWeibull(K124,1,1)</f>
        <v>0.61075381487795333</v>
      </c>
      <c r="M124">
        <v>124</v>
      </c>
      <c r="O124">
        <f t="shared" si="10"/>
        <v>0.49306132264528751</v>
      </c>
      <c r="P124">
        <f>[1]!XLSTAT_PDFWeibull(O124,5,1)</f>
        <v>0.28702383814116433</v>
      </c>
      <c r="Q124">
        <v>124</v>
      </c>
      <c r="S124">
        <f t="shared" si="11"/>
        <v>0.49306132264528751</v>
      </c>
      <c r="T124">
        <f>[1]!XLSTAT_PDFWeibull(S124,10,1)</f>
        <v>1.7208365630742014E-2</v>
      </c>
      <c r="U124">
        <v>124</v>
      </c>
      <c r="W124">
        <f t="shared" si="12"/>
        <v>0.49306132264528751</v>
      </c>
      <c r="X124">
        <f>[1]!XLSTAT_PDFWeibull(W124,10,5)</f>
        <v>1.7636336802798504E-9</v>
      </c>
      <c r="Y124">
        <v>124</v>
      </c>
      <c r="AA124">
        <f t="shared" si="13"/>
        <v>0.49306132264528751</v>
      </c>
      <c r="AB124">
        <f>[1]!XLSTAT_PDFWeibull(AA124,10,5)</f>
        <v>1.7636336802798504E-9</v>
      </c>
    </row>
    <row r="125" spans="1:28" x14ac:dyDescent="0.3">
      <c r="A125">
        <v>125</v>
      </c>
      <c r="C125">
        <f t="shared" si="7"/>
        <v>-2.012024048096194</v>
      </c>
      <c r="D125">
        <f>[1]!XLSTAT_PDFNormal(C125,0,1)</f>
        <v>5.2704263875017865E-2</v>
      </c>
      <c r="E125">
        <v>125</v>
      </c>
      <c r="G125">
        <f t="shared" si="8"/>
        <v>0.49706913827655003</v>
      </c>
      <c r="H125">
        <f>[1]!XLSTAT_PDFWeibull(G125,1)</f>
        <v>0.6083109247883024</v>
      </c>
      <c r="I125">
        <v>125</v>
      </c>
      <c r="K125">
        <f t="shared" si="9"/>
        <v>0.49706913827655003</v>
      </c>
      <c r="L125">
        <f>[1]!XLSTAT_PDFWeibull(K125,1,1)</f>
        <v>0.6083109247883024</v>
      </c>
      <c r="M125">
        <v>125</v>
      </c>
      <c r="O125">
        <f t="shared" si="10"/>
        <v>0.49706913827655003</v>
      </c>
      <c r="P125">
        <f>[1]!XLSTAT_PDFWeibull(O125,5,1)</f>
        <v>0.29611378986220888</v>
      </c>
      <c r="Q125">
        <v>125</v>
      </c>
      <c r="S125">
        <f t="shared" si="11"/>
        <v>0.49706913827655003</v>
      </c>
      <c r="T125">
        <f>[1]!XLSTAT_PDFWeibull(S125,10,1)</f>
        <v>1.8507650816057864E-2</v>
      </c>
      <c r="U125">
        <v>125</v>
      </c>
      <c r="W125">
        <f t="shared" si="12"/>
        <v>0.49706913827655003</v>
      </c>
      <c r="X125">
        <f>[1]!XLSTAT_PDFWeibull(W125,10,5)</f>
        <v>1.8969293427911468E-9</v>
      </c>
      <c r="Y125">
        <v>125</v>
      </c>
      <c r="AA125">
        <f t="shared" si="13"/>
        <v>0.49706913827655003</v>
      </c>
      <c r="AB125">
        <f>[1]!XLSTAT_PDFWeibull(AA125,10,5)</f>
        <v>1.8969293427911468E-9</v>
      </c>
    </row>
    <row r="126" spans="1:28" x14ac:dyDescent="0.3">
      <c r="A126">
        <v>126</v>
      </c>
      <c r="C126">
        <f t="shared" si="7"/>
        <v>-1.9959919839679374</v>
      </c>
      <c r="D126">
        <f>[1]!XLSTAT_PDFNormal(C126,0,1)</f>
        <v>5.4425061969685773E-2</v>
      </c>
      <c r="E126">
        <v>126</v>
      </c>
      <c r="G126">
        <f t="shared" si="8"/>
        <v>0.50107695390781248</v>
      </c>
      <c r="H126">
        <f>[1]!XLSTAT_PDFWeibull(G126,1)</f>
        <v>0.60587780575835637</v>
      </c>
      <c r="I126">
        <v>126</v>
      </c>
      <c r="K126">
        <f t="shared" si="9"/>
        <v>0.50107695390781248</v>
      </c>
      <c r="L126">
        <f>[1]!XLSTAT_PDFWeibull(K126,1,1)</f>
        <v>0.60587780575835637</v>
      </c>
      <c r="M126">
        <v>126</v>
      </c>
      <c r="O126">
        <f t="shared" si="10"/>
        <v>0.50107695390781248</v>
      </c>
      <c r="P126">
        <f>[1]!XLSTAT_PDFWeibull(O126,5,1)</f>
        <v>0.3054001347758965</v>
      </c>
      <c r="Q126">
        <v>126</v>
      </c>
      <c r="S126">
        <f t="shared" si="11"/>
        <v>0.50107695390781248</v>
      </c>
      <c r="T126">
        <f>[1]!XLSTAT_PDFWeibull(S126,10,1)</f>
        <v>1.9893285613995282E-2</v>
      </c>
      <c r="U126">
        <v>126</v>
      </c>
      <c r="W126">
        <f t="shared" si="12"/>
        <v>0.50107695390781248</v>
      </c>
      <c r="X126">
        <f>[1]!XLSTAT_PDFWeibull(W126,10,5)</f>
        <v>2.0391060556354487E-9</v>
      </c>
      <c r="Y126">
        <v>126</v>
      </c>
      <c r="AA126">
        <f t="shared" si="13"/>
        <v>0.50107695390781248</v>
      </c>
      <c r="AB126">
        <f>[1]!XLSTAT_PDFWeibull(AA126,10,5)</f>
        <v>2.0391060556354487E-9</v>
      </c>
    </row>
    <row r="127" spans="1:28" x14ac:dyDescent="0.3">
      <c r="A127">
        <v>127</v>
      </c>
      <c r="C127">
        <f t="shared" si="7"/>
        <v>-1.9799599198396809</v>
      </c>
      <c r="D127">
        <f>[1]!XLSTAT_PDFNormal(C127,0,1)</f>
        <v>5.6187600657740353E-2</v>
      </c>
      <c r="E127">
        <v>127</v>
      </c>
      <c r="G127">
        <f t="shared" si="8"/>
        <v>0.505084769539075</v>
      </c>
      <c r="H127">
        <f>[1]!XLSTAT_PDFWeibull(G127,1)</f>
        <v>0.6034544187058789</v>
      </c>
      <c r="I127">
        <v>127</v>
      </c>
      <c r="K127">
        <f t="shared" si="9"/>
        <v>0.505084769539075</v>
      </c>
      <c r="L127">
        <f>[1]!XLSTAT_PDFWeibull(K127,1,1)</f>
        <v>0.6034544187058789</v>
      </c>
      <c r="M127">
        <v>127</v>
      </c>
      <c r="O127">
        <f t="shared" si="10"/>
        <v>0.505084769539075</v>
      </c>
      <c r="P127">
        <f>[1]!XLSTAT_PDFWeibull(O127,5,1)</f>
        <v>0.31488438468683028</v>
      </c>
      <c r="Q127">
        <v>127</v>
      </c>
      <c r="S127">
        <f t="shared" si="11"/>
        <v>0.505084769539075</v>
      </c>
      <c r="T127">
        <f>[1]!XLSTAT_PDFWeibull(S127,10,1)</f>
        <v>2.1370229260376759E-2</v>
      </c>
      <c r="U127">
        <v>127</v>
      </c>
      <c r="W127">
        <f t="shared" si="12"/>
        <v>0.505084769539075</v>
      </c>
      <c r="X127">
        <f>[1]!XLSTAT_PDFWeibull(W127,10,5)</f>
        <v>2.1906773223114836E-9</v>
      </c>
      <c r="Y127">
        <v>127</v>
      </c>
      <c r="AA127">
        <f t="shared" si="13"/>
        <v>0.505084769539075</v>
      </c>
      <c r="AB127">
        <f>[1]!XLSTAT_PDFWeibull(AA127,10,5)</f>
        <v>2.1906773223114836E-9</v>
      </c>
    </row>
    <row r="128" spans="1:28" x14ac:dyDescent="0.3">
      <c r="A128">
        <v>128</v>
      </c>
      <c r="C128">
        <f t="shared" si="7"/>
        <v>-1.9639278557114244</v>
      </c>
      <c r="D128">
        <f>[1]!XLSTAT_PDFNormal(C128,0,1)</f>
        <v>5.799231110235456E-2</v>
      </c>
      <c r="E128">
        <v>128</v>
      </c>
      <c r="G128">
        <f t="shared" si="8"/>
        <v>0.50909258517033751</v>
      </c>
      <c r="H128">
        <f>[1]!XLSTAT_PDFWeibull(G128,1)</f>
        <v>0.60104072470495451</v>
      </c>
      <c r="I128">
        <v>128</v>
      </c>
      <c r="K128">
        <f t="shared" si="9"/>
        <v>0.50909258517033751</v>
      </c>
      <c r="L128">
        <f>[1]!XLSTAT_PDFWeibull(K128,1,1)</f>
        <v>0.60104072470495451</v>
      </c>
      <c r="M128">
        <v>128</v>
      </c>
      <c r="O128">
        <f t="shared" si="10"/>
        <v>0.50909258517033751</v>
      </c>
      <c r="P128">
        <f>[1]!XLSTAT_PDFWeibull(O128,5,1)</f>
        <v>0.3245679739657843</v>
      </c>
      <c r="Q128">
        <v>128</v>
      </c>
      <c r="S128">
        <f t="shared" si="11"/>
        <v>0.50909258517033751</v>
      </c>
      <c r="T128">
        <f>[1]!XLSTAT_PDFWeibull(S128,10,1)</f>
        <v>2.2943679938598256E-2</v>
      </c>
      <c r="U128">
        <v>128</v>
      </c>
      <c r="W128">
        <f t="shared" si="12"/>
        <v>0.50909258517033751</v>
      </c>
      <c r="X128">
        <f>[1]!XLSTAT_PDFWeibull(W128,10,5)</f>
        <v>2.3521818885310736E-9</v>
      </c>
      <c r="Y128">
        <v>128</v>
      </c>
      <c r="AA128">
        <f t="shared" si="13"/>
        <v>0.50909258517033751</v>
      </c>
      <c r="AB128">
        <f>[1]!XLSTAT_PDFWeibull(AA128,10,5)</f>
        <v>2.3521818885310736E-9</v>
      </c>
    </row>
    <row r="129" spans="1:28" x14ac:dyDescent="0.3">
      <c r="A129">
        <v>129</v>
      </c>
      <c r="C129">
        <f t="shared" ref="C129:C192" si="14">-4+(A129-1)*0.0160320641282565</f>
        <v>-1.9478957915831678</v>
      </c>
      <c r="D129">
        <f>[1]!XLSTAT_PDFNormal(C129,0,1)</f>
        <v>5.9839605337205129E-2</v>
      </c>
      <c r="E129">
        <v>129</v>
      </c>
      <c r="G129">
        <f t="shared" ref="G129:G192" si="15">0.0001+(E129-1)*0.0040078156312625</f>
        <v>0.51310040080160002</v>
      </c>
      <c r="H129">
        <f>[1]!XLSTAT_PDFWeibull(G129,1)</f>
        <v>0.59863668498536349</v>
      </c>
      <c r="I129">
        <v>129</v>
      </c>
      <c r="K129">
        <f t="shared" ref="K129:K192" si="16">0.0001+(I129-1)*0.0040078156312625</f>
        <v>0.51310040080160002</v>
      </c>
      <c r="L129">
        <f>[1]!XLSTAT_PDFWeibull(K129,1,1)</f>
        <v>0.59863668498536349</v>
      </c>
      <c r="M129">
        <v>129</v>
      </c>
      <c r="O129">
        <f t="shared" ref="O129:O192" si="17">0.0001+(M129-1)*0.0040078156312625</f>
        <v>0.51310040080160002</v>
      </c>
      <c r="P129">
        <f>[1]!XLSTAT_PDFWeibull(O129,5,1)</f>
        <v>0.33445225574682064</v>
      </c>
      <c r="Q129">
        <v>129</v>
      </c>
      <c r="S129">
        <f t="shared" ref="S129:S192" si="18">0.0001+(Q129-1)*0.0040078156312625</f>
        <v>0.51310040080160002</v>
      </c>
      <c r="T129">
        <f>[1]!XLSTAT_PDFWeibull(S129,10,1)</f>
        <v>2.4619083839069317E-2</v>
      </c>
      <c r="U129">
        <v>129</v>
      </c>
      <c r="W129">
        <f t="shared" ref="W129:W192" si="19">0.0001+(U129-1)*0.0040078156312625</f>
        <v>0.51310040080160002</v>
      </c>
      <c r="X129">
        <f>[1]!XLSTAT_PDFWeibull(W129,10,5)</f>
        <v>2.5241847678959547E-9</v>
      </c>
      <c r="Y129">
        <v>129</v>
      </c>
      <c r="AA129">
        <f t="shared" ref="AA129:AA192" si="20">0.0001+(Y129-1)*0.0040078156312625</f>
        <v>0.51310040080160002</v>
      </c>
      <c r="AB129">
        <f>[1]!XLSTAT_PDFWeibull(AA129,10,5)</f>
        <v>2.5241847678959547E-9</v>
      </c>
    </row>
    <row r="130" spans="1:28" x14ac:dyDescent="0.3">
      <c r="A130">
        <v>130</v>
      </c>
      <c r="C130">
        <f t="shared" si="14"/>
        <v>-1.9318637274549113</v>
      </c>
      <c r="D130">
        <f>[1]!XLSTAT_PDFNormal(C130,0,1)</f>
        <v>6.1729875221799742E-2</v>
      </c>
      <c r="E130">
        <v>130</v>
      </c>
      <c r="G130">
        <f t="shared" si="15"/>
        <v>0.51710821643286253</v>
      </c>
      <c r="H130">
        <f>[1]!XLSTAT_PDFWeibull(G130,1)</f>
        <v>0.5962422609319592</v>
      </c>
      <c r="I130">
        <v>130</v>
      </c>
      <c r="K130">
        <f t="shared" si="16"/>
        <v>0.51710821643286253</v>
      </c>
      <c r="L130">
        <f>[1]!XLSTAT_PDFWeibull(K130,1,1)</f>
        <v>0.5962422609319592</v>
      </c>
      <c r="M130">
        <v>130</v>
      </c>
      <c r="O130">
        <f t="shared" si="17"/>
        <v>0.51710821643286253</v>
      </c>
      <c r="P130">
        <f>[1]!XLSTAT_PDFWeibull(O130,5,1)</f>
        <v>0.34453849804883419</v>
      </c>
      <c r="Q130">
        <v>130</v>
      </c>
      <c r="S130">
        <f t="shared" si="18"/>
        <v>0.51710821643286253</v>
      </c>
      <c r="T130">
        <f>[1]!XLSTAT_PDFWeibull(S130,10,1)</f>
        <v>2.6402144429720928E-2</v>
      </c>
      <c r="U130">
        <v>130</v>
      </c>
      <c r="W130">
        <f t="shared" si="19"/>
        <v>0.51710821643286253</v>
      </c>
      <c r="X130">
        <f>[1]!XLSTAT_PDFWeibull(W130,10,5)</f>
        <v>2.7072783006488984E-9</v>
      </c>
      <c r="Y130">
        <v>130</v>
      </c>
      <c r="AA130">
        <f t="shared" si="20"/>
        <v>0.51710821643286253</v>
      </c>
      <c r="AB130">
        <f>[1]!XLSTAT_PDFWeibull(AA130,10,5)</f>
        <v>2.7072783006488984E-9</v>
      </c>
    </row>
    <row r="131" spans="1:28" x14ac:dyDescent="0.3">
      <c r="A131">
        <v>131</v>
      </c>
      <c r="C131">
        <f t="shared" si="14"/>
        <v>-1.9158316633266548</v>
      </c>
      <c r="D131">
        <f>[1]!XLSTAT_PDFNormal(C131,0,1)</f>
        <v>6.3663491389724686E-2</v>
      </c>
      <c r="E131">
        <v>131</v>
      </c>
      <c r="G131">
        <f t="shared" si="15"/>
        <v>0.52111603206412505</v>
      </c>
      <c r="H131">
        <f>[1]!XLSTAT_PDFWeibull(G131,1)</f>
        <v>0.59385741408404757</v>
      </c>
      <c r="I131">
        <v>131</v>
      </c>
      <c r="K131">
        <f t="shared" si="16"/>
        <v>0.52111603206412505</v>
      </c>
      <c r="L131">
        <f>[1]!XLSTAT_PDFWeibull(K131,1,1)</f>
        <v>0.59385741408404757</v>
      </c>
      <c r="M131">
        <v>131</v>
      </c>
      <c r="O131">
        <f t="shared" si="17"/>
        <v>0.52111603206412505</v>
      </c>
      <c r="P131">
        <f>[1]!XLSTAT_PDFWeibull(O131,5,1)</f>
        <v>0.35482787982289049</v>
      </c>
      <c r="Q131">
        <v>131</v>
      </c>
      <c r="S131">
        <f t="shared" si="18"/>
        <v>0.52111603206412505</v>
      </c>
      <c r="T131">
        <f>[1]!XLSTAT_PDFWeibull(S131,10,1)</f>
        <v>2.8298831933322624E-2</v>
      </c>
      <c r="U131">
        <v>131</v>
      </c>
      <c r="W131">
        <f t="shared" si="19"/>
        <v>0.52111603206412505</v>
      </c>
      <c r="X131">
        <f>[1]!XLSTAT_PDFWeibull(W131,10,5)</f>
        <v>2.9020832462927314E-9</v>
      </c>
      <c r="Y131">
        <v>131</v>
      </c>
      <c r="AA131">
        <f t="shared" si="20"/>
        <v>0.52111603206412505</v>
      </c>
      <c r="AB131">
        <f>[1]!XLSTAT_PDFWeibull(AA131,10,5)</f>
        <v>2.9020832462927314E-9</v>
      </c>
    </row>
    <row r="132" spans="1:28" x14ac:dyDescent="0.3">
      <c r="A132">
        <v>132</v>
      </c>
      <c r="C132">
        <f t="shared" si="14"/>
        <v>-1.8997995991983982</v>
      </c>
      <c r="D132">
        <f>[1]!XLSTAT_PDFNormal(C132,0,1)</f>
        <v>6.5640802191235234E-2</v>
      </c>
      <c r="E132">
        <v>132</v>
      </c>
      <c r="G132">
        <f t="shared" si="15"/>
        <v>0.52512384769538756</v>
      </c>
      <c r="H132">
        <f>[1]!XLSTAT_PDFWeibull(G132,1)</f>
        <v>0.59148210613476937</v>
      </c>
      <c r="I132">
        <v>132</v>
      </c>
      <c r="K132">
        <f t="shared" si="16"/>
        <v>0.52512384769538756</v>
      </c>
      <c r="L132">
        <f>[1]!XLSTAT_PDFWeibull(K132,1,1)</f>
        <v>0.59148210613476937</v>
      </c>
      <c r="M132">
        <v>132</v>
      </c>
      <c r="O132">
        <f t="shared" si="17"/>
        <v>0.52512384769538756</v>
      </c>
      <c r="P132">
        <f>[1]!XLSTAT_PDFWeibull(O132,5,1)</f>
        <v>0.36532148692691063</v>
      </c>
      <c r="Q132">
        <v>132</v>
      </c>
      <c r="S132">
        <f t="shared" si="18"/>
        <v>0.52512384769538756</v>
      </c>
      <c r="T132">
        <f>[1]!XLSTAT_PDFWeibull(S132,10,1)</f>
        <v>3.0315393006300609E-2</v>
      </c>
      <c r="U132">
        <v>132</v>
      </c>
      <c r="W132">
        <f t="shared" si="19"/>
        <v>0.52512384769538756</v>
      </c>
      <c r="X132">
        <f>[1]!XLSTAT_PDFWeibull(W132,10,5)</f>
        <v>3.1092499108835765E-9</v>
      </c>
      <c r="Y132">
        <v>132</v>
      </c>
      <c r="AA132">
        <f t="shared" si="20"/>
        <v>0.52512384769538756</v>
      </c>
      <c r="AB132">
        <f>[1]!XLSTAT_PDFWeibull(AA132,10,5)</f>
        <v>3.1092499108835765E-9</v>
      </c>
    </row>
    <row r="133" spans="1:28" x14ac:dyDescent="0.3">
      <c r="A133">
        <v>133</v>
      </c>
      <c r="C133">
        <f t="shared" si="14"/>
        <v>-1.8837675350701417</v>
      </c>
      <c r="D133">
        <f>[1]!XLSTAT_PDFNormal(C133,0,1)</f>
        <v>6.7662132631665498E-2</v>
      </c>
      <c r="E133">
        <v>133</v>
      </c>
      <c r="G133">
        <f t="shared" si="15"/>
        <v>0.52913166332665007</v>
      </c>
      <c r="H133">
        <f>[1]!XLSTAT_PDFWeibull(G133,1)</f>
        <v>0.58911629893048489</v>
      </c>
      <c r="I133">
        <v>133</v>
      </c>
      <c r="K133">
        <f t="shared" si="16"/>
        <v>0.52913166332665007</v>
      </c>
      <c r="L133">
        <f>[1]!XLSTAT_PDFWeibull(K133,1,1)</f>
        <v>0.58911629893048489</v>
      </c>
      <c r="M133">
        <v>133</v>
      </c>
      <c r="O133">
        <f t="shared" si="17"/>
        <v>0.52913166332665007</v>
      </c>
      <c r="P133">
        <f>[1]!XLSTAT_PDFWeibull(O133,5,1)</f>
        <v>0.37602030802946962</v>
      </c>
      <c r="Q133">
        <v>133</v>
      </c>
      <c r="S133">
        <f t="shared" si="18"/>
        <v>0.52913166332665007</v>
      </c>
      <c r="T133">
        <f>[1]!XLSTAT_PDFWeibull(S133,10,1)</f>
        <v>3.2458360612602516E-2</v>
      </c>
      <c r="U133">
        <v>133</v>
      </c>
      <c r="W133">
        <f t="shared" si="19"/>
        <v>0.52913166332665007</v>
      </c>
      <c r="X133">
        <f>[1]!XLSTAT_PDFWeibull(W133,10,5)</f>
        <v>3.3294593098168666E-9</v>
      </c>
      <c r="Y133">
        <v>133</v>
      </c>
      <c r="AA133">
        <f t="shared" si="20"/>
        <v>0.52913166332665007</v>
      </c>
      <c r="AB133">
        <f>[1]!XLSTAT_PDFWeibull(AA133,10,5)</f>
        <v>3.3294593098168666E-9</v>
      </c>
    </row>
    <row r="134" spans="1:28" x14ac:dyDescent="0.3">
      <c r="A134">
        <v>134</v>
      </c>
      <c r="C134">
        <f t="shared" si="14"/>
        <v>-1.8677354709418852</v>
      </c>
      <c r="D134">
        <f>[1]!XLSTAT_PDFNormal(C134,0,1)</f>
        <v>6.9727783307189081E-2</v>
      </c>
      <c r="E134">
        <v>134</v>
      </c>
      <c r="G134">
        <f t="shared" si="15"/>
        <v>0.53313947895791247</v>
      </c>
      <c r="H134">
        <f>[1]!XLSTAT_PDFWeibull(G134,1)</f>
        <v>0.5867599544701616</v>
      </c>
      <c r="I134">
        <v>134</v>
      </c>
      <c r="K134">
        <f t="shared" si="16"/>
        <v>0.53313947895791247</v>
      </c>
      <c r="L134">
        <f>[1]!XLSTAT_PDFWeibull(K134,1,1)</f>
        <v>0.5867599544701616</v>
      </c>
      <c r="M134">
        <v>134</v>
      </c>
      <c r="O134">
        <f t="shared" si="17"/>
        <v>0.53313947895791247</v>
      </c>
      <c r="P134">
        <f>[1]!XLSTAT_PDFWeibull(O134,5,1)</f>
        <v>0.38692523044468075</v>
      </c>
      <c r="Q134">
        <v>134</v>
      </c>
      <c r="S134">
        <f t="shared" si="18"/>
        <v>0.53313947895791247</v>
      </c>
      <c r="T134">
        <f>[1]!XLSTAT_PDFWeibull(S134,10,1)</f>
        <v>3.4734564084896238E-2</v>
      </c>
      <c r="U134">
        <v>134</v>
      </c>
      <c r="W134">
        <f t="shared" si="19"/>
        <v>0.53313947895791247</v>
      </c>
      <c r="X134">
        <f>[1]!XLSTAT_PDFWeibull(W134,10,5)</f>
        <v>3.5634243669378997E-9</v>
      </c>
      <c r="Y134">
        <v>134</v>
      </c>
      <c r="AA134">
        <f t="shared" si="20"/>
        <v>0.53313947895791247</v>
      </c>
      <c r="AB134">
        <f>[1]!XLSTAT_PDFWeibull(AA134,10,5)</f>
        <v>3.5634243669378997E-9</v>
      </c>
    </row>
    <row r="135" spans="1:28" x14ac:dyDescent="0.3">
      <c r="A135">
        <v>135</v>
      </c>
      <c r="C135">
        <f t="shared" si="14"/>
        <v>-1.8517034068136287</v>
      </c>
      <c r="D135">
        <f>[1]!XLSTAT_PDFNormal(C135,0,1)</f>
        <v>7.1838029339514678E-2</v>
      </c>
      <c r="E135">
        <v>135</v>
      </c>
      <c r="G135">
        <f t="shared" si="15"/>
        <v>0.53714729458917498</v>
      </c>
      <c r="H135">
        <f>[1]!XLSTAT_PDFWeibull(G135,1)</f>
        <v>0.5844130349047626</v>
      </c>
      <c r="I135">
        <v>135</v>
      </c>
      <c r="K135">
        <f t="shared" si="16"/>
        <v>0.53714729458917498</v>
      </c>
      <c r="L135">
        <f>[1]!XLSTAT_PDFWeibull(K135,1,1)</f>
        <v>0.5844130349047626</v>
      </c>
      <c r="M135">
        <v>135</v>
      </c>
      <c r="O135">
        <f t="shared" si="17"/>
        <v>0.53714729458917498</v>
      </c>
      <c r="P135">
        <f>[1]!XLSTAT_PDFWeibull(O135,5,1)</f>
        <v>0.39803703590036915</v>
      </c>
      <c r="Q135">
        <v>135</v>
      </c>
      <c r="S135">
        <f t="shared" si="18"/>
        <v>0.53714729458917498</v>
      </c>
      <c r="T135">
        <f>[1]!XLSTAT_PDFWeibull(S135,10,1)</f>
        <v>3.7151139364018766E-2</v>
      </c>
      <c r="U135">
        <v>135</v>
      </c>
      <c r="W135">
        <f t="shared" si="19"/>
        <v>0.53714729458917498</v>
      </c>
      <c r="X135">
        <f>[1]!XLSTAT_PDFWeibull(W135,10,5)</f>
        <v>3.8118911508215629E-9</v>
      </c>
      <c r="Y135">
        <v>135</v>
      </c>
      <c r="AA135">
        <f t="shared" si="20"/>
        <v>0.53714729458917498</v>
      </c>
      <c r="AB135">
        <f>[1]!XLSTAT_PDFWeibull(AA135,10,5)</f>
        <v>3.8118911508215629E-9</v>
      </c>
    </row>
    <row r="136" spans="1:28" x14ac:dyDescent="0.3">
      <c r="A136">
        <v>136</v>
      </c>
      <c r="C136">
        <f t="shared" si="14"/>
        <v>-1.8356713426853721</v>
      </c>
      <c r="D136">
        <f>[1]!XLSTAT_PDFNormal(C136,0,1)</f>
        <v>7.399311931115099E-2</v>
      </c>
      <c r="E136">
        <v>136</v>
      </c>
      <c r="G136">
        <f t="shared" si="15"/>
        <v>0.5411551102204375</v>
      </c>
      <c r="H136">
        <f>[1]!XLSTAT_PDFWeibull(G136,1)</f>
        <v>0.58207550253663987</v>
      </c>
      <c r="I136">
        <v>136</v>
      </c>
      <c r="K136">
        <f t="shared" si="16"/>
        <v>0.5411551102204375</v>
      </c>
      <c r="L136">
        <f>[1]!XLSTAT_PDFWeibull(K136,1,1)</f>
        <v>0.58207550253663987</v>
      </c>
      <c r="M136">
        <v>136</v>
      </c>
      <c r="O136">
        <f t="shared" si="17"/>
        <v>0.5411551102204375</v>
      </c>
      <c r="P136">
        <f>[1]!XLSTAT_PDFWeibull(O136,5,1)</f>
        <v>0.4093563962419578</v>
      </c>
      <c r="Q136">
        <v>136</v>
      </c>
      <c r="S136">
        <f t="shared" si="18"/>
        <v>0.5411551102204375</v>
      </c>
      <c r="T136">
        <f>[1]!XLSTAT_PDFWeibull(S136,10,1)</f>
        <v>3.9715539406089767E-2</v>
      </c>
      <c r="U136">
        <v>136</v>
      </c>
      <c r="W136">
        <f t="shared" si="19"/>
        <v>0.5411551102204375</v>
      </c>
      <c r="X136">
        <f>[1]!XLSTAT_PDFWeibull(W136,10,5)</f>
        <v>4.0756401490783726E-9</v>
      </c>
      <c r="Y136">
        <v>136</v>
      </c>
      <c r="AA136">
        <f t="shared" si="20"/>
        <v>0.5411551102204375</v>
      </c>
      <c r="AB136">
        <f>[1]!XLSTAT_PDFWeibull(AA136,10,5)</f>
        <v>4.0756401490783726E-9</v>
      </c>
    </row>
    <row r="137" spans="1:28" x14ac:dyDescent="0.3">
      <c r="A137">
        <v>137</v>
      </c>
      <c r="C137">
        <f t="shared" si="14"/>
        <v>-1.8196392785571156</v>
      </c>
      <c r="D137">
        <f>[1]!XLSTAT_PDFNormal(C137,0,1)</f>
        <v>7.6193274202925029E-2</v>
      </c>
      <c r="E137">
        <v>137</v>
      </c>
      <c r="G137">
        <f t="shared" si="15"/>
        <v>0.54516292585170001</v>
      </c>
      <c r="H137">
        <f>[1]!XLSTAT_PDFWeibull(G137,1)</f>
        <v>0.57974731981892824</v>
      </c>
      <c r="I137">
        <v>137</v>
      </c>
      <c r="K137">
        <f t="shared" si="16"/>
        <v>0.54516292585170001</v>
      </c>
      <c r="L137">
        <f>[1]!XLSTAT_PDFWeibull(K137,1,1)</f>
        <v>0.57974731981892824</v>
      </c>
      <c r="M137">
        <v>137</v>
      </c>
      <c r="O137">
        <f t="shared" si="17"/>
        <v>0.54516292585170001</v>
      </c>
      <c r="P137">
        <f>[1]!XLSTAT_PDFWeibull(O137,5,1)</f>
        <v>0.42088386907473985</v>
      </c>
      <c r="Q137">
        <v>137</v>
      </c>
      <c r="S137">
        <f t="shared" si="18"/>
        <v>0.54516292585170001</v>
      </c>
      <c r="T137">
        <f>[1]!XLSTAT_PDFWeibull(S137,10,1)</f>
        <v>4.2435544745075826E-2</v>
      </c>
      <c r="U137">
        <v>137</v>
      </c>
      <c r="W137">
        <f t="shared" si="19"/>
        <v>0.54516292585170001</v>
      </c>
      <c r="X137">
        <f>[1]!XLSTAT_PDFWeibull(W137,10,5)</f>
        <v>4.3554875815578832E-9</v>
      </c>
      <c r="Y137">
        <v>137</v>
      </c>
      <c r="AA137">
        <f t="shared" si="20"/>
        <v>0.54516292585170001</v>
      </c>
      <c r="AB137">
        <f>[1]!XLSTAT_PDFWeibull(AA137,10,5)</f>
        <v>4.3554875815578832E-9</v>
      </c>
    </row>
    <row r="138" spans="1:28" x14ac:dyDescent="0.3">
      <c r="A138">
        <v>138</v>
      </c>
      <c r="C138">
        <f t="shared" si="14"/>
        <v>-1.8036072144288595</v>
      </c>
      <c r="D138">
        <f>[1]!XLSTAT_PDFNormal(C138,0,1)</f>
        <v>7.8438686335484786E-2</v>
      </c>
      <c r="E138">
        <v>138</v>
      </c>
      <c r="G138">
        <f t="shared" si="15"/>
        <v>0.54917074148296252</v>
      </c>
      <c r="H138">
        <f>[1]!XLSTAT_PDFWeibull(G138,1)</f>
        <v>0.5774284493549422</v>
      </c>
      <c r="I138">
        <v>138</v>
      </c>
      <c r="K138">
        <f t="shared" si="16"/>
        <v>0.54917074148296252</v>
      </c>
      <c r="L138">
        <f>[1]!XLSTAT_PDFWeibull(K138,1,1)</f>
        <v>0.5774284493549422</v>
      </c>
      <c r="M138">
        <v>138</v>
      </c>
      <c r="O138">
        <f t="shared" si="17"/>
        <v>0.54917074148296252</v>
      </c>
      <c r="P138">
        <f>[1]!XLSTAT_PDFWeibull(O138,5,1)</f>
        <v>0.43261989334745249</v>
      </c>
      <c r="Q138">
        <v>138</v>
      </c>
      <c r="S138">
        <f t="shared" si="18"/>
        <v>0.54917074148296252</v>
      </c>
      <c r="T138">
        <f>[1]!XLSTAT_PDFWeibull(S138,10,1)</f>
        <v>4.5319274196811754E-2</v>
      </c>
      <c r="U138">
        <v>138</v>
      </c>
      <c r="W138">
        <f t="shared" si="19"/>
        <v>0.54917074148296252</v>
      </c>
      <c r="X138">
        <f>[1]!XLSTAT_PDFWeibull(W138,10,5)</f>
        <v>4.6522867533327128E-9</v>
      </c>
      <c r="Y138">
        <v>138</v>
      </c>
      <c r="AA138">
        <f t="shared" si="20"/>
        <v>0.54917074148296252</v>
      </c>
      <c r="AB138">
        <f>[1]!XLSTAT_PDFWeibull(AA138,10,5)</f>
        <v>4.6522867533327128E-9</v>
      </c>
    </row>
    <row r="139" spans="1:28" x14ac:dyDescent="0.3">
      <c r="A139">
        <v>139</v>
      </c>
      <c r="C139">
        <f t="shared" si="14"/>
        <v>-1.787575150300603</v>
      </c>
      <c r="D139">
        <f>[1]!XLSTAT_PDFNormal(C139,0,1)</f>
        <v>8.072951831656193E-2</v>
      </c>
      <c r="E139">
        <v>139</v>
      </c>
      <c r="G139">
        <f t="shared" si="15"/>
        <v>0.55317855711422503</v>
      </c>
      <c r="H139">
        <f>[1]!XLSTAT_PDFWeibull(G139,1)</f>
        <v>0.57511885389757522</v>
      </c>
      <c r="I139">
        <v>139</v>
      </c>
      <c r="K139">
        <f t="shared" si="16"/>
        <v>0.55317855711422503</v>
      </c>
      <c r="L139">
        <f>[1]!XLSTAT_PDFWeibull(K139,1,1)</f>
        <v>0.57511885389757522</v>
      </c>
      <c r="M139">
        <v>139</v>
      </c>
      <c r="O139">
        <f t="shared" si="17"/>
        <v>0.55317855711422503</v>
      </c>
      <c r="P139">
        <f>[1]!XLSTAT_PDFWeibull(O139,5,1)</f>
        <v>0.44456478488032075</v>
      </c>
      <c r="Q139">
        <v>139</v>
      </c>
      <c r="S139">
        <f t="shared" si="18"/>
        <v>0.55317855711422503</v>
      </c>
      <c r="T139">
        <f>[1]!XLSTAT_PDFWeibull(S139,10,1)</f>
        <v>4.8375195688556326E-2</v>
      </c>
      <c r="U139">
        <v>139</v>
      </c>
      <c r="W139">
        <f t="shared" si="19"/>
        <v>0.55317855711422503</v>
      </c>
      <c r="X139">
        <f>[1]!XLSTAT_PDFWeibull(W139,10,5)</f>
        <v>4.9669294483608421E-9</v>
      </c>
      <c r="Y139">
        <v>139</v>
      </c>
      <c r="AA139">
        <f t="shared" si="20"/>
        <v>0.55317855711422503</v>
      </c>
      <c r="AB139">
        <f>[1]!XLSTAT_PDFWeibull(AA139,10,5)</f>
        <v>4.9669294483608421E-9</v>
      </c>
    </row>
    <row r="140" spans="1:28" x14ac:dyDescent="0.3">
      <c r="A140">
        <v>140</v>
      </c>
      <c r="C140">
        <f t="shared" si="14"/>
        <v>-1.7715430861723465</v>
      </c>
      <c r="D140">
        <f>[1]!XLSTAT_PDFNormal(C140,0,1)</f>
        <v>8.306590199581261E-2</v>
      </c>
      <c r="E140">
        <v>140</v>
      </c>
      <c r="G140">
        <f t="shared" si="15"/>
        <v>0.55718637274548755</v>
      </c>
      <c r="H140">
        <f>[1]!XLSTAT_PDFWeibull(G140,1)</f>
        <v>0.57281849634870174</v>
      </c>
      <c r="I140">
        <v>140</v>
      </c>
      <c r="K140">
        <f t="shared" si="16"/>
        <v>0.55718637274548755</v>
      </c>
      <c r="L140">
        <f>[1]!XLSTAT_PDFWeibull(K140,1,1)</f>
        <v>0.57281849634870174</v>
      </c>
      <c r="M140">
        <v>140</v>
      </c>
      <c r="O140">
        <f t="shared" si="17"/>
        <v>0.55718637274548755</v>
      </c>
      <c r="P140">
        <f>[1]!XLSTAT_PDFWeibull(O140,5,1)</f>
        <v>0.45671873184101414</v>
      </c>
      <c r="Q140">
        <v>140</v>
      </c>
      <c r="S140">
        <f t="shared" si="18"/>
        <v>0.55718637274548755</v>
      </c>
      <c r="T140">
        <f>[1]!XLSTAT_PDFWeibull(S140,10,1)</f>
        <v>5.1612137196066242E-2</v>
      </c>
      <c r="U140">
        <v>140</v>
      </c>
      <c r="W140">
        <f t="shared" si="19"/>
        <v>0.55718637274548755</v>
      </c>
      <c r="X140">
        <f>[1]!XLSTAT_PDFWeibull(W140,10,5)</f>
        <v>5.3003473647360177E-9</v>
      </c>
      <c r="Y140">
        <v>140</v>
      </c>
      <c r="AA140">
        <f t="shared" si="20"/>
        <v>0.55718637274548755</v>
      </c>
      <c r="AB140">
        <f>[1]!XLSTAT_PDFWeibull(AA140,10,5)</f>
        <v>5.3003473647360177E-9</v>
      </c>
    </row>
    <row r="141" spans="1:28" x14ac:dyDescent="0.3">
      <c r="A141">
        <v>141</v>
      </c>
      <c r="C141">
        <f t="shared" si="14"/>
        <v>-1.7555110220440899</v>
      </c>
      <c r="D141">
        <f>[1]!XLSTAT_PDFNormal(C141,0,1)</f>
        <v>8.5447937429095192E-2</v>
      </c>
      <c r="E141">
        <v>141</v>
      </c>
      <c r="G141">
        <f t="shared" si="15"/>
        <v>0.56119418837675006</v>
      </c>
      <c r="H141">
        <f>[1]!XLSTAT_PDFWeibull(G141,1)</f>
        <v>0.57052733975858116</v>
      </c>
      <c r="I141">
        <v>141</v>
      </c>
      <c r="K141">
        <f t="shared" si="16"/>
        <v>0.56119418837675006</v>
      </c>
      <c r="L141">
        <f>[1]!XLSTAT_PDFWeibull(K141,1,1)</f>
        <v>0.57052733975858116</v>
      </c>
      <c r="M141">
        <v>141</v>
      </c>
      <c r="O141">
        <f t="shared" si="17"/>
        <v>0.56119418837675006</v>
      </c>
      <c r="P141">
        <f>[1]!XLSTAT_PDFWeibull(O141,5,1)</f>
        <v>0.46908179017222268</v>
      </c>
      <c r="Q141">
        <v>141</v>
      </c>
      <c r="S141">
        <f t="shared" si="18"/>
        <v>0.56119418837675006</v>
      </c>
      <c r="T141">
        <f>[1]!XLSTAT_PDFWeibull(S141,10,1)</f>
        <v>5.5039297767901445E-2</v>
      </c>
      <c r="U141">
        <v>141</v>
      </c>
      <c r="W141">
        <f t="shared" si="19"/>
        <v>0.56119418837675006</v>
      </c>
      <c r="X141">
        <f>[1]!XLSTAT_PDFWeibull(W141,10,5)</f>
        <v>5.6535135924506685E-9</v>
      </c>
      <c r="Y141">
        <v>141</v>
      </c>
      <c r="AA141">
        <f t="shared" si="20"/>
        <v>0.56119418837675006</v>
      </c>
      <c r="AB141">
        <f>[1]!XLSTAT_PDFWeibull(AA141,10,5)</f>
        <v>5.6535135924506685E-9</v>
      </c>
    </row>
    <row r="142" spans="1:28" x14ac:dyDescent="0.3">
      <c r="A142">
        <v>142</v>
      </c>
      <c r="C142">
        <f t="shared" si="14"/>
        <v>-1.7394789579158334</v>
      </c>
      <c r="D142">
        <f>[1]!XLSTAT_PDFNormal(C142,0,1)</f>
        <v>8.787569185408016E-2</v>
      </c>
      <c r="E142">
        <v>142</v>
      </c>
      <c r="G142">
        <f t="shared" si="15"/>
        <v>0.56520200400801257</v>
      </c>
      <c r="H142">
        <f>[1]!XLSTAT_PDFWeibull(G142,1)</f>
        <v>0.56824534732526388</v>
      </c>
      <c r="I142">
        <v>142</v>
      </c>
      <c r="K142">
        <f t="shared" si="16"/>
        <v>0.56520200400801257</v>
      </c>
      <c r="L142">
        <f>[1]!XLSTAT_PDFWeibull(K142,1,1)</f>
        <v>0.56824534732526388</v>
      </c>
      <c r="M142">
        <v>142</v>
      </c>
      <c r="O142">
        <f t="shared" si="17"/>
        <v>0.56520200400801257</v>
      </c>
      <c r="P142">
        <f>[1]!XLSTAT_PDFWeibull(O142,5,1)</f>
        <v>0.48165387897484496</v>
      </c>
      <c r="Q142">
        <v>142</v>
      </c>
      <c r="S142">
        <f t="shared" si="18"/>
        <v>0.56520200400801257</v>
      </c>
      <c r="T142">
        <f>[1]!XLSTAT_PDFWeibull(S142,10,1)</f>
        <v>5.8666258614219029E-2</v>
      </c>
      <c r="U142">
        <v>142</v>
      </c>
      <c r="W142">
        <f t="shared" si="19"/>
        <v>0.56520200400801257</v>
      </c>
      <c r="X142">
        <f>[1]!XLSTAT_PDFWeibull(W142,10,5)</f>
        <v>6.0274441346087174E-9</v>
      </c>
      <c r="Y142">
        <v>142</v>
      </c>
      <c r="AA142">
        <f t="shared" si="20"/>
        <v>0.56520200400801257</v>
      </c>
      <c r="AB142">
        <f>[1]!XLSTAT_PDFWeibull(AA142,10,5)</f>
        <v>6.0274441346087174E-9</v>
      </c>
    </row>
    <row r="143" spans="1:28" x14ac:dyDescent="0.3">
      <c r="A143">
        <v>143</v>
      </c>
      <c r="C143">
        <f t="shared" si="14"/>
        <v>-1.7234468937875769</v>
      </c>
      <c r="D143">
        <f>[1]!XLSTAT_PDFNormal(C143,0,1)</f>
        <v>9.0349198679121973E-2</v>
      </c>
      <c r="E143">
        <v>143</v>
      </c>
      <c r="G143">
        <f t="shared" si="15"/>
        <v>0.56920981963927497</v>
      </c>
      <c r="H143">
        <f>[1]!XLSTAT_PDFWeibull(G143,1)</f>
        <v>0.56597248239400111</v>
      </c>
      <c r="I143">
        <v>143</v>
      </c>
      <c r="K143">
        <f t="shared" si="16"/>
        <v>0.56920981963927497</v>
      </c>
      <c r="L143">
        <f>[1]!XLSTAT_PDFWeibull(K143,1,1)</f>
        <v>0.56597248239400111</v>
      </c>
      <c r="M143">
        <v>143</v>
      </c>
      <c r="O143">
        <f t="shared" si="17"/>
        <v>0.56920981963927497</v>
      </c>
      <c r="P143">
        <f>[1]!XLSTAT_PDFWeibull(O143,5,1)</f>
        <v>0.49443477585107032</v>
      </c>
      <c r="Q143">
        <v>143</v>
      </c>
      <c r="S143">
        <f t="shared" si="18"/>
        <v>0.56920981963927497</v>
      </c>
      <c r="T143">
        <f>[1]!XLSTAT_PDFWeibull(S143,10,1)</f>
        <v>6.2502994234658299E-2</v>
      </c>
      <c r="U143">
        <v>143</v>
      </c>
      <c r="W143">
        <f t="shared" si="19"/>
        <v>0.56920981963927497</v>
      </c>
      <c r="X143">
        <f>[1]!XLSTAT_PDFWeibull(W143,10,5)</f>
        <v>6.423199473039262E-9</v>
      </c>
      <c r="Y143">
        <v>143</v>
      </c>
      <c r="AA143">
        <f t="shared" si="20"/>
        <v>0.56920981963927497</v>
      </c>
      <c r="AB143">
        <f>[1]!XLSTAT_PDFWeibull(AA143,10,5)</f>
        <v>6.423199473039262E-9</v>
      </c>
    </row>
    <row r="144" spans="1:28" x14ac:dyDescent="0.3">
      <c r="A144">
        <v>144</v>
      </c>
      <c r="C144">
        <f t="shared" si="14"/>
        <v>-1.7074148296593203</v>
      </c>
      <c r="D144">
        <f>[1]!XLSTAT_PDFNormal(C144,0,1)</f>
        <v>9.2868456487354936E-2</v>
      </c>
      <c r="E144">
        <v>144</v>
      </c>
      <c r="G144">
        <f t="shared" si="15"/>
        <v>0.57321763527053748</v>
      </c>
      <c r="H144">
        <f>[1]!XLSTAT_PDFWeibull(G144,1)</f>
        <v>0.56370870845665511</v>
      </c>
      <c r="I144">
        <v>144</v>
      </c>
      <c r="K144">
        <f t="shared" si="16"/>
        <v>0.57321763527053748</v>
      </c>
      <c r="L144">
        <f>[1]!XLSTAT_PDFWeibull(K144,1,1)</f>
        <v>0.56370870845665511</v>
      </c>
      <c r="M144">
        <v>144</v>
      </c>
      <c r="O144">
        <f t="shared" si="17"/>
        <v>0.57321763527053748</v>
      </c>
      <c r="P144">
        <f>[1]!XLSTAT_PDFWeibull(O144,5,1)</f>
        <v>0.50742411221193129</v>
      </c>
      <c r="Q144">
        <v>144</v>
      </c>
      <c r="S144">
        <f t="shared" si="18"/>
        <v>0.57321763527053748</v>
      </c>
      <c r="T144">
        <f>[1]!XLSTAT_PDFWeibull(S144,10,1)</f>
        <v>6.6559883557051835E-2</v>
      </c>
      <c r="U144">
        <v>144</v>
      </c>
      <c r="W144">
        <f t="shared" si="19"/>
        <v>0.57321763527053748</v>
      </c>
      <c r="X144">
        <f>[1]!XLSTAT_PDFWeibull(W144,10,5)</f>
        <v>6.8418861792763838E-9</v>
      </c>
      <c r="Y144">
        <v>144</v>
      </c>
      <c r="AA144">
        <f t="shared" si="20"/>
        <v>0.57321763527053748</v>
      </c>
      <c r="AB144">
        <f>[1]!XLSTAT_PDFWeibull(AA144,10,5)</f>
        <v>6.8418861792763838E-9</v>
      </c>
    </row>
    <row r="145" spans="1:28" x14ac:dyDescent="0.3">
      <c r="A145">
        <v>145</v>
      </c>
      <c r="C145">
        <f t="shared" si="14"/>
        <v>-1.6913827655310638</v>
      </c>
      <c r="D145">
        <f>[1]!XLSTAT_PDFNormal(C145,0,1)</f>
        <v>9.5433428058001882E-2</v>
      </c>
      <c r="E145">
        <v>145</v>
      </c>
      <c r="G145">
        <f t="shared" si="15"/>
        <v>0.5772254509018</v>
      </c>
      <c r="H145">
        <f>[1]!XLSTAT_PDFWeibull(G145,1)</f>
        <v>0.56145398915111322</v>
      </c>
      <c r="I145">
        <v>145</v>
      </c>
      <c r="K145">
        <f t="shared" si="16"/>
        <v>0.5772254509018</v>
      </c>
      <c r="L145">
        <f>[1]!XLSTAT_PDFWeibull(K145,1,1)</f>
        <v>0.56145398915111322</v>
      </c>
      <c r="M145">
        <v>145</v>
      </c>
      <c r="O145">
        <f t="shared" si="17"/>
        <v>0.5772254509018</v>
      </c>
      <c r="P145">
        <f>[1]!XLSTAT_PDFWeibull(O145,5,1)</f>
        <v>0.52062136855420982</v>
      </c>
      <c r="Q145">
        <v>145</v>
      </c>
      <c r="S145">
        <f t="shared" si="18"/>
        <v>0.5772254509018</v>
      </c>
      <c r="T145">
        <f>[1]!XLSTAT_PDFWeibull(S145,10,1)</f>
        <v>7.0847721055608215E-2</v>
      </c>
      <c r="U145">
        <v>145</v>
      </c>
      <c r="W145">
        <f t="shared" si="19"/>
        <v>0.5772254509018</v>
      </c>
      <c r="X145">
        <f>[1]!XLSTAT_PDFWeibull(W145,10,5)</f>
        <v>7.2846585718839365E-9</v>
      </c>
      <c r="Y145">
        <v>145</v>
      </c>
      <c r="AA145">
        <f t="shared" si="20"/>
        <v>0.5772254509018</v>
      </c>
      <c r="AB145">
        <f>[1]!XLSTAT_PDFWeibull(AA145,10,5)</f>
        <v>7.2846585718839365E-9</v>
      </c>
    </row>
    <row r="146" spans="1:28" x14ac:dyDescent="0.3">
      <c r="A146">
        <v>146</v>
      </c>
      <c r="C146">
        <f t="shared" si="14"/>
        <v>-1.6753507014028073</v>
      </c>
      <c r="D146">
        <f>[1]!XLSTAT_PDFNormal(C146,0,1)</f>
        <v>9.8044039406910768E-2</v>
      </c>
      <c r="E146">
        <v>146</v>
      </c>
      <c r="G146">
        <f t="shared" si="15"/>
        <v>0.58123326653306251</v>
      </c>
      <c r="H146">
        <f>[1]!XLSTAT_PDFWeibull(G146,1)</f>
        <v>0.55920828826070412</v>
      </c>
      <c r="I146">
        <v>146</v>
      </c>
      <c r="K146">
        <f t="shared" si="16"/>
        <v>0.58123326653306251</v>
      </c>
      <c r="L146">
        <f>[1]!XLSTAT_PDFWeibull(K146,1,1)</f>
        <v>0.55920828826070412</v>
      </c>
      <c r="M146">
        <v>146</v>
      </c>
      <c r="O146">
        <f t="shared" si="17"/>
        <v>0.58123326653306251</v>
      </c>
      <c r="P146">
        <f>[1]!XLSTAT_PDFWeibull(O146,5,1)</f>
        <v>0.53402586971189558</v>
      </c>
      <c r="Q146">
        <v>146</v>
      </c>
      <c r="S146">
        <f t="shared" si="18"/>
        <v>0.58123326653306251</v>
      </c>
      <c r="T146">
        <f>[1]!XLSTAT_PDFWeibull(S146,10,1)</f>
        <v>7.5377727813884826E-2</v>
      </c>
      <c r="U146">
        <v>146</v>
      </c>
      <c r="W146">
        <f t="shared" si="19"/>
        <v>0.58123326653306251</v>
      </c>
      <c r="X146">
        <f>[1]!XLSTAT_PDFWeibull(W146,10,5)</f>
        <v>7.7527204211179841E-9</v>
      </c>
      <c r="Y146">
        <v>146</v>
      </c>
      <c r="AA146">
        <f t="shared" si="20"/>
        <v>0.58123326653306251</v>
      </c>
      <c r="AB146">
        <f>[1]!XLSTAT_PDFWeibull(AA146,10,5)</f>
        <v>7.7527204211179841E-9</v>
      </c>
    </row>
    <row r="147" spans="1:28" x14ac:dyDescent="0.3">
      <c r="A147">
        <v>147</v>
      </c>
      <c r="C147">
        <f t="shared" si="14"/>
        <v>-1.6593186372745508</v>
      </c>
      <c r="D147">
        <f>[1]!XLSTAT_PDFNormal(C147,0,1)</f>
        <v>0.10070017884835473</v>
      </c>
      <c r="E147">
        <v>147</v>
      </c>
      <c r="G147">
        <f t="shared" si="15"/>
        <v>0.58524108216432502</v>
      </c>
      <c r="H147">
        <f>[1]!XLSTAT_PDFWeibull(G147,1)</f>
        <v>0.55697156971361539</v>
      </c>
      <c r="I147">
        <v>147</v>
      </c>
      <c r="K147">
        <f t="shared" si="16"/>
        <v>0.58524108216432502</v>
      </c>
      <c r="L147">
        <f>[1]!XLSTAT_PDFWeibull(K147,1,1)</f>
        <v>0.55697156971361539</v>
      </c>
      <c r="M147">
        <v>147</v>
      </c>
      <c r="O147">
        <f t="shared" si="17"/>
        <v>0.58524108216432502</v>
      </c>
      <c r="P147">
        <f>[1]!XLSTAT_PDFWeibull(O147,5,1)</f>
        <v>0.54763678008770722</v>
      </c>
      <c r="Q147">
        <v>147</v>
      </c>
      <c r="S147">
        <f t="shared" si="18"/>
        <v>0.58524108216432502</v>
      </c>
      <c r="T147">
        <f>[1]!XLSTAT_PDFWeibull(S147,10,1)</f>
        <v>8.0161562494286687E-2</v>
      </c>
      <c r="U147">
        <v>147</v>
      </c>
      <c r="W147">
        <f t="shared" si="19"/>
        <v>0.58524108216432502</v>
      </c>
      <c r="X147">
        <f>[1]!XLSTAT_PDFWeibull(W147,10,5)</f>
        <v>8.2473267019339459E-9</v>
      </c>
      <c r="Y147">
        <v>147</v>
      </c>
      <c r="AA147">
        <f t="shared" si="20"/>
        <v>0.58524108216432502</v>
      </c>
      <c r="AB147">
        <f>[1]!XLSTAT_PDFWeibull(AA147,10,5)</f>
        <v>8.2473267019339459E-9</v>
      </c>
    </row>
    <row r="148" spans="1:28" x14ac:dyDescent="0.3">
      <c r="A148">
        <v>148</v>
      </c>
      <c r="C148">
        <f t="shared" si="14"/>
        <v>-1.6432865731462942</v>
      </c>
      <c r="D148">
        <f>[1]!XLSTAT_PDFNormal(C148,0,1)</f>
        <v>0.10340169608014908</v>
      </c>
      <c r="E148">
        <v>148</v>
      </c>
      <c r="G148">
        <f t="shared" si="15"/>
        <v>0.58924889779558753</v>
      </c>
      <c r="H148">
        <f>[1]!XLSTAT_PDFWeibull(G148,1)</f>
        <v>0.55474379758231473</v>
      </c>
      <c r="I148">
        <v>148</v>
      </c>
      <c r="K148">
        <f t="shared" si="16"/>
        <v>0.58924889779558753</v>
      </c>
      <c r="L148">
        <f>[1]!XLSTAT_PDFWeibull(K148,1,1)</f>
        <v>0.55474379758231473</v>
      </c>
      <c r="M148">
        <v>148</v>
      </c>
      <c r="O148">
        <f t="shared" si="17"/>
        <v>0.58924889779558753</v>
      </c>
      <c r="P148">
        <f>[1]!XLSTAT_PDFWeibull(O148,5,1)</f>
        <v>0.56145309887052242</v>
      </c>
      <c r="Q148">
        <v>148</v>
      </c>
      <c r="S148">
        <f t="shared" si="18"/>
        <v>0.58924889779558753</v>
      </c>
      <c r="T148">
        <f>[1]!XLSTAT_PDFWeibull(S148,10,1)</f>
        <v>8.5211332171987439E-2</v>
      </c>
      <c r="U148">
        <v>148</v>
      </c>
      <c r="W148">
        <f t="shared" si="19"/>
        <v>0.58924889779558753</v>
      </c>
      <c r="X148">
        <f>[1]!XLSTAT_PDFWeibull(W148,10,5)</f>
        <v>8.76978539635926E-9</v>
      </c>
      <c r="Y148">
        <v>148</v>
      </c>
      <c r="AA148">
        <f t="shared" si="20"/>
        <v>0.58924889779558753</v>
      </c>
      <c r="AB148">
        <f>[1]!XLSTAT_PDFWeibull(AA148,10,5)</f>
        <v>8.76978539635926E-9</v>
      </c>
    </row>
    <row r="149" spans="1:28" x14ac:dyDescent="0.3">
      <c r="A149">
        <v>149</v>
      </c>
      <c r="C149">
        <f t="shared" si="14"/>
        <v>-1.6272545090180377</v>
      </c>
      <c r="D149">
        <f>[1]!XLSTAT_PDFNormal(C149,0,1)</f>
        <v>0.10614840129415305</v>
      </c>
      <c r="E149">
        <v>149</v>
      </c>
      <c r="G149">
        <f t="shared" si="15"/>
        <v>0.59325671342685005</v>
      </c>
      <c r="H149">
        <f>[1]!XLSTAT_PDFWeibull(G149,1)</f>
        <v>0.55252493608297237</v>
      </c>
      <c r="I149">
        <v>149</v>
      </c>
      <c r="K149">
        <f t="shared" si="16"/>
        <v>0.59325671342685005</v>
      </c>
      <c r="L149">
        <f>[1]!XLSTAT_PDFWeibull(K149,1,1)</f>
        <v>0.55252493608297237</v>
      </c>
      <c r="M149">
        <v>149</v>
      </c>
      <c r="O149">
        <f t="shared" si="17"/>
        <v>0.59325671342685005</v>
      </c>
      <c r="P149">
        <f>[1]!XLSTAT_PDFWeibull(O149,5,1)</f>
        <v>0.57547365524488614</v>
      </c>
      <c r="Q149">
        <v>149</v>
      </c>
      <c r="S149">
        <f t="shared" si="18"/>
        <v>0.59325671342685005</v>
      </c>
      <c r="T149">
        <f>[1]!XLSTAT_PDFWeibull(S149,10,1)</f>
        <v>9.0539602987040335E-2</v>
      </c>
      <c r="U149">
        <v>149</v>
      </c>
      <c r="W149">
        <f t="shared" si="19"/>
        <v>0.59325671342685005</v>
      </c>
      <c r="X149">
        <f>[1]!XLSTAT_PDFWeibull(W149,10,5)</f>
        <v>9.3214593462679923E-9</v>
      </c>
      <c r="Y149">
        <v>149</v>
      </c>
      <c r="AA149">
        <f t="shared" si="20"/>
        <v>0.59325671342685005</v>
      </c>
      <c r="AB149">
        <f>[1]!XLSTAT_PDFWeibull(AA149,10,5)</f>
        <v>9.3214593462679923E-9</v>
      </c>
    </row>
    <row r="150" spans="1:28" x14ac:dyDescent="0.3">
      <c r="A150">
        <v>150</v>
      </c>
      <c r="C150">
        <f t="shared" si="14"/>
        <v>-1.6112224448897812</v>
      </c>
      <c r="D150">
        <f>[1]!XLSTAT_PDFNormal(C150,0,1)</f>
        <v>0.10894006431423328</v>
      </c>
      <c r="E150">
        <v>150</v>
      </c>
      <c r="G150">
        <f t="shared" si="15"/>
        <v>0.59726452905811256</v>
      </c>
      <c r="H150">
        <f>[1]!XLSTAT_PDFWeibull(G150,1)</f>
        <v>0.5503149495748868</v>
      </c>
      <c r="I150">
        <v>150</v>
      </c>
      <c r="K150">
        <f t="shared" si="16"/>
        <v>0.59726452905811256</v>
      </c>
      <c r="L150">
        <f>[1]!XLSTAT_PDFWeibull(K150,1,1)</f>
        <v>0.5503149495748868</v>
      </c>
      <c r="M150">
        <v>150</v>
      </c>
      <c r="O150">
        <f t="shared" si="17"/>
        <v>0.59726452905811256</v>
      </c>
      <c r="P150">
        <f>[1]!XLSTAT_PDFWeibull(O150,5,1)</f>
        <v>0.58969710359911376</v>
      </c>
      <c r="Q150">
        <v>150</v>
      </c>
      <c r="S150">
        <f t="shared" si="18"/>
        <v>0.59726452905811256</v>
      </c>
      <c r="T150">
        <f>[1]!XLSTAT_PDFWeibull(S150,10,1)</f>
        <v>9.6159410564031073E-2</v>
      </c>
      <c r="U150">
        <v>150</v>
      </c>
      <c r="W150">
        <f t="shared" si="19"/>
        <v>0.59726452905811256</v>
      </c>
      <c r="X150">
        <f>[1]!XLSTAT_PDFWeibull(W150,10,5)</f>
        <v>9.9037681576049863E-9</v>
      </c>
      <c r="Y150">
        <v>150</v>
      </c>
      <c r="AA150">
        <f t="shared" si="20"/>
        <v>0.59726452905811256</v>
      </c>
      <c r="AB150">
        <f>[1]!XLSTAT_PDFWeibull(AA150,10,5)</f>
        <v>9.9037681576049863E-9</v>
      </c>
    </row>
    <row r="151" spans="1:28" x14ac:dyDescent="0.3">
      <c r="A151">
        <v>151</v>
      </c>
      <c r="C151">
        <f t="shared" si="14"/>
        <v>-1.5951903807615246</v>
      </c>
      <c r="D151">
        <f>[1]!XLSTAT_PDFNormal(C151,0,1)</f>
        <v>0.11177641376377277</v>
      </c>
      <c r="E151">
        <v>151</v>
      </c>
      <c r="G151">
        <f t="shared" si="15"/>
        <v>0.60127234468937507</v>
      </c>
      <c r="H151">
        <f>[1]!XLSTAT_PDFWeibull(G151,1)</f>
        <v>0.54811380255991182</v>
      </c>
      <c r="I151">
        <v>151</v>
      </c>
      <c r="K151">
        <f t="shared" si="16"/>
        <v>0.60127234468937507</v>
      </c>
      <c r="L151">
        <f>[1]!XLSTAT_PDFWeibull(K151,1,1)</f>
        <v>0.54811380255991182</v>
      </c>
      <c r="M151">
        <v>151</v>
      </c>
      <c r="O151">
        <f t="shared" si="17"/>
        <v>0.60127234468937507</v>
      </c>
      <c r="P151">
        <f>[1]!XLSTAT_PDFWeibull(O151,5,1)</f>
        <v>0.60412191873884591</v>
      </c>
      <c r="Q151">
        <v>151</v>
      </c>
      <c r="S151">
        <f t="shared" si="18"/>
        <v>0.60127234468937507</v>
      </c>
      <c r="T151">
        <f>[1]!XLSTAT_PDFWeibull(S151,10,1)</f>
        <v>0.1020842701438967</v>
      </c>
      <c r="U151">
        <v>151</v>
      </c>
      <c r="W151">
        <f t="shared" si="19"/>
        <v>0.60127234468937507</v>
      </c>
      <c r="X151">
        <f>[1]!XLSTAT_PDFWeibull(W151,10,5)</f>
        <v>1.0518190157126651E-8</v>
      </c>
      <c r="Y151">
        <v>151</v>
      </c>
      <c r="AA151">
        <f t="shared" si="20"/>
        <v>0.60127234468937507</v>
      </c>
      <c r="AB151">
        <f>[1]!XLSTAT_PDFWeibull(AA151,10,5)</f>
        <v>1.0518190157126651E-8</v>
      </c>
    </row>
    <row r="152" spans="1:28" x14ac:dyDescent="0.3">
      <c r="A152">
        <v>152</v>
      </c>
      <c r="C152">
        <f t="shared" si="14"/>
        <v>-1.5791583166332681</v>
      </c>
      <c r="D152">
        <f>[1]!XLSTAT_PDFNormal(C152,0,1)</f>
        <v>0.11465713626481056</v>
      </c>
      <c r="E152">
        <v>152</v>
      </c>
      <c r="G152">
        <f t="shared" si="15"/>
        <v>0.60528016032063747</v>
      </c>
      <c r="H152">
        <f>[1]!XLSTAT_PDFWeibull(G152,1)</f>
        <v>0.54592145968188666</v>
      </c>
      <c r="I152">
        <v>152</v>
      </c>
      <c r="K152">
        <f t="shared" si="16"/>
        <v>0.60528016032063747</v>
      </c>
      <c r="L152">
        <f>[1]!XLSTAT_PDFWeibull(K152,1,1)</f>
        <v>0.54592145968188666</v>
      </c>
      <c r="M152">
        <v>152</v>
      </c>
      <c r="O152">
        <f t="shared" si="17"/>
        <v>0.60528016032063747</v>
      </c>
      <c r="P152">
        <f>[1]!XLSTAT_PDFWeibull(O152,5,1)</f>
        <v>0.61874639111325958</v>
      </c>
      <c r="Q152">
        <v>152</v>
      </c>
      <c r="S152">
        <f t="shared" si="18"/>
        <v>0.60528016032063747</v>
      </c>
      <c r="T152">
        <f>[1]!XLSTAT_PDFWeibull(S152,10,1)</f>
        <v>0.10832818636748194</v>
      </c>
      <c r="U152">
        <v>152</v>
      </c>
      <c r="W152">
        <f t="shared" si="19"/>
        <v>0.60528016032063747</v>
      </c>
      <c r="X152">
        <f>[1]!XLSTAT_PDFWeibull(W152,10,5)</f>
        <v>1.1166264402734741E-8</v>
      </c>
      <c r="Y152">
        <v>152</v>
      </c>
      <c r="AA152">
        <f t="shared" si="20"/>
        <v>0.60528016032063747</v>
      </c>
      <c r="AB152">
        <f>[1]!XLSTAT_PDFWeibull(AA152,10,5)</f>
        <v>1.1166264402734741E-8</v>
      </c>
    </row>
    <row r="153" spans="1:28" x14ac:dyDescent="0.3">
      <c r="A153">
        <v>153</v>
      </c>
      <c r="C153">
        <f t="shared" si="14"/>
        <v>-1.563126252505012</v>
      </c>
      <c r="D153">
        <f>[1]!XLSTAT_PDFNormal(C153,0,1)</f>
        <v>0.11758187567089441</v>
      </c>
      <c r="E153">
        <v>153</v>
      </c>
      <c r="G153">
        <f t="shared" si="15"/>
        <v>0.60928797595189998</v>
      </c>
      <c r="H153">
        <f>[1]!XLSTAT_PDFWeibull(G153,1)</f>
        <v>0.54373788572606763</v>
      </c>
      <c r="I153">
        <v>153</v>
      </c>
      <c r="K153">
        <f t="shared" si="16"/>
        <v>0.60928797595189998</v>
      </c>
      <c r="L153">
        <f>[1]!XLSTAT_PDFWeibull(K153,1,1)</f>
        <v>0.54373788572606763</v>
      </c>
      <c r="M153">
        <v>153</v>
      </c>
      <c r="O153">
        <f t="shared" si="17"/>
        <v>0.60928797595189998</v>
      </c>
      <c r="P153">
        <f>[1]!XLSTAT_PDFWeibull(O153,5,1)</f>
        <v>0.63356862206149978</v>
      </c>
      <c r="Q153">
        <v>153</v>
      </c>
      <c r="S153">
        <f t="shared" si="18"/>
        <v>0.60928797595189998</v>
      </c>
      <c r="T153">
        <f>[1]!XLSTAT_PDFWeibull(S153,10,1)</f>
        <v>0.11490566264501828</v>
      </c>
      <c r="U153">
        <v>153</v>
      </c>
      <c r="W153">
        <f t="shared" si="19"/>
        <v>0.60928797595189998</v>
      </c>
      <c r="X153">
        <f>[1]!XLSTAT_PDFWeibull(W153,10,5)</f>
        <v>1.1849592748497675E-8</v>
      </c>
      <c r="Y153">
        <v>153</v>
      </c>
      <c r="AA153">
        <f t="shared" si="20"/>
        <v>0.60928797595189998</v>
      </c>
      <c r="AB153">
        <f>[1]!XLSTAT_PDFWeibull(AA153,10,5)</f>
        <v>1.1849592748497675E-8</v>
      </c>
    </row>
    <row r="154" spans="1:28" x14ac:dyDescent="0.3">
      <c r="A154">
        <v>154</v>
      </c>
      <c r="C154">
        <f t="shared" si="14"/>
        <v>-1.5470941883767555</v>
      </c>
      <c r="D154">
        <f>[1]!XLSTAT_PDFNormal(C154,0,1)</f>
        <v>0.12055023233572276</v>
      </c>
      <c r="E154">
        <v>154</v>
      </c>
      <c r="G154">
        <f t="shared" si="15"/>
        <v>0.6132957915831625</v>
      </c>
      <c r="H154">
        <f>[1]!XLSTAT_PDFWeibull(G154,1)</f>
        <v>0.54156304561856317</v>
      </c>
      <c r="I154">
        <v>154</v>
      </c>
      <c r="K154">
        <f t="shared" si="16"/>
        <v>0.6132957915831625</v>
      </c>
      <c r="L154">
        <f>[1]!XLSTAT_PDFWeibull(K154,1,1)</f>
        <v>0.54156304561856317</v>
      </c>
      <c r="M154">
        <v>154</v>
      </c>
      <c r="O154">
        <f t="shared" si="17"/>
        <v>0.6132957915831625</v>
      </c>
      <c r="P154">
        <f>[1]!XLSTAT_PDFWeibull(O154,5,1)</f>
        <v>0.64858651908724618</v>
      </c>
      <c r="Q154">
        <v>154</v>
      </c>
      <c r="S154">
        <f t="shared" si="18"/>
        <v>0.6132957915831625</v>
      </c>
      <c r="T154">
        <f>[1]!XLSTAT_PDFWeibull(S154,10,1)</f>
        <v>0.12183171003996163</v>
      </c>
      <c r="U154">
        <v>154</v>
      </c>
      <c r="W154">
        <f t="shared" si="19"/>
        <v>0.6132957915831625</v>
      </c>
      <c r="X154">
        <f>[1]!XLSTAT_PDFWeibull(W154,10,5)</f>
        <v>1.2569841965468115E-8</v>
      </c>
      <c r="Y154">
        <v>154</v>
      </c>
      <c r="AA154">
        <f t="shared" si="20"/>
        <v>0.6132957915831625</v>
      </c>
      <c r="AB154">
        <f>[1]!XLSTAT_PDFWeibull(AA154,10,5)</f>
        <v>1.2569841965468115E-8</v>
      </c>
    </row>
    <row r="155" spans="1:28" x14ac:dyDescent="0.3">
      <c r="A155">
        <v>155</v>
      </c>
      <c r="C155">
        <f t="shared" si="14"/>
        <v>-1.531062124248499</v>
      </c>
      <c r="D155">
        <f>[1]!XLSTAT_PDFNormal(C155,0,1)</f>
        <v>0.12356176241963922</v>
      </c>
      <c r="E155">
        <v>155</v>
      </c>
      <c r="G155">
        <f t="shared" si="15"/>
        <v>0.61730360721442501</v>
      </c>
      <c r="H155">
        <f>[1]!XLSTAT_PDFWeibull(G155,1)</f>
        <v>0.53939690442576993</v>
      </c>
      <c r="I155">
        <v>155</v>
      </c>
      <c r="K155">
        <f t="shared" si="16"/>
        <v>0.61730360721442501</v>
      </c>
      <c r="L155">
        <f>[1]!XLSTAT_PDFWeibull(K155,1,1)</f>
        <v>0.53939690442576993</v>
      </c>
      <c r="M155">
        <v>155</v>
      </c>
      <c r="O155">
        <f t="shared" si="17"/>
        <v>0.61730360721442501</v>
      </c>
      <c r="P155">
        <f>[1]!XLSTAT_PDFWeibull(O155,5,1)</f>
        <v>0.66379779116969806</v>
      </c>
      <c r="Q155">
        <v>155</v>
      </c>
      <c r="S155">
        <f t="shared" si="18"/>
        <v>0.61730360721442501</v>
      </c>
      <c r="T155">
        <f>[1]!XLSTAT_PDFWeibull(S155,10,1)</f>
        <v>0.12912185558952238</v>
      </c>
      <c r="U155">
        <v>155</v>
      </c>
      <c r="W155">
        <f t="shared" si="19"/>
        <v>0.61730360721442501</v>
      </c>
      <c r="X155">
        <f>[1]!XLSTAT_PDFWeibull(W155,10,5)</f>
        <v>1.3328745919418541E-8</v>
      </c>
      <c r="Y155">
        <v>155</v>
      </c>
      <c r="AA155">
        <f t="shared" si="20"/>
        <v>0.61730360721442501</v>
      </c>
      <c r="AB155">
        <f>[1]!XLSTAT_PDFWeibull(AA155,10,5)</f>
        <v>1.3328745919418541E-8</v>
      </c>
    </row>
    <row r="156" spans="1:28" x14ac:dyDescent="0.3">
      <c r="A156">
        <v>156</v>
      </c>
      <c r="C156">
        <f t="shared" si="14"/>
        <v>-1.5150300601202424</v>
      </c>
      <c r="D156">
        <f>[1]!XLSTAT_PDFNormal(C156,0,1)</f>
        <v>0.12661597723602916</v>
      </c>
      <c r="E156">
        <v>156</v>
      </c>
      <c r="G156">
        <f t="shared" si="15"/>
        <v>0.62131142284568752</v>
      </c>
      <c r="H156">
        <f>[1]!XLSTAT_PDFWeibull(G156,1)</f>
        <v>0.53723942735381192</v>
      </c>
      <c r="I156">
        <v>156</v>
      </c>
      <c r="K156">
        <f t="shared" si="16"/>
        <v>0.62131142284568752</v>
      </c>
      <c r="L156">
        <f>[1]!XLSTAT_PDFWeibull(K156,1,1)</f>
        <v>0.53723942735381192</v>
      </c>
      <c r="M156">
        <v>156</v>
      </c>
      <c r="O156">
        <f t="shared" si="17"/>
        <v>0.62131142284568752</v>
      </c>
      <c r="P156">
        <f>[1]!XLSTAT_PDFWeibull(O156,5,1)</f>
        <v>0.67919994411961959</v>
      </c>
      <c r="Q156">
        <v>156</v>
      </c>
      <c r="S156">
        <f t="shared" si="18"/>
        <v>0.62131142284568752</v>
      </c>
      <c r="T156">
        <f>[1]!XLSTAT_PDFWeibull(S156,10,1)</f>
        <v>0.13679214997772576</v>
      </c>
      <c r="U156">
        <v>156</v>
      </c>
      <c r="W156">
        <f t="shared" si="19"/>
        <v>0.62131142284568752</v>
      </c>
      <c r="X156">
        <f>[1]!XLSTAT_PDFWeibull(W156,10,5)</f>
        <v>1.4128107806634341E-8</v>
      </c>
      <c r="Y156">
        <v>156</v>
      </c>
      <c r="AA156">
        <f t="shared" si="20"/>
        <v>0.62131142284568752</v>
      </c>
      <c r="AB156">
        <f>[1]!XLSTAT_PDFWeibull(AA156,10,5)</f>
        <v>1.4128107806634341E-8</v>
      </c>
    </row>
    <row r="157" spans="1:28" x14ac:dyDescent="0.3">
      <c r="A157">
        <v>157</v>
      </c>
      <c r="C157">
        <f t="shared" si="14"/>
        <v>-1.4989979959919859</v>
      </c>
      <c r="D157">
        <f>[1]!XLSTAT_PDFNormal(C157,0,1)</f>
        <v>0.12971234263964493</v>
      </c>
      <c r="E157">
        <v>157</v>
      </c>
      <c r="G157">
        <f t="shared" si="15"/>
        <v>0.62531923847695003</v>
      </c>
      <c r="H157">
        <f>[1]!XLSTAT_PDFWeibull(G157,1)</f>
        <v>0.53509057974798147</v>
      </c>
      <c r="I157">
        <v>157</v>
      </c>
      <c r="K157">
        <f t="shared" si="16"/>
        <v>0.62531923847695003</v>
      </c>
      <c r="L157">
        <f>[1]!XLSTAT_PDFWeibull(K157,1,1)</f>
        <v>0.53509057974798147</v>
      </c>
      <c r="M157">
        <v>157</v>
      </c>
      <c r="O157">
        <f t="shared" si="17"/>
        <v>0.62531923847695003</v>
      </c>
      <c r="P157">
        <f>[1]!XLSTAT_PDFWeibull(O157,5,1)</f>
        <v>0.69479027598945398</v>
      </c>
      <c r="Q157">
        <v>157</v>
      </c>
      <c r="S157">
        <f t="shared" si="18"/>
        <v>0.62531923847695003</v>
      </c>
      <c r="T157">
        <f>[1]!XLSTAT_PDFWeibull(S157,10,1)</f>
        <v>0.14485917446995475</v>
      </c>
      <c r="U157">
        <v>157</v>
      </c>
      <c r="W157">
        <f t="shared" si="19"/>
        <v>0.62531923847695003</v>
      </c>
      <c r="X157">
        <f>[1]!XLSTAT_PDFWeibull(W157,10,5)</f>
        <v>1.4969802448917004E-8</v>
      </c>
      <c r="Y157">
        <v>157</v>
      </c>
      <c r="AA157">
        <f t="shared" si="20"/>
        <v>0.62531923847695003</v>
      </c>
      <c r="AB157">
        <f>[1]!XLSTAT_PDFWeibull(AA157,10,5)</f>
        <v>1.4969802448917004E-8</v>
      </c>
    </row>
    <row r="158" spans="1:28" x14ac:dyDescent="0.3">
      <c r="A158">
        <v>158</v>
      </c>
      <c r="C158">
        <f t="shared" si="14"/>
        <v>-1.4829659318637294</v>
      </c>
      <c r="D158">
        <f>[1]!XLSTAT_PDFNormal(C158,0,1)</f>
        <v>0.13285027845886205</v>
      </c>
      <c r="E158">
        <v>158</v>
      </c>
      <c r="G158">
        <f t="shared" si="15"/>
        <v>0.62932705410821255</v>
      </c>
      <c r="H158">
        <f>[1]!XLSTAT_PDFWeibull(G158,1)</f>
        <v>0.53295032709218249</v>
      </c>
      <c r="I158">
        <v>158</v>
      </c>
      <c r="K158">
        <f t="shared" si="16"/>
        <v>0.62932705410821255</v>
      </c>
      <c r="L158">
        <f>[1]!XLSTAT_PDFWeibull(K158,1,1)</f>
        <v>0.53295032709218249</v>
      </c>
      <c r="M158">
        <v>158</v>
      </c>
      <c r="O158">
        <f t="shared" si="17"/>
        <v>0.62932705410821255</v>
      </c>
      <c r="P158">
        <f>[1]!XLSTAT_PDFWeibull(O158,5,1)</f>
        <v>0.71056587254688208</v>
      </c>
      <c r="Q158">
        <v>158</v>
      </c>
      <c r="S158">
        <f t="shared" si="18"/>
        <v>0.62932705410821255</v>
      </c>
      <c r="T158">
        <f>[1]!XLSTAT_PDFWeibull(S158,10,1)</f>
        <v>0.15334004701064005</v>
      </c>
      <c r="U158">
        <v>158</v>
      </c>
      <c r="W158">
        <f t="shared" si="19"/>
        <v>0.62932705410821255</v>
      </c>
      <c r="X158">
        <f>[1]!XLSTAT_PDFWeibull(W158,10,5)</f>
        <v>1.5855778648965468E-8</v>
      </c>
      <c r="Y158">
        <v>158</v>
      </c>
      <c r="AA158">
        <f t="shared" si="20"/>
        <v>0.62932705410821255</v>
      </c>
      <c r="AB158">
        <f>[1]!XLSTAT_PDFWeibull(AA158,10,5)</f>
        <v>1.5855778648965468E-8</v>
      </c>
    </row>
    <row r="159" spans="1:28" x14ac:dyDescent="0.3">
      <c r="A159">
        <v>159</v>
      </c>
      <c r="C159">
        <f t="shared" si="14"/>
        <v>-1.4669338677354729</v>
      </c>
      <c r="D159">
        <f>[1]!XLSTAT_PDFNormal(C159,0,1)</f>
        <v>0.13602915797383847</v>
      </c>
      <c r="E159">
        <v>159</v>
      </c>
      <c r="G159">
        <f t="shared" si="15"/>
        <v>0.63333486973947506</v>
      </c>
      <c r="H159">
        <f>[1]!XLSTAT_PDFWeibull(G159,1)</f>
        <v>0.53081863500837645</v>
      </c>
      <c r="I159">
        <v>159</v>
      </c>
      <c r="K159">
        <f t="shared" si="16"/>
        <v>0.63333486973947506</v>
      </c>
      <c r="L159">
        <f>[1]!XLSTAT_PDFWeibull(K159,1,1)</f>
        <v>0.53081863500837645</v>
      </c>
      <c r="M159">
        <v>159</v>
      </c>
      <c r="O159">
        <f t="shared" si="17"/>
        <v>0.63333486973947506</v>
      </c>
      <c r="P159">
        <f>[1]!XLSTAT_PDFWeibull(O159,5,1)</f>
        <v>0.72652360282156669</v>
      </c>
      <c r="Q159">
        <v>159</v>
      </c>
      <c r="S159">
        <f t="shared" si="18"/>
        <v>0.63333486973947506</v>
      </c>
      <c r="T159">
        <f>[1]!XLSTAT_PDFWeibull(S159,10,1)</f>
        <v>0.16225242737805468</v>
      </c>
      <c r="U159">
        <v>159</v>
      </c>
      <c r="W159">
        <f t="shared" si="19"/>
        <v>0.63333486973947506</v>
      </c>
      <c r="X159">
        <f>[1]!XLSTAT_PDFWeibull(W159,10,5)</f>
        <v>1.678806160731963E-8</v>
      </c>
      <c r="Y159">
        <v>159</v>
      </c>
      <c r="AA159">
        <f t="shared" si="20"/>
        <v>0.63333486973947506</v>
      </c>
      <c r="AB159">
        <f>[1]!XLSTAT_PDFWeibull(AA159,10,5)</f>
        <v>1.678806160731963E-8</v>
      </c>
    </row>
    <row r="160" spans="1:28" x14ac:dyDescent="0.3">
      <c r="A160">
        <v>160</v>
      </c>
      <c r="C160">
        <f t="shared" si="14"/>
        <v>-1.4509018036072163</v>
      </c>
      <c r="D160">
        <f>[1]!XLSTAT_PDFNormal(C160,0,1)</f>
        <v>0.13924830744251318</v>
      </c>
      <c r="E160">
        <v>160</v>
      </c>
      <c r="G160">
        <f t="shared" si="15"/>
        <v>0.63734268537073757</v>
      </c>
      <c r="H160">
        <f>[1]!XLSTAT_PDFWeibull(G160,1)</f>
        <v>0.52869546925602973</v>
      </c>
      <c r="I160">
        <v>160</v>
      </c>
      <c r="K160">
        <f t="shared" si="16"/>
        <v>0.63734268537073757</v>
      </c>
      <c r="L160">
        <f>[1]!XLSTAT_PDFWeibull(K160,1,1)</f>
        <v>0.52869546925602973</v>
      </c>
      <c r="M160">
        <v>160</v>
      </c>
      <c r="O160">
        <f t="shared" si="17"/>
        <v>0.63734268537073757</v>
      </c>
      <c r="P160">
        <f>[1]!XLSTAT_PDFWeibull(O160,5,1)</f>
        <v>0.74266011473519145</v>
      </c>
      <c r="Q160">
        <v>160</v>
      </c>
      <c r="S160">
        <f t="shared" si="18"/>
        <v>0.63734268537073757</v>
      </c>
      <c r="T160">
        <f>[1]!XLSTAT_PDFWeibull(S160,10,1)</f>
        <v>0.17161452128203253</v>
      </c>
      <c r="U160">
        <v>160</v>
      </c>
      <c r="W160">
        <f t="shared" si="19"/>
        <v>0.63734268537073757</v>
      </c>
      <c r="X160">
        <f>[1]!XLSTAT_PDFWeibull(W160,10,5)</f>
        <v>1.7768755402064924E-8</v>
      </c>
      <c r="Y160">
        <v>160</v>
      </c>
      <c r="AA160">
        <f t="shared" si="20"/>
        <v>0.63734268537073757</v>
      </c>
      <c r="AB160">
        <f>[1]!XLSTAT_PDFWeibull(AA160,10,5)</f>
        <v>1.7768755402064924E-8</v>
      </c>
    </row>
    <row r="161" spans="1:28" x14ac:dyDescent="0.3">
      <c r="A161">
        <v>161</v>
      </c>
      <c r="C161">
        <f t="shared" si="14"/>
        <v>-1.4348697394789598</v>
      </c>
      <c r="D161">
        <f>[1]!XLSTAT_PDFNormal(C161,0,1)</f>
        <v>0.14250700567634153</v>
      </c>
      <c r="E161">
        <v>161</v>
      </c>
      <c r="G161">
        <f t="shared" si="15"/>
        <v>0.64135050100199997</v>
      </c>
      <c r="H161">
        <f>[1]!XLSTAT_PDFWeibull(G161,1)</f>
        <v>0.52658079573156402</v>
      </c>
      <c r="I161">
        <v>161</v>
      </c>
      <c r="K161">
        <f t="shared" si="16"/>
        <v>0.64135050100199997</v>
      </c>
      <c r="L161">
        <f>[1]!XLSTAT_PDFWeibull(K161,1,1)</f>
        <v>0.52658079573156402</v>
      </c>
      <c r="M161">
        <v>161</v>
      </c>
      <c r="O161">
        <f t="shared" si="17"/>
        <v>0.64135050100199997</v>
      </c>
      <c r="P161">
        <f>[1]!XLSTAT_PDFWeibull(O161,5,1)</f>
        <v>0.75897183082526243</v>
      </c>
      <c r="Q161">
        <v>161</v>
      </c>
      <c r="S161">
        <f t="shared" si="18"/>
        <v>0.64135050100199997</v>
      </c>
      <c r="T161">
        <f>[1]!XLSTAT_PDFWeibull(S161,10,1)</f>
        <v>0.1814450832818707</v>
      </c>
      <c r="U161">
        <v>161</v>
      </c>
      <c r="W161">
        <f t="shared" si="19"/>
        <v>0.64135050100199997</v>
      </c>
      <c r="X161">
        <f>[1]!XLSTAT_PDFWeibull(W161,10,5)</f>
        <v>1.8800045532512313E-8</v>
      </c>
      <c r="Y161">
        <v>161</v>
      </c>
      <c r="AA161">
        <f t="shared" si="20"/>
        <v>0.64135050100199997</v>
      </c>
      <c r="AB161">
        <f>[1]!XLSTAT_PDFWeibull(AA161,10,5)</f>
        <v>1.8800045532512313E-8</v>
      </c>
    </row>
    <row r="162" spans="1:28" x14ac:dyDescent="0.3">
      <c r="A162">
        <v>162</v>
      </c>
      <c r="C162">
        <f t="shared" si="14"/>
        <v>-1.4188376753507033</v>
      </c>
      <c r="D162">
        <f>[1]!XLSTAT_PDFNormal(C162,0,1)</f>
        <v>0.14580448366761822</v>
      </c>
      <c r="E162">
        <v>162</v>
      </c>
      <c r="G162">
        <f t="shared" si="15"/>
        <v>0.64535831663326249</v>
      </c>
      <c r="H162">
        <f>[1]!XLSTAT_PDFWeibull(G162,1)</f>
        <v>0.52447458046780815</v>
      </c>
      <c r="I162">
        <v>162</v>
      </c>
      <c r="K162">
        <f t="shared" si="16"/>
        <v>0.64535831663326249</v>
      </c>
      <c r="L162">
        <f>[1]!XLSTAT_PDFWeibull(K162,1,1)</f>
        <v>0.52447458046780815</v>
      </c>
      <c r="M162">
        <v>162</v>
      </c>
      <c r="O162">
        <f t="shared" si="17"/>
        <v>0.64535831663326249</v>
      </c>
      <c r="P162">
        <f>[1]!XLSTAT_PDFWeibull(O162,5,1)</f>
        <v>0.77545494407351045</v>
      </c>
      <c r="Q162">
        <v>162</v>
      </c>
      <c r="S162">
        <f t="shared" si="18"/>
        <v>0.64535831663326249</v>
      </c>
      <c r="T162">
        <f>[1]!XLSTAT_PDFWeibull(S162,10,1)</f>
        <v>0.19176341839266678</v>
      </c>
      <c r="U162">
        <v>162</v>
      </c>
      <c r="W162">
        <f t="shared" si="19"/>
        <v>0.64535831663326249</v>
      </c>
      <c r="X162">
        <f>[1]!XLSTAT_PDFWeibull(W162,10,5)</f>
        <v>1.9884201528084235E-8</v>
      </c>
      <c r="Y162">
        <v>162</v>
      </c>
      <c r="AA162">
        <f t="shared" si="20"/>
        <v>0.64535831663326249</v>
      </c>
      <c r="AB162">
        <f>[1]!XLSTAT_PDFWeibull(AA162,10,5)</f>
        <v>1.9884201528084235E-8</v>
      </c>
    </row>
    <row r="163" spans="1:28" x14ac:dyDescent="0.3">
      <c r="A163">
        <v>163</v>
      </c>
      <c r="C163">
        <f t="shared" si="14"/>
        <v>-1.4028056112224467</v>
      </c>
      <c r="D163">
        <f>[1]!XLSTAT_PDFNormal(C163,0,1)</f>
        <v>0.14913992427019093</v>
      </c>
      <c r="E163">
        <v>163</v>
      </c>
      <c r="G163">
        <f t="shared" si="15"/>
        <v>0.649366132264525</v>
      </c>
      <c r="H163">
        <f>[1]!XLSTAT_PDFWeibull(G163,1)</f>
        <v>0.52237678963345269</v>
      </c>
      <c r="I163">
        <v>163</v>
      </c>
      <c r="K163">
        <f t="shared" si="16"/>
        <v>0.649366132264525</v>
      </c>
      <c r="L163">
        <f>[1]!XLSTAT_PDFWeibull(K163,1,1)</f>
        <v>0.52237678963345269</v>
      </c>
      <c r="M163">
        <v>163</v>
      </c>
      <c r="O163">
        <f t="shared" si="17"/>
        <v>0.649366132264525</v>
      </c>
      <c r="P163">
        <f>[1]!XLSTAT_PDFWeibull(O163,5,1)</f>
        <v>0.79210541385007205</v>
      </c>
      <c r="Q163">
        <v>163</v>
      </c>
      <c r="S163">
        <f t="shared" si="18"/>
        <v>0.649366132264525</v>
      </c>
      <c r="T163">
        <f>[1]!XLSTAT_PDFWeibull(S163,10,1)</f>
        <v>0.20258938223889406</v>
      </c>
      <c r="U163">
        <v>163</v>
      </c>
      <c r="W163">
        <f t="shared" si="19"/>
        <v>0.649366132264525</v>
      </c>
      <c r="X163">
        <f>[1]!XLSTAT_PDFWeibull(W163,10,5)</f>
        <v>2.1023579623651054E-8</v>
      </c>
      <c r="Y163">
        <v>163</v>
      </c>
      <c r="AA163">
        <f t="shared" si="20"/>
        <v>0.649366132264525</v>
      </c>
      <c r="AB163">
        <f>[1]!XLSTAT_PDFWeibull(AA163,10,5)</f>
        <v>2.1023579623651054E-8</v>
      </c>
    </row>
    <row r="164" spans="1:28" x14ac:dyDescent="0.3">
      <c r="A164">
        <v>164</v>
      </c>
      <c r="C164">
        <f t="shared" si="14"/>
        <v>-1.3867735470941902</v>
      </c>
      <c r="D164">
        <f>[1]!XLSTAT_PDFNormal(C164,0,1)</f>
        <v>0.15251246193531134</v>
      </c>
      <c r="E164">
        <v>164</v>
      </c>
      <c r="G164">
        <f t="shared" si="15"/>
        <v>0.65337394789578751</v>
      </c>
      <c r="H164">
        <f>[1]!XLSTAT_PDFWeibull(G164,1)</f>
        <v>0.52028738953250664</v>
      </c>
      <c r="I164">
        <v>164</v>
      </c>
      <c r="K164">
        <f t="shared" si="16"/>
        <v>0.65337394789578751</v>
      </c>
      <c r="L164">
        <f>[1]!XLSTAT_PDFWeibull(K164,1,1)</f>
        <v>0.52028738953250664</v>
      </c>
      <c r="M164">
        <v>164</v>
      </c>
      <c r="O164">
        <f t="shared" si="17"/>
        <v>0.65337394789578751</v>
      </c>
      <c r="P164">
        <f>[1]!XLSTAT_PDFWeibull(O164,5,1)</f>
        <v>0.80891896198500368</v>
      </c>
      <c r="Q164">
        <v>164</v>
      </c>
      <c r="S164">
        <f t="shared" si="18"/>
        <v>0.65337394789578751</v>
      </c>
      <c r="T164">
        <f>[1]!XLSTAT_PDFWeibull(S164,10,1)</f>
        <v>0.21394337960414039</v>
      </c>
      <c r="U164">
        <v>164</v>
      </c>
      <c r="W164">
        <f t="shared" si="19"/>
        <v>0.65337394789578751</v>
      </c>
      <c r="X164">
        <f>[1]!XLSTAT_PDFWeibull(W164,10,5)</f>
        <v>2.2220625502580468E-8</v>
      </c>
      <c r="Y164">
        <v>164</v>
      </c>
      <c r="AA164">
        <f t="shared" si="20"/>
        <v>0.65337394789578751</v>
      </c>
      <c r="AB164">
        <f>[1]!XLSTAT_PDFWeibull(AA164,10,5)</f>
        <v>2.2220625502580468E-8</v>
      </c>
    </row>
    <row r="165" spans="1:28" x14ac:dyDescent="0.3">
      <c r="A165">
        <v>165</v>
      </c>
      <c r="C165">
        <f t="shared" si="14"/>
        <v>-1.3707414829659337</v>
      </c>
      <c r="D165">
        <f>[1]!XLSTAT_PDFNormal(C165,0,1)</f>
        <v>0.15592118250431111</v>
      </c>
      <c r="E165">
        <v>165</v>
      </c>
      <c r="G165">
        <f t="shared" si="15"/>
        <v>0.65738176352705002</v>
      </c>
      <c r="H165">
        <f>[1]!XLSTAT_PDFWeibull(G165,1)</f>
        <v>0.51820634660375586</v>
      </c>
      <c r="I165">
        <v>165</v>
      </c>
      <c r="K165">
        <f t="shared" si="16"/>
        <v>0.65738176352705002</v>
      </c>
      <c r="L165">
        <f>[1]!XLSTAT_PDFWeibull(K165,1,1)</f>
        <v>0.51820634660375586</v>
      </c>
      <c r="M165">
        <v>165</v>
      </c>
      <c r="O165">
        <f t="shared" si="17"/>
        <v>0.65738176352705002</v>
      </c>
      <c r="P165">
        <f>[1]!XLSTAT_PDFWeibull(O165,5,1)</f>
        <v>0.82589106897900377</v>
      </c>
      <c r="Q165">
        <v>165</v>
      </c>
      <c r="S165">
        <f t="shared" si="18"/>
        <v>0.65738176352705002</v>
      </c>
      <c r="T165">
        <f>[1]!XLSTAT_PDFWeibull(S165,10,1)</f>
        <v>0.22584636121560434</v>
      </c>
      <c r="U165">
        <v>165</v>
      </c>
      <c r="W165">
        <f t="shared" si="19"/>
        <v>0.65738176352705002</v>
      </c>
      <c r="X165">
        <f>[1]!XLSTAT_PDFWeibull(W165,10,5)</f>
        <v>2.3477877108776958E-8</v>
      </c>
      <c r="Y165">
        <v>165</v>
      </c>
      <c r="AA165">
        <f t="shared" si="20"/>
        <v>0.65738176352705002</v>
      </c>
      <c r="AB165">
        <f>[1]!XLSTAT_PDFWeibull(AA165,10,5)</f>
        <v>2.3477877108776958E-8</v>
      </c>
    </row>
    <row r="166" spans="1:28" x14ac:dyDescent="0.3">
      <c r="A166">
        <v>166</v>
      </c>
      <c r="C166">
        <f t="shared" si="14"/>
        <v>-1.3547094188376771</v>
      </c>
      <c r="D166">
        <f>[1]!XLSTAT_PDFNormal(C166,0,1)</f>
        <v>0.15936512305972608</v>
      </c>
      <c r="E166">
        <v>166</v>
      </c>
      <c r="G166">
        <f t="shared" si="15"/>
        <v>0.66138957915831253</v>
      </c>
      <c r="H166">
        <f>[1]!XLSTAT_PDFWeibull(G166,1)</f>
        <v>0.51613362742022451</v>
      </c>
      <c r="I166">
        <v>166</v>
      </c>
      <c r="K166">
        <f t="shared" si="16"/>
        <v>0.66138957915831253</v>
      </c>
      <c r="L166">
        <f>[1]!XLSTAT_PDFWeibull(K166,1,1)</f>
        <v>0.51613362742022451</v>
      </c>
      <c r="M166">
        <v>166</v>
      </c>
      <c r="O166">
        <f t="shared" si="17"/>
        <v>0.66138957915831253</v>
      </c>
      <c r="P166">
        <f>[1]!XLSTAT_PDFWeibull(O166,5,1)</f>
        <v>0.84301697036557033</v>
      </c>
      <c r="Q166">
        <v>166</v>
      </c>
      <c r="S166">
        <f t="shared" si="18"/>
        <v>0.66138957915831253</v>
      </c>
      <c r="T166">
        <f>[1]!XLSTAT_PDFWeibull(S166,10,1)</f>
        <v>0.23831981859119761</v>
      </c>
      <c r="U166">
        <v>166</v>
      </c>
      <c r="W166">
        <f t="shared" si="19"/>
        <v>0.66138957915831253</v>
      </c>
      <c r="X166">
        <f>[1]!XLSTAT_PDFWeibull(W166,10,5)</f>
        <v>2.479796752900434E-8</v>
      </c>
      <c r="Y166">
        <v>166</v>
      </c>
      <c r="AA166">
        <f t="shared" si="20"/>
        <v>0.66138957915831253</v>
      </c>
      <c r="AB166">
        <f>[1]!XLSTAT_PDFWeibull(AA166,10,5)</f>
        <v>2.479796752900434E-8</v>
      </c>
    </row>
    <row r="167" spans="1:28" x14ac:dyDescent="0.3">
      <c r="A167">
        <v>167</v>
      </c>
      <c r="C167">
        <f t="shared" si="14"/>
        <v>-1.3386773547094206</v>
      </c>
      <c r="D167">
        <f>[1]!XLSTAT_PDFNormal(C167,0,1)</f>
        <v>0.16284327183642228</v>
      </c>
      <c r="E167">
        <v>167</v>
      </c>
      <c r="G167">
        <f t="shared" si="15"/>
        <v>0.66539739478957505</v>
      </c>
      <c r="H167">
        <f>[1]!XLSTAT_PDFWeibull(G167,1)</f>
        <v>0.51406919868863754</v>
      </c>
      <c r="I167">
        <v>167</v>
      </c>
      <c r="K167">
        <f t="shared" si="16"/>
        <v>0.66539739478957505</v>
      </c>
      <c r="L167">
        <f>[1]!XLSTAT_PDFWeibull(K167,1,1)</f>
        <v>0.51406919868863754</v>
      </c>
      <c r="M167">
        <v>167</v>
      </c>
      <c r="O167">
        <f t="shared" si="17"/>
        <v>0.66539739478957505</v>
      </c>
      <c r="P167">
        <f>[1]!XLSTAT_PDFWeibull(O167,5,1)</f>
        <v>0.86029165323714651</v>
      </c>
      <c r="Q167">
        <v>167</v>
      </c>
      <c r="S167">
        <f t="shared" si="18"/>
        <v>0.66539739478957505</v>
      </c>
      <c r="T167">
        <f>[1]!XLSTAT_PDFWeibull(S167,10,1)</f>
        <v>0.25138577676593932</v>
      </c>
      <c r="U167">
        <v>167</v>
      </c>
      <c r="W167">
        <f t="shared" si="19"/>
        <v>0.66539739478957505</v>
      </c>
      <c r="X167">
        <f>[1]!XLSTAT_PDFWeibull(W167,10,5)</f>
        <v>2.6183627946801019E-8</v>
      </c>
      <c r="Y167">
        <v>167</v>
      </c>
      <c r="AA167">
        <f t="shared" si="20"/>
        <v>0.66539739478957505</v>
      </c>
      <c r="AB167">
        <f>[1]!XLSTAT_PDFWeibull(AA167,10,5)</f>
        <v>2.6183627946801019E-8</v>
      </c>
    </row>
    <row r="168" spans="1:28" x14ac:dyDescent="0.3">
      <c r="A168">
        <v>168</v>
      </c>
      <c r="C168">
        <f t="shared" si="14"/>
        <v>-1.3226452905811641</v>
      </c>
      <c r="D168">
        <f>[1]!XLSTAT_PDFNormal(C168,0,1)</f>
        <v>0.16635456819420316</v>
      </c>
      <c r="E168">
        <v>168</v>
      </c>
      <c r="G168">
        <f t="shared" si="15"/>
        <v>0.66940521042083756</v>
      </c>
      <c r="H168">
        <f>[1]!XLSTAT_PDFWeibull(G168,1)</f>
        <v>0.5120130272488862</v>
      </c>
      <c r="I168">
        <v>168</v>
      </c>
      <c r="K168">
        <f t="shared" si="16"/>
        <v>0.66940521042083756</v>
      </c>
      <c r="L168">
        <f>[1]!XLSTAT_PDFWeibull(K168,1,1)</f>
        <v>0.5120130272488862</v>
      </c>
      <c r="M168">
        <v>168</v>
      </c>
      <c r="O168">
        <f t="shared" si="17"/>
        <v>0.66940521042083756</v>
      </c>
      <c r="P168">
        <f>[1]!XLSTAT_PDFWeibull(O168,5,1)</f>
        <v>0.87770985294812109</v>
      </c>
      <c r="Q168">
        <v>168</v>
      </c>
      <c r="S168">
        <f t="shared" si="18"/>
        <v>0.66940521042083756</v>
      </c>
      <c r="T168">
        <f>[1]!XLSTAT_PDFWeibull(S168,10,1)</f>
        <v>0.26506678470276268</v>
      </c>
      <c r="U168">
        <v>168</v>
      </c>
      <c r="W168">
        <f t="shared" si="19"/>
        <v>0.66940521042083756</v>
      </c>
      <c r="X168">
        <f>[1]!XLSTAT_PDFWeibull(W168,10,5)</f>
        <v>2.7637690669312802E-8</v>
      </c>
      <c r="Y168">
        <v>168</v>
      </c>
      <c r="AA168">
        <f t="shared" si="20"/>
        <v>0.66940521042083756</v>
      </c>
      <c r="AB168">
        <f>[1]!XLSTAT_PDFWeibull(AA168,10,5)</f>
        <v>2.7637690669312802E-8</v>
      </c>
    </row>
    <row r="169" spans="1:28" x14ac:dyDescent="0.3">
      <c r="A169">
        <v>169</v>
      </c>
      <c r="C169">
        <f t="shared" si="14"/>
        <v>-1.3066132264529076</v>
      </c>
      <c r="D169">
        <f>[1]!XLSTAT_PDFNormal(C169,0,1)</f>
        <v>0.1698979026532984</v>
      </c>
      <c r="E169">
        <v>169</v>
      </c>
      <c r="G169">
        <f t="shared" si="15"/>
        <v>0.67341302605210007</v>
      </c>
      <c r="H169">
        <f>[1]!XLSTAT_PDFWeibull(G169,1)</f>
        <v>0.50996508007349539</v>
      </c>
      <c r="I169">
        <v>169</v>
      </c>
      <c r="K169">
        <f t="shared" si="16"/>
        <v>0.67341302605210007</v>
      </c>
      <c r="L169">
        <f>[1]!XLSTAT_PDFWeibull(K169,1,1)</f>
        <v>0.50996508007349539</v>
      </c>
      <c r="M169">
        <v>169</v>
      </c>
      <c r="O169">
        <f t="shared" si="17"/>
        <v>0.67341302605210007</v>
      </c>
      <c r="P169">
        <f>[1]!XLSTAT_PDFWeibull(O169,5,1)</f>
        <v>0.89526605000785942</v>
      </c>
      <c r="Q169">
        <v>169</v>
      </c>
      <c r="S169">
        <f t="shared" si="18"/>
        <v>0.67341302605210007</v>
      </c>
      <c r="T169">
        <f>[1]!XLSTAT_PDFWeibull(S169,10,1)</f>
        <v>0.27938590318092721</v>
      </c>
      <c r="U169">
        <v>169</v>
      </c>
      <c r="W169">
        <f t="shared" si="19"/>
        <v>0.67341302605210007</v>
      </c>
      <c r="X169">
        <f>[1]!XLSTAT_PDFWeibull(W169,10,5)</f>
        <v>2.9163092228386907E-8</v>
      </c>
      <c r="Y169">
        <v>169</v>
      </c>
      <c r="AA169">
        <f t="shared" si="20"/>
        <v>0.67341302605210007</v>
      </c>
      <c r="AB169">
        <f>[1]!XLSTAT_PDFWeibull(AA169,10,5)</f>
        <v>2.9163092228386907E-8</v>
      </c>
    </row>
    <row r="170" spans="1:28" x14ac:dyDescent="0.3">
      <c r="A170">
        <v>170</v>
      </c>
      <c r="C170">
        <f t="shared" si="14"/>
        <v>-1.2905811623246515</v>
      </c>
      <c r="D170">
        <f>[1]!XLSTAT_PDFNormal(C170,0,1)</f>
        <v>0.17347211699405135</v>
      </c>
      <c r="E170">
        <v>170</v>
      </c>
      <c r="G170">
        <f t="shared" si="15"/>
        <v>0.67742084168336258</v>
      </c>
      <c r="H170">
        <f>[1]!XLSTAT_PDFWeibull(G170,1)</f>
        <v>0.50792532426709336</v>
      </c>
      <c r="I170">
        <v>170</v>
      </c>
      <c r="K170">
        <f t="shared" si="16"/>
        <v>0.67742084168336258</v>
      </c>
      <c r="L170">
        <f>[1]!XLSTAT_PDFWeibull(K170,1,1)</f>
        <v>0.50792532426709336</v>
      </c>
      <c r="M170">
        <v>170</v>
      </c>
      <c r="O170">
        <f t="shared" si="17"/>
        <v>0.67742084168336258</v>
      </c>
      <c r="P170">
        <f>[1]!XLSTAT_PDFWeibull(O170,5,1)</f>
        <v>0.91295446717723505</v>
      </c>
      <c r="Q170">
        <v>170</v>
      </c>
      <c r="S170">
        <f t="shared" si="18"/>
        <v>0.67742084168336258</v>
      </c>
      <c r="T170">
        <f>[1]!XLSTAT_PDFWeibull(S170,10,1)</f>
        <v>0.29436668994296017</v>
      </c>
      <c r="U170">
        <v>170</v>
      </c>
      <c r="W170">
        <f t="shared" si="19"/>
        <v>0.67742084168336258</v>
      </c>
      <c r="X170">
        <f>[1]!XLSTAT_PDFWeibull(W170,10,5)</f>
        <v>3.0762876557281368E-8</v>
      </c>
      <c r="Y170">
        <v>170</v>
      </c>
      <c r="AA170">
        <f t="shared" si="20"/>
        <v>0.67742084168336258</v>
      </c>
      <c r="AB170">
        <f>[1]!XLSTAT_PDFWeibull(AA170,10,5)</f>
        <v>3.0762876557281368E-8</v>
      </c>
    </row>
    <row r="171" spans="1:28" x14ac:dyDescent="0.3">
      <c r="A171">
        <v>171</v>
      </c>
      <c r="C171">
        <f t="shared" si="14"/>
        <v>-1.2745490981963949</v>
      </c>
      <c r="D171">
        <f>[1]!XLSTAT_PDFNormal(C171,0,1)</f>
        <v>0.17707600442203444</v>
      </c>
      <c r="E171">
        <v>171</v>
      </c>
      <c r="G171">
        <f t="shared" si="15"/>
        <v>0.68142865731462499</v>
      </c>
      <c r="H171">
        <f>[1]!XLSTAT_PDFWeibull(G171,1)</f>
        <v>0.50589372706588276</v>
      </c>
      <c r="I171">
        <v>171</v>
      </c>
      <c r="K171">
        <f t="shared" si="16"/>
        <v>0.68142865731462499</v>
      </c>
      <c r="L171">
        <f>[1]!XLSTAT_PDFWeibull(K171,1,1)</f>
        <v>0.50589372706588276</v>
      </c>
      <c r="M171">
        <v>171</v>
      </c>
      <c r="O171">
        <f t="shared" si="17"/>
        <v>0.68142865731462499</v>
      </c>
      <c r="P171">
        <f>[1]!XLSTAT_PDFWeibull(O171,5,1)</f>
        <v>0.93076906678240046</v>
      </c>
      <c r="Q171">
        <v>171</v>
      </c>
      <c r="S171">
        <f t="shared" si="18"/>
        <v>0.68142865731462499</v>
      </c>
      <c r="T171">
        <f>[1]!XLSTAT_PDFWeibull(S171,10,1)</f>
        <v>0.31003318186847745</v>
      </c>
      <c r="U171">
        <v>171</v>
      </c>
      <c r="W171">
        <f t="shared" si="19"/>
        <v>0.68142865731462499</v>
      </c>
      <c r="X171">
        <f>[1]!XLSTAT_PDFWeibull(W171,10,5)</f>
        <v>3.2440198244369635E-8</v>
      </c>
      <c r="Y171">
        <v>171</v>
      </c>
      <c r="AA171">
        <f t="shared" si="20"/>
        <v>0.68142865731462499</v>
      </c>
      <c r="AB171">
        <f>[1]!XLSTAT_PDFWeibull(AA171,10,5)</f>
        <v>3.2440198244369635E-8</v>
      </c>
    </row>
    <row r="172" spans="1:28" x14ac:dyDescent="0.3">
      <c r="A172">
        <v>172</v>
      </c>
      <c r="C172">
        <f t="shared" si="14"/>
        <v>-1.2585170340681384</v>
      </c>
      <c r="D172">
        <f>[1]!XLSTAT_PDFNormal(C172,0,1)</f>
        <v>0.18070830979972691</v>
      </c>
      <c r="E172">
        <v>172</v>
      </c>
      <c r="G172">
        <f t="shared" si="15"/>
        <v>0.6854364729458875</v>
      </c>
      <c r="H172">
        <f>[1]!XLSTAT_PDFWeibull(G172,1)</f>
        <v>0.50387025583711476</v>
      </c>
      <c r="I172">
        <v>172</v>
      </c>
      <c r="K172">
        <f t="shared" si="16"/>
        <v>0.6854364729458875</v>
      </c>
      <c r="L172">
        <f>[1]!XLSTAT_PDFWeibull(K172,1,1)</f>
        <v>0.50387025583711476</v>
      </c>
      <c r="M172">
        <v>172</v>
      </c>
      <c r="O172">
        <f t="shared" si="17"/>
        <v>0.6854364729458875</v>
      </c>
      <c r="P172">
        <f>[1]!XLSTAT_PDFWeibull(O172,5,1)</f>
        <v>0.94870354825980874</v>
      </c>
      <c r="Q172">
        <v>172</v>
      </c>
      <c r="S172">
        <f t="shared" si="18"/>
        <v>0.6854364729458875</v>
      </c>
      <c r="T172">
        <f>[1]!XLSTAT_PDFWeibull(S172,10,1)</f>
        <v>0.32640987393042292</v>
      </c>
      <c r="U172">
        <v>172</v>
      </c>
      <c r="W172">
        <f t="shared" si="19"/>
        <v>0.6854364729458875</v>
      </c>
      <c r="X172">
        <f>[1]!XLSTAT_PDFWeibull(W172,10,5)</f>
        <v>3.4198325865228162E-8</v>
      </c>
      <c r="Y172">
        <v>172</v>
      </c>
      <c r="AA172">
        <f t="shared" si="20"/>
        <v>0.6854364729458875</v>
      </c>
      <c r="AB172">
        <f>[1]!XLSTAT_PDFWeibull(AA172,10,5)</f>
        <v>3.4198325865228162E-8</v>
      </c>
    </row>
    <row r="173" spans="1:28" x14ac:dyDescent="0.3">
      <c r="A173">
        <v>173</v>
      </c>
      <c r="C173">
        <f t="shared" si="14"/>
        <v>-1.2424849699398819</v>
      </c>
      <c r="D173">
        <f>[1]!XLSTAT_PDFNormal(C173,0,1)</f>
        <v>0.18436772994579645</v>
      </c>
      <c r="E173">
        <v>173</v>
      </c>
      <c r="G173">
        <f t="shared" si="15"/>
        <v>0.68944428857715001</v>
      </c>
      <c r="H173">
        <f>[1]!XLSTAT_PDFWeibull(G173,1)</f>
        <v>0.50185487807856521</v>
      </c>
      <c r="I173">
        <v>173</v>
      </c>
      <c r="K173">
        <f t="shared" si="16"/>
        <v>0.68944428857715001</v>
      </c>
      <c r="L173">
        <f>[1]!XLSTAT_PDFWeibull(K173,1,1)</f>
        <v>0.50185487807856521</v>
      </c>
      <c r="M173">
        <v>173</v>
      </c>
      <c r="O173">
        <f t="shared" si="17"/>
        <v>0.68944428857715001</v>
      </c>
      <c r="P173">
        <f>[1]!XLSTAT_PDFWeibull(O173,5,1)</f>
        <v>0.9667513459467233</v>
      </c>
      <c r="Q173">
        <v>173</v>
      </c>
      <c r="S173">
        <f t="shared" si="18"/>
        <v>0.68944428857715001</v>
      </c>
      <c r="T173">
        <f>[1]!XLSTAT_PDFWeibull(S173,10,1)</f>
        <v>0.34352169467624827</v>
      </c>
      <c r="U173">
        <v>173</v>
      </c>
      <c r="W173">
        <f t="shared" si="19"/>
        <v>0.68944428857715001</v>
      </c>
      <c r="X173">
        <f>[1]!XLSTAT_PDFWeibull(W173,10,5)</f>
        <v>3.6040645394512948E-8</v>
      </c>
      <c r="Y173">
        <v>173</v>
      </c>
      <c r="AA173">
        <f t="shared" si="20"/>
        <v>0.68944428857715001</v>
      </c>
      <c r="AB173">
        <f>[1]!XLSTAT_PDFWeibull(AA173,10,5)</f>
        <v>3.6040645394512948E-8</v>
      </c>
    </row>
    <row r="174" spans="1:28" x14ac:dyDescent="0.3">
      <c r="A174">
        <v>174</v>
      </c>
      <c r="C174">
        <f t="shared" si="14"/>
        <v>-1.2264529058116254</v>
      </c>
      <c r="D174">
        <f>[1]!XLSTAT_PDFNormal(C174,0,1)</f>
        <v>0.1880529140029211</v>
      </c>
      <c r="E174">
        <v>174</v>
      </c>
      <c r="G174">
        <f t="shared" si="15"/>
        <v>0.69345210420841252</v>
      </c>
      <c r="H174">
        <f>[1]!XLSTAT_PDFWeibull(G174,1)</f>
        <v>0.49984756141801179</v>
      </c>
      <c r="I174">
        <v>174</v>
      </c>
      <c r="K174">
        <f t="shared" si="16"/>
        <v>0.69345210420841252</v>
      </c>
      <c r="L174">
        <f>[1]!XLSTAT_PDFWeibull(K174,1,1)</f>
        <v>0.49984756141801179</v>
      </c>
      <c r="M174">
        <v>174</v>
      </c>
      <c r="O174">
        <f t="shared" si="17"/>
        <v>0.69345210420841252</v>
      </c>
      <c r="P174">
        <f>[1]!XLSTAT_PDFWeibull(O174,5,1)</f>
        <v>0.98490562713168872</v>
      </c>
      <c r="Q174">
        <v>174</v>
      </c>
      <c r="S174">
        <f t="shared" si="18"/>
        <v>0.69345210420841252</v>
      </c>
      <c r="T174">
        <f>[1]!XLSTAT_PDFWeibull(S174,10,1)</f>
        <v>0.36139397796343303</v>
      </c>
      <c r="U174">
        <v>174</v>
      </c>
      <c r="W174">
        <f t="shared" si="19"/>
        <v>0.69345210420841252</v>
      </c>
      <c r="X174">
        <f>[1]!XLSTAT_PDFWeibull(W174,10,5)</f>
        <v>3.7970663699056468E-8</v>
      </c>
      <c r="Y174">
        <v>174</v>
      </c>
      <c r="AA174">
        <f t="shared" si="20"/>
        <v>0.69345210420841252</v>
      </c>
      <c r="AB174">
        <f>[1]!XLSTAT_PDFWeibull(AA174,10,5)</f>
        <v>3.7970663699056468E-8</v>
      </c>
    </row>
    <row r="175" spans="1:28" x14ac:dyDescent="0.3">
      <c r="A175">
        <v>175</v>
      </c>
      <c r="C175">
        <f t="shared" si="14"/>
        <v>-1.2104208416833688</v>
      </c>
      <c r="D175">
        <f>[1]!XLSTAT_PDFNormal(C175,0,1)</f>
        <v>0.19176246387498497</v>
      </c>
      <c r="E175">
        <v>175</v>
      </c>
      <c r="G175">
        <f t="shared" si="15"/>
        <v>0.69745991983967504</v>
      </c>
      <c r="H175">
        <f>[1]!XLSTAT_PDFWeibull(G175,1)</f>
        <v>0.49784827361271466</v>
      </c>
      <c r="I175">
        <v>175</v>
      </c>
      <c r="K175">
        <f t="shared" si="16"/>
        <v>0.69745991983967504</v>
      </c>
      <c r="L175">
        <f>[1]!XLSTAT_PDFWeibull(K175,1,1)</f>
        <v>0.49784827361271466</v>
      </c>
      <c r="M175">
        <v>175</v>
      </c>
      <c r="O175">
        <f t="shared" si="17"/>
        <v>0.69745991983967504</v>
      </c>
      <c r="P175">
        <f>[1]!XLSTAT_PDFWeibull(O175,5,1)</f>
        <v>1.0031592903796285</v>
      </c>
      <c r="Q175">
        <v>175</v>
      </c>
      <c r="S175">
        <f t="shared" si="18"/>
        <v>0.69745991983967504</v>
      </c>
      <c r="T175">
        <f>[1]!XLSTAT_PDFWeibull(S175,10,1)</f>
        <v>0.38005243066557648</v>
      </c>
      <c r="U175">
        <v>175</v>
      </c>
      <c r="W175">
        <f t="shared" si="19"/>
        <v>0.69745991983967504</v>
      </c>
      <c r="X175">
        <f>[1]!XLSTAT_PDFWeibull(W175,10,5)</f>
        <v>3.9992012113617918E-8</v>
      </c>
      <c r="Y175">
        <v>175</v>
      </c>
      <c r="AA175">
        <f t="shared" si="20"/>
        <v>0.69745991983967504</v>
      </c>
      <c r="AB175">
        <f>[1]!XLSTAT_PDFWeibull(AA175,10,5)</f>
        <v>3.9992012113617918E-8</v>
      </c>
    </row>
    <row r="176" spans="1:28" x14ac:dyDescent="0.3">
      <c r="A176">
        <v>176</v>
      </c>
      <c r="C176">
        <f t="shared" si="14"/>
        <v>-1.1943887775551123</v>
      </c>
      <c r="D176">
        <f>[1]!XLSTAT_PDFNormal(C176,0,1)</f>
        <v>0.19549493473437149</v>
      </c>
      <c r="E176">
        <v>176</v>
      </c>
      <c r="G176">
        <f t="shared" si="15"/>
        <v>0.70146773547093755</v>
      </c>
      <c r="H176">
        <f>[1]!XLSTAT_PDFWeibull(G176,1)</f>
        <v>0.49585698254889815</v>
      </c>
      <c r="I176">
        <v>176</v>
      </c>
      <c r="K176">
        <f t="shared" si="16"/>
        <v>0.70146773547093755</v>
      </c>
      <c r="L176">
        <f>[1]!XLSTAT_PDFWeibull(K176,1,1)</f>
        <v>0.49585698254889815</v>
      </c>
      <c r="M176">
        <v>176</v>
      </c>
      <c r="O176">
        <f t="shared" si="17"/>
        <v>0.70146773547093755</v>
      </c>
      <c r="P176">
        <f>[1]!XLSTAT_PDFWeibull(O176,5,1)</f>
        <v>1.021504964146404</v>
      </c>
      <c r="Q176">
        <v>176</v>
      </c>
      <c r="S176">
        <f t="shared" si="18"/>
        <v>0.70146773547093755</v>
      </c>
      <c r="T176">
        <f>[1]!XLSTAT_PDFWeibull(S176,10,1)</f>
        <v>0.39952309605217712</v>
      </c>
      <c r="U176">
        <v>176</v>
      </c>
      <c r="W176">
        <f t="shared" si="19"/>
        <v>0.70146773547093755</v>
      </c>
      <c r="X176">
        <f>[1]!XLSTAT_PDFWeibull(W176,10,5)</f>
        <v>4.2108450100751658E-8</v>
      </c>
      <c r="Y176">
        <v>176</v>
      </c>
      <c r="AA176">
        <f t="shared" si="20"/>
        <v>0.70146773547093755</v>
      </c>
      <c r="AB176">
        <f>[1]!XLSTAT_PDFWeibull(AA176,10,5)</f>
        <v>4.2108450100751658E-8</v>
      </c>
    </row>
    <row r="177" spans="1:28" x14ac:dyDescent="0.3">
      <c r="A177">
        <v>177</v>
      </c>
      <c r="C177">
        <f t="shared" si="14"/>
        <v>-1.1783567134268558</v>
      </c>
      <c r="D177">
        <f>[1]!XLSTAT_PDFNormal(C177,0,1)</f>
        <v>0.19924883559996517</v>
      </c>
      <c r="E177">
        <v>177</v>
      </c>
      <c r="G177">
        <f t="shared" si="15"/>
        <v>0.70547555110220006</v>
      </c>
      <c r="H177">
        <f>[1]!XLSTAT_PDFWeibull(G177,1)</f>
        <v>0.49387365624123536</v>
      </c>
      <c r="I177">
        <v>177</v>
      </c>
      <c r="K177">
        <f t="shared" si="16"/>
        <v>0.70547555110220006</v>
      </c>
      <c r="L177">
        <f>[1]!XLSTAT_PDFWeibull(K177,1,1)</f>
        <v>0.49387365624123536</v>
      </c>
      <c r="M177">
        <v>177</v>
      </c>
      <c r="O177">
        <f t="shared" si="17"/>
        <v>0.70547555110220006</v>
      </c>
      <c r="P177">
        <f>[1]!XLSTAT_PDFWeibull(O177,5,1)</f>
        <v>1.0399350056978298</v>
      </c>
      <c r="Q177">
        <v>177</v>
      </c>
      <c r="S177">
        <f t="shared" si="18"/>
        <v>0.70547555110220006</v>
      </c>
      <c r="T177">
        <f>[1]!XLSTAT_PDFWeibull(S177,10,1)</f>
        <v>0.41983231253228437</v>
      </c>
      <c r="U177">
        <v>177</v>
      </c>
      <c r="W177">
        <f t="shared" si="19"/>
        <v>0.70547555110220006</v>
      </c>
      <c r="X177">
        <f>[1]!XLSTAT_PDFWeibull(W177,10,5)</f>
        <v>4.4323868996266287E-8</v>
      </c>
      <c r="Y177">
        <v>177</v>
      </c>
      <c r="AA177">
        <f t="shared" si="20"/>
        <v>0.70547555110220006</v>
      </c>
      <c r="AB177">
        <f>[1]!XLSTAT_PDFWeibull(AA177,10,5)</f>
        <v>4.4323868996266287E-8</v>
      </c>
    </row>
    <row r="178" spans="1:28" x14ac:dyDescent="0.3">
      <c r="A178">
        <v>178</v>
      </c>
      <c r="C178">
        <f t="shared" si="14"/>
        <v>-1.1623246492985992</v>
      </c>
      <c r="D178">
        <f>[1]!XLSTAT_PDFNormal(C178,0,1)</f>
        <v>0.20302262998635703</v>
      </c>
      <c r="E178">
        <v>178</v>
      </c>
      <c r="G178">
        <f t="shared" si="15"/>
        <v>0.70948336673346257</v>
      </c>
      <c r="H178">
        <f>[1]!XLSTAT_PDFWeibull(G178,1)</f>
        <v>0.49189826283233384</v>
      </c>
      <c r="I178">
        <v>178</v>
      </c>
      <c r="K178">
        <f t="shared" si="16"/>
        <v>0.70948336673346257</v>
      </c>
      <c r="L178">
        <f>[1]!XLSTAT_PDFWeibull(K178,1,1)</f>
        <v>0.49189826283233384</v>
      </c>
      <c r="M178">
        <v>178</v>
      </c>
      <c r="O178">
        <f t="shared" si="17"/>
        <v>0.70948336673346257</v>
      </c>
      <c r="P178">
        <f>[1]!XLSTAT_PDFWeibull(O178,5,1)</f>
        <v>1.0584415003482535</v>
      </c>
      <c r="Q178">
        <v>178</v>
      </c>
      <c r="S178">
        <f t="shared" si="18"/>
        <v>0.70948336673346257</v>
      </c>
      <c r="T178">
        <f>[1]!XLSTAT_PDFWeibull(S178,10,1)</f>
        <v>0.44100666743956457</v>
      </c>
      <c r="U178">
        <v>178</v>
      </c>
      <c r="W178">
        <f t="shared" si="19"/>
        <v>0.70948336673346257</v>
      </c>
      <c r="X178">
        <f>[1]!XLSTAT_PDFWeibull(W178,10,5)</f>
        <v>4.6642295841766645E-8</v>
      </c>
      <c r="Y178">
        <v>178</v>
      </c>
      <c r="AA178">
        <f t="shared" si="20"/>
        <v>0.70948336673346257</v>
      </c>
      <c r="AB178">
        <f>[1]!XLSTAT_PDFWeibull(AA178,10,5)</f>
        <v>4.6642295841766645E-8</v>
      </c>
    </row>
    <row r="179" spans="1:28" x14ac:dyDescent="0.3">
      <c r="A179">
        <v>179</v>
      </c>
      <c r="C179">
        <f t="shared" si="14"/>
        <v>-1.1462925851703427</v>
      </c>
      <c r="D179">
        <f>[1]!XLSTAT_PDFNormal(C179,0,1)</f>
        <v>0.2068147366246279</v>
      </c>
      <c r="E179">
        <v>179</v>
      </c>
      <c r="G179">
        <f t="shared" si="15"/>
        <v>0.71349118236472509</v>
      </c>
      <c r="H179">
        <f>[1]!XLSTAT_PDFWeibull(G179,1)</f>
        <v>0.48993077059222445</v>
      </c>
      <c r="I179">
        <v>179</v>
      </c>
      <c r="K179">
        <f t="shared" si="16"/>
        <v>0.71349118236472509</v>
      </c>
      <c r="L179">
        <f>[1]!XLSTAT_PDFWeibull(K179,1,1)</f>
        <v>0.48993077059222445</v>
      </c>
      <c r="M179">
        <v>179</v>
      </c>
      <c r="O179">
        <f t="shared" si="17"/>
        <v>0.71349118236472509</v>
      </c>
      <c r="P179">
        <f>[1]!XLSTAT_PDFWeibull(O179,5,1)</f>
        <v>1.077016261033898</v>
      </c>
      <c r="Q179">
        <v>179</v>
      </c>
      <c r="S179">
        <f t="shared" si="18"/>
        <v>0.71349118236472509</v>
      </c>
      <c r="T179">
        <f>[1]!XLSTAT_PDFWeibull(S179,10,1)</f>
        <v>0.46307294552411449</v>
      </c>
      <c r="U179">
        <v>179</v>
      </c>
      <c r="W179">
        <f t="shared" si="19"/>
        <v>0.71349118236472509</v>
      </c>
      <c r="X179">
        <f>[1]!XLSTAT_PDFWeibull(W179,10,5)</f>
        <v>4.9067897305790173E-8</v>
      </c>
      <c r="Y179">
        <v>179</v>
      </c>
      <c r="AA179">
        <f t="shared" si="20"/>
        <v>0.71349118236472509</v>
      </c>
      <c r="AB179">
        <f>[1]!XLSTAT_PDFWeibull(AA179,10,5)</f>
        <v>4.9067897305790173E-8</v>
      </c>
    </row>
    <row r="180" spans="1:28" x14ac:dyDescent="0.3">
      <c r="A180">
        <v>180</v>
      </c>
      <c r="C180">
        <f t="shared" si="14"/>
        <v>-1.1302605210420862</v>
      </c>
      <c r="D180">
        <f>[1]!XLSTAT_PDFNormal(C180,0,1)</f>
        <v>0.21062353025496308</v>
      </c>
      <c r="E180">
        <v>180</v>
      </c>
      <c r="G180">
        <f t="shared" si="15"/>
        <v>0.71749899799598749</v>
      </c>
      <c r="H180">
        <f>[1]!XLSTAT_PDFWeibull(G180,1)</f>
        <v>0.48797114791785134</v>
      </c>
      <c r="I180">
        <v>180</v>
      </c>
      <c r="K180">
        <f t="shared" si="16"/>
        <v>0.71749899799598749</v>
      </c>
      <c r="L180">
        <f>[1]!XLSTAT_PDFWeibull(K180,1,1)</f>
        <v>0.48797114791785134</v>
      </c>
      <c r="M180">
        <v>180</v>
      </c>
      <c r="O180">
        <f t="shared" si="17"/>
        <v>0.71749899799598749</v>
      </c>
      <c r="P180">
        <f>[1]!XLSTAT_PDFWeibull(O180,5,1)</f>
        <v>1.0956508282362281</v>
      </c>
      <c r="Q180">
        <v>180</v>
      </c>
      <c r="S180">
        <f t="shared" si="18"/>
        <v>0.71749899799598749</v>
      </c>
      <c r="T180">
        <f>[1]!XLSTAT_PDFWeibull(S180,10,1)</f>
        <v>0.48605807180477284</v>
      </c>
      <c r="U180">
        <v>180</v>
      </c>
      <c r="W180">
        <f t="shared" si="19"/>
        <v>0.71749899799598749</v>
      </c>
      <c r="X180">
        <f>[1]!XLSTAT_PDFWeibull(W180,10,5)</f>
        <v>5.1604983695064029E-8</v>
      </c>
      <c r="Y180">
        <v>180</v>
      </c>
      <c r="AA180">
        <f t="shared" si="20"/>
        <v>0.71749899799598749</v>
      </c>
      <c r="AB180">
        <f>[1]!XLSTAT_PDFWeibull(AA180,10,5)</f>
        <v>5.1604983695064029E-8</v>
      </c>
    </row>
    <row r="181" spans="1:28" x14ac:dyDescent="0.3">
      <c r="A181">
        <v>181</v>
      </c>
      <c r="C181">
        <f t="shared" si="14"/>
        <v>-1.1142284569138297</v>
      </c>
      <c r="D181">
        <f>[1]!XLSTAT_PDFNormal(C181,0,1)</f>
        <v>0.2144473424912243</v>
      </c>
      <c r="E181">
        <v>181</v>
      </c>
      <c r="G181">
        <f t="shared" si="15"/>
        <v>0.72150681362725</v>
      </c>
      <c r="H181">
        <f>[1]!XLSTAT_PDFWeibull(G181,1)</f>
        <v>0.48601936333256424</v>
      </c>
      <c r="I181">
        <v>181</v>
      </c>
      <c r="K181">
        <f t="shared" si="16"/>
        <v>0.72150681362725</v>
      </c>
      <c r="L181">
        <f>[1]!XLSTAT_PDFWeibull(K181,1,1)</f>
        <v>0.48601936333256424</v>
      </c>
      <c r="M181">
        <v>181</v>
      </c>
      <c r="O181">
        <f t="shared" si="17"/>
        <v>0.72150681362725</v>
      </c>
      <c r="P181">
        <f>[1]!XLSTAT_PDFWeibull(O181,5,1)</f>
        <v>1.1143364702706264</v>
      </c>
      <c r="Q181">
        <v>181</v>
      </c>
      <c r="S181">
        <f t="shared" si="18"/>
        <v>0.72150681362725</v>
      </c>
      <c r="T181">
        <f>[1]!XLSTAT_PDFWeibull(S181,10,1)</f>
        <v>0.50998904842488413</v>
      </c>
      <c r="U181">
        <v>181</v>
      </c>
      <c r="W181">
        <f t="shared" si="19"/>
        <v>0.72150681362725</v>
      </c>
      <c r="X181">
        <f>[1]!XLSTAT_PDFWeibull(W181,10,5)</f>
        <v>5.4258013057427268E-8</v>
      </c>
      <c r="Y181">
        <v>181</v>
      </c>
      <c r="AA181">
        <f t="shared" si="20"/>
        <v>0.72150681362725</v>
      </c>
      <c r="AB181">
        <f>[1]!XLSTAT_PDFWeibull(AA181,10,5)</f>
        <v>5.4258013057427268E-8</v>
      </c>
    </row>
    <row r="182" spans="1:28" x14ac:dyDescent="0.3">
      <c r="A182">
        <v>182</v>
      </c>
      <c r="C182">
        <f t="shared" si="14"/>
        <v>-1.0981963927855731</v>
      </c>
      <c r="D182">
        <f>[1]!XLSTAT_PDFNormal(C182,0,1)</f>
        <v>0.21828446275747773</v>
      </c>
      <c r="E182">
        <v>182</v>
      </c>
      <c r="G182">
        <f t="shared" si="15"/>
        <v>0.72551462925851251</v>
      </c>
      <c r="H182">
        <f>[1]!XLSTAT_PDFWeibull(G182,1)</f>
        <v>0.48407538548561324</v>
      </c>
      <c r="I182">
        <v>182</v>
      </c>
      <c r="K182">
        <f t="shared" si="16"/>
        <v>0.72551462925851251</v>
      </c>
      <c r="L182">
        <f>[1]!XLSTAT_PDFWeibull(K182,1,1)</f>
        <v>0.48407538548561324</v>
      </c>
      <c r="M182">
        <v>182</v>
      </c>
      <c r="O182">
        <f t="shared" si="17"/>
        <v>0.72551462925851251</v>
      </c>
      <c r="P182">
        <f>[1]!XLSTAT_PDFWeibull(O182,5,1)</f>
        <v>1.1330641839556443</v>
      </c>
      <c r="Q182">
        <v>182</v>
      </c>
      <c r="S182">
        <f t="shared" si="18"/>
        <v>0.72551462925851251</v>
      </c>
      <c r="T182">
        <f>[1]!XLSTAT_PDFWeibull(S182,10,1)</f>
        <v>0.53489288514465405</v>
      </c>
      <c r="U182">
        <v>182</v>
      </c>
      <c r="W182">
        <f t="shared" si="19"/>
        <v>0.72551462925851251</v>
      </c>
      <c r="X182">
        <f>[1]!XLSTAT_PDFWeibull(W182,10,5)</f>
        <v>5.703159537798041E-8</v>
      </c>
      <c r="Y182">
        <v>182</v>
      </c>
      <c r="AA182">
        <f t="shared" si="20"/>
        <v>0.72551462925851251</v>
      </c>
      <c r="AB182">
        <f>[1]!XLSTAT_PDFWeibull(AA182,10,5)</f>
        <v>5.703159537798041E-8</v>
      </c>
    </row>
    <row r="183" spans="1:28" x14ac:dyDescent="0.3">
      <c r="A183">
        <v>183</v>
      </c>
      <c r="C183">
        <f t="shared" si="14"/>
        <v>-1.0821643286573166</v>
      </c>
      <c r="D183">
        <f>[1]!XLSTAT_PDFNormal(C183,0,1)</f>
        <v>0.22213313929634637</v>
      </c>
      <c r="E183">
        <v>183</v>
      </c>
      <c r="G183">
        <f t="shared" si="15"/>
        <v>0.72952244488977502</v>
      </c>
      <c r="H183">
        <f>[1]!XLSTAT_PDFWeibull(G183,1)</f>
        <v>0.482139183151645</v>
      </c>
      <c r="I183">
        <v>183</v>
      </c>
      <c r="K183">
        <f t="shared" si="16"/>
        <v>0.72952244488977502</v>
      </c>
      <c r="L183">
        <f>[1]!XLSTAT_PDFWeibull(K183,1,1)</f>
        <v>0.482139183151645</v>
      </c>
      <c r="M183">
        <v>183</v>
      </c>
      <c r="O183">
        <f t="shared" si="17"/>
        <v>0.72952244488977502</v>
      </c>
      <c r="P183">
        <f>[1]!XLSTAT_PDFWeibull(O183,5,1)</f>
        <v>1.1518246956780578</v>
      </c>
      <c r="Q183">
        <v>183</v>
      </c>
      <c r="S183">
        <f t="shared" si="18"/>
        <v>0.72952244488977502</v>
      </c>
      <c r="T183">
        <f>[1]!XLSTAT_PDFWeibull(S183,10,1)</f>
        <v>0.56079652309470318</v>
      </c>
      <c r="U183">
        <v>183</v>
      </c>
      <c r="W183">
        <f t="shared" si="19"/>
        <v>0.72952244488977502</v>
      </c>
      <c r="X183">
        <f>[1]!XLSTAT_PDFWeibull(W183,10,5)</f>
        <v>5.9930496870041797E-8</v>
      </c>
      <c r="Y183">
        <v>183</v>
      </c>
      <c r="AA183">
        <f t="shared" si="20"/>
        <v>0.72952244488977502</v>
      </c>
      <c r="AB183">
        <f>[1]!XLSTAT_PDFWeibull(AA183,10,5)</f>
        <v>5.9930496870041797E-8</v>
      </c>
    </row>
    <row r="184" spans="1:28" x14ac:dyDescent="0.3">
      <c r="A184">
        <v>184</v>
      </c>
      <c r="C184">
        <f t="shared" si="14"/>
        <v>-1.0661322645290601</v>
      </c>
      <c r="D184">
        <f>[1]!XLSTAT_PDFNormal(C184,0,1)</f>
        <v>0.22599158024892105</v>
      </c>
      <c r="E184">
        <v>184</v>
      </c>
      <c r="G184">
        <f t="shared" si="15"/>
        <v>0.73353026052103754</v>
      </c>
      <c r="H184">
        <f>[1]!XLSTAT_PDFWeibull(G184,1)</f>
        <v>0.48021072523020103</v>
      </c>
      <c r="I184">
        <v>184</v>
      </c>
      <c r="K184">
        <f t="shared" si="16"/>
        <v>0.73353026052103754</v>
      </c>
      <c r="L184">
        <f>[1]!XLSTAT_PDFWeibull(K184,1,1)</f>
        <v>0.48021072523020103</v>
      </c>
      <c r="M184">
        <v>184</v>
      </c>
      <c r="O184">
        <f t="shared" si="17"/>
        <v>0.73353026052103754</v>
      </c>
      <c r="P184">
        <f>[1]!XLSTAT_PDFWeibull(O184,5,1)</f>
        <v>1.1706084628688556</v>
      </c>
      <c r="Q184">
        <v>184</v>
      </c>
      <c r="S184">
        <f t="shared" si="18"/>
        <v>0.73353026052103754</v>
      </c>
      <c r="T184">
        <f>[1]!XLSTAT_PDFWeibull(S184,10,1)</f>
        <v>0.58772675140834096</v>
      </c>
      <c r="U184">
        <v>184</v>
      </c>
      <c r="W184">
        <f t="shared" si="19"/>
        <v>0.73353026052103754</v>
      </c>
      <c r="X184">
        <f>[1]!XLSTAT_PDFWeibull(W184,10,5)</f>
        <v>6.2959644362511171E-8</v>
      </c>
      <c r="Y184">
        <v>184</v>
      </c>
      <c r="AA184">
        <f t="shared" si="20"/>
        <v>0.73353026052103754</v>
      </c>
      <c r="AB184">
        <f>[1]!XLSTAT_PDFWeibull(AA184,10,5)</f>
        <v>6.2959644362511171E-8</v>
      </c>
    </row>
    <row r="185" spans="1:28" x14ac:dyDescent="0.3">
      <c r="A185">
        <v>185</v>
      </c>
      <c r="C185">
        <f t="shared" si="14"/>
        <v>-1.050100200400804</v>
      </c>
      <c r="D185">
        <f>[1]!XLSTAT_PDFNormal(C185,0,1)</f>
        <v>0.22985795480583113</v>
      </c>
      <c r="E185">
        <v>185</v>
      </c>
      <c r="G185">
        <f t="shared" si="15"/>
        <v>0.73753807615230005</v>
      </c>
      <c r="H185">
        <f>[1]!XLSTAT_PDFWeibull(G185,1)</f>
        <v>0.47828998074521839</v>
      </c>
      <c r="I185">
        <v>185</v>
      </c>
      <c r="K185">
        <f t="shared" si="16"/>
        <v>0.73753807615230005</v>
      </c>
      <c r="L185">
        <f>[1]!XLSTAT_PDFWeibull(K185,1,1)</f>
        <v>0.47828998074521839</v>
      </c>
      <c r="M185">
        <v>185</v>
      </c>
      <c r="O185">
        <f t="shared" si="17"/>
        <v>0.73753807615230005</v>
      </c>
      <c r="P185">
        <f>[1]!XLSTAT_PDFWeibull(O185,5,1)</f>
        <v>1.1894056759051601</v>
      </c>
      <c r="Q185">
        <v>185</v>
      </c>
      <c r="S185">
        <f t="shared" si="18"/>
        <v>0.73753807615230005</v>
      </c>
      <c r="T185">
        <f>[1]!XLSTAT_PDFWeibull(S185,10,1)</f>
        <v>0.61571011634480388</v>
      </c>
      <c r="U185">
        <v>185</v>
      </c>
      <c r="W185">
        <f t="shared" si="19"/>
        <v>0.73753807615230005</v>
      </c>
      <c r="X185">
        <f>[1]!XLSTAT_PDFWeibull(W185,10,5)</f>
        <v>6.6124129785250359E-8</v>
      </c>
      <c r="Y185">
        <v>185</v>
      </c>
      <c r="AA185">
        <f t="shared" si="20"/>
        <v>0.73753807615230005</v>
      </c>
      <c r="AB185">
        <f>[1]!XLSTAT_PDFWeibull(AA185,10,5)</f>
        <v>6.6124129785250359E-8</v>
      </c>
    </row>
    <row r="186" spans="1:28" x14ac:dyDescent="0.3">
      <c r="A186">
        <v>186</v>
      </c>
      <c r="C186">
        <f t="shared" si="14"/>
        <v>-1.0340681362725475</v>
      </c>
      <c r="D186">
        <f>[1]!XLSTAT_PDFNormal(C186,0,1)</f>
        <v>0.23373039442893967</v>
      </c>
      <c r="E186">
        <v>186</v>
      </c>
      <c r="G186">
        <f t="shared" si="15"/>
        <v>0.74154589178356256</v>
      </c>
      <c r="H186">
        <f>[1]!XLSTAT_PDFWeibull(G186,1)</f>
        <v>0.47637691884453215</v>
      </c>
      <c r="I186">
        <v>186</v>
      </c>
      <c r="K186">
        <f t="shared" si="16"/>
        <v>0.74154589178356256</v>
      </c>
      <c r="L186">
        <f>[1]!XLSTAT_PDFWeibull(K186,1,1)</f>
        <v>0.47637691884453215</v>
      </c>
      <c r="M186">
        <v>186</v>
      </c>
      <c r="O186">
        <f t="shared" si="17"/>
        <v>0.74154589178356256</v>
      </c>
      <c r="P186">
        <f>[1]!XLSTAT_PDFWeibull(O186,5,1)</f>
        <v>1.2082062604529007</v>
      </c>
      <c r="Q186">
        <v>186</v>
      </c>
      <c r="S186">
        <f t="shared" si="18"/>
        <v>0.74154589178356256</v>
      </c>
      <c r="T186">
        <f>[1]!XLSTAT_PDFWeibull(S186,10,1)</f>
        <v>0.64477282251252366</v>
      </c>
      <c r="U186">
        <v>186</v>
      </c>
      <c r="W186">
        <f t="shared" si="19"/>
        <v>0.74154589178356256</v>
      </c>
      <c r="X186">
        <f>[1]!XLSTAT_PDFWeibull(W186,10,5)</f>
        <v>6.9429214754119099E-8</v>
      </c>
      <c r="Y186">
        <v>186</v>
      </c>
      <c r="AA186">
        <f t="shared" si="20"/>
        <v>0.74154589178356256</v>
      </c>
      <c r="AB186">
        <f>[1]!XLSTAT_PDFWeibull(AA186,10,5)</f>
        <v>6.9429214754119099E-8</v>
      </c>
    </row>
    <row r="187" spans="1:28" x14ac:dyDescent="0.3">
      <c r="A187">
        <v>187</v>
      </c>
      <c r="C187">
        <f t="shared" si="14"/>
        <v>-1.0180360721442909</v>
      </c>
      <c r="D187">
        <f>[1]!XLSTAT_PDFNormal(C187,0,1)</f>
        <v>0.23760699414298758</v>
      </c>
      <c r="E187">
        <v>187</v>
      </c>
      <c r="G187">
        <f t="shared" si="15"/>
        <v>0.74555370741482507</v>
      </c>
      <c r="H187">
        <f>[1]!XLSTAT_PDFWeibull(G187,1)</f>
        <v>0.47447150879937955</v>
      </c>
      <c r="I187">
        <v>187</v>
      </c>
      <c r="K187">
        <f t="shared" si="16"/>
        <v>0.74555370741482507</v>
      </c>
      <c r="L187">
        <f>[1]!XLSTAT_PDFWeibull(K187,1,1)</f>
        <v>0.47447150879937955</v>
      </c>
      <c r="M187">
        <v>187</v>
      </c>
      <c r="O187">
        <f t="shared" si="17"/>
        <v>0.74555370741482507</v>
      </c>
      <c r="P187">
        <f>[1]!XLSTAT_PDFWeibull(O187,5,1)</f>
        <v>1.2269998802648421</v>
      </c>
      <c r="Q187">
        <v>187</v>
      </c>
      <c r="S187">
        <f t="shared" si="18"/>
        <v>0.74555370741482507</v>
      </c>
      <c r="T187">
        <f>[1]!XLSTAT_PDFWeibull(S187,10,1)</f>
        <v>0.67494062580075165</v>
      </c>
      <c r="U187">
        <v>187</v>
      </c>
      <c r="W187">
        <f t="shared" si="19"/>
        <v>0.74555370741482507</v>
      </c>
      <c r="X187">
        <f>[1]!XLSTAT_PDFWeibull(W187,10,5)</f>
        <v>7.2880335257317412E-8</v>
      </c>
      <c r="Y187">
        <v>187</v>
      </c>
      <c r="AA187">
        <f t="shared" si="20"/>
        <v>0.74555370741482507</v>
      </c>
      <c r="AB187">
        <f>[1]!XLSTAT_PDFWeibull(AA187,10,5)</f>
        <v>7.2880335257317412E-8</v>
      </c>
    </row>
    <row r="188" spans="1:28" x14ac:dyDescent="0.3">
      <c r="A188">
        <v>188</v>
      </c>
      <c r="C188">
        <f t="shared" si="14"/>
        <v>-1.0020040080160344</v>
      </c>
      <c r="D188">
        <f>[1]!XLSTAT_PDFNormal(C188,0,1)</f>
        <v>0.24148581389637808</v>
      </c>
      <c r="E188">
        <v>188</v>
      </c>
      <c r="G188">
        <f t="shared" si="15"/>
        <v>0.74956152304608759</v>
      </c>
      <c r="H188">
        <f>[1]!XLSTAT_PDFWeibull(G188,1)</f>
        <v>0.47257372000390668</v>
      </c>
      <c r="I188">
        <v>188</v>
      </c>
      <c r="K188">
        <f t="shared" si="16"/>
        <v>0.74956152304608759</v>
      </c>
      <c r="L188">
        <f>[1]!XLSTAT_PDFWeibull(K188,1,1)</f>
        <v>0.47257372000390668</v>
      </c>
      <c r="M188">
        <v>188</v>
      </c>
      <c r="O188">
        <f t="shared" si="17"/>
        <v>0.74956152304608759</v>
      </c>
      <c r="P188">
        <f>[1]!XLSTAT_PDFWeibull(O188,5,1)</f>
        <v>1.2457759404482851</v>
      </c>
      <c r="Q188">
        <v>188</v>
      </c>
      <c r="S188">
        <f t="shared" si="18"/>
        <v>0.74956152304608759</v>
      </c>
      <c r="T188">
        <f>[1]!XLSTAT_PDFWeibull(S188,10,1)</f>
        <v>0.70623871762995294</v>
      </c>
      <c r="U188">
        <v>188</v>
      </c>
      <c r="W188">
        <f t="shared" si="19"/>
        <v>0.74956152304608759</v>
      </c>
      <c r="X188">
        <f>[1]!XLSTAT_PDFWeibull(W188,10,5)</f>
        <v>7.6483106444699442E-8</v>
      </c>
      <c r="Y188">
        <v>188</v>
      </c>
      <c r="AA188">
        <f t="shared" si="20"/>
        <v>0.74956152304608759</v>
      </c>
      <c r="AB188">
        <f>[1]!XLSTAT_PDFWeibull(AA188,10,5)</f>
        <v>7.6483106444699442E-8</v>
      </c>
    </row>
    <row r="189" spans="1:28" x14ac:dyDescent="0.3">
      <c r="A189">
        <v>189</v>
      </c>
      <c r="C189">
        <f t="shared" si="14"/>
        <v>-0.98597194388777787</v>
      </c>
      <c r="D189">
        <f>[1]!XLSTAT_PDFNormal(C189,0,1)</f>
        <v>0.24536487999014822</v>
      </c>
      <c r="E189">
        <v>189</v>
      </c>
      <c r="G189">
        <f t="shared" si="15"/>
        <v>0.75356933867734999</v>
      </c>
      <c r="H189">
        <f>[1]!XLSTAT_PDFWeibull(G189,1)</f>
        <v>0.47068352197467678</v>
      </c>
      <c r="I189">
        <v>189</v>
      </c>
      <c r="K189">
        <f t="shared" si="16"/>
        <v>0.75356933867734999</v>
      </c>
      <c r="L189">
        <f>[1]!XLSTAT_PDFWeibull(K189,1,1)</f>
        <v>0.47068352197467678</v>
      </c>
      <c r="M189">
        <v>189</v>
      </c>
      <c r="O189">
        <f t="shared" si="17"/>
        <v>0.75356933867734999</v>
      </c>
      <c r="P189">
        <f>[1]!XLSTAT_PDFWeibull(O189,5,1)</f>
        <v>1.2645235912164483</v>
      </c>
      <c r="Q189">
        <v>189</v>
      </c>
      <c r="S189">
        <f t="shared" si="18"/>
        <v>0.75356933867734999</v>
      </c>
      <c r="T189">
        <f>[1]!XLSTAT_PDFWeibull(S189,10,1)</f>
        <v>0.73869160013671964</v>
      </c>
      <c r="U189">
        <v>189</v>
      </c>
      <c r="W189">
        <f t="shared" si="19"/>
        <v>0.75356933867734999</v>
      </c>
      <c r="X189">
        <f>[1]!XLSTAT_PDFWeibull(W189,10,5)</f>
        <v>8.0243327521751392E-8</v>
      </c>
      <c r="Y189">
        <v>189</v>
      </c>
      <c r="AA189">
        <f t="shared" si="20"/>
        <v>0.75356933867734999</v>
      </c>
      <c r="AB189">
        <f>[1]!XLSTAT_PDFWeibull(AA189,10,5)</f>
        <v>8.0243327521751392E-8</v>
      </c>
    </row>
    <row r="190" spans="1:28" x14ac:dyDescent="0.3">
      <c r="A190">
        <v>190</v>
      </c>
      <c r="C190">
        <f t="shared" si="14"/>
        <v>-0.96993987975952134</v>
      </c>
      <c r="D190">
        <f>[1]!XLSTAT_PDFNormal(C190,0,1)</f>
        <v>0.24924218657403788</v>
      </c>
      <c r="E190">
        <v>190</v>
      </c>
      <c r="G190">
        <f t="shared" si="15"/>
        <v>0.7575771543086125</v>
      </c>
      <c r="H190">
        <f>[1]!XLSTAT_PDFWeibull(G190,1)</f>
        <v>0.46880088435018047</v>
      </c>
      <c r="I190">
        <v>190</v>
      </c>
      <c r="K190">
        <f t="shared" si="16"/>
        <v>0.7575771543086125</v>
      </c>
      <c r="L190">
        <f>[1]!XLSTAT_PDFWeibull(K190,1,1)</f>
        <v>0.46880088435018047</v>
      </c>
      <c r="M190">
        <v>190</v>
      </c>
      <c r="O190">
        <f t="shared" si="17"/>
        <v>0.7575771543086125</v>
      </c>
      <c r="P190">
        <f>[1]!XLSTAT_PDFWeibull(O190,5,1)</f>
        <v>1.2832317321371522</v>
      </c>
      <c r="Q190">
        <v>190</v>
      </c>
      <c r="S190">
        <f t="shared" si="18"/>
        <v>0.7575771543086125</v>
      </c>
      <c r="T190">
        <f>[1]!XLSTAT_PDFWeibull(S190,10,1)</f>
        <v>0.77232295191796629</v>
      </c>
      <c r="U190">
        <v>190</v>
      </c>
      <c r="W190">
        <f t="shared" si="19"/>
        <v>0.7575771543086125</v>
      </c>
      <c r="X190">
        <f>[1]!XLSTAT_PDFWeibull(W190,10,5)</f>
        <v>8.4166986749940066E-8</v>
      </c>
      <c r="Y190">
        <v>190</v>
      </c>
      <c r="AA190">
        <f t="shared" si="20"/>
        <v>0.7575771543086125</v>
      </c>
      <c r="AB190">
        <f>[1]!XLSTAT_PDFWeibull(AA190,10,5)</f>
        <v>8.4166986749940066E-8</v>
      </c>
    </row>
    <row r="191" spans="1:28" x14ac:dyDescent="0.3">
      <c r="A191">
        <v>191</v>
      </c>
      <c r="C191">
        <f t="shared" si="14"/>
        <v>-0.95390781563126481</v>
      </c>
      <c r="D191">
        <f>[1]!XLSTAT_PDFNormal(C191,0,1)</f>
        <v>0.2531156972084258</v>
      </c>
      <c r="E191">
        <v>191</v>
      </c>
      <c r="G191">
        <f t="shared" si="15"/>
        <v>0.76158496993987501</v>
      </c>
      <c r="H191">
        <f>[1]!XLSTAT_PDFWeibull(G191,1)</f>
        <v>0.46692577689034825</v>
      </c>
      <c r="I191">
        <v>191</v>
      </c>
      <c r="K191">
        <f t="shared" si="16"/>
        <v>0.76158496993987501</v>
      </c>
      <c r="L191">
        <f>[1]!XLSTAT_PDFWeibull(K191,1,1)</f>
        <v>0.46692577689034825</v>
      </c>
      <c r="M191">
        <v>191</v>
      </c>
      <c r="O191">
        <f t="shared" si="17"/>
        <v>0.76158496993987501</v>
      </c>
      <c r="P191">
        <f>[1]!XLSTAT_PDFWeibull(O191,5,1)</f>
        <v>1.3018890168919959</v>
      </c>
      <c r="Q191">
        <v>191</v>
      </c>
      <c r="S191">
        <f t="shared" si="18"/>
        <v>0.76158496993987501</v>
      </c>
      <c r="T191">
        <f>[1]!XLSTAT_PDFWeibull(S191,10,1)</f>
        <v>0.80715548397235615</v>
      </c>
      <c r="U191">
        <v>191</v>
      </c>
      <c r="W191">
        <f t="shared" si="19"/>
        <v>0.76158496993987501</v>
      </c>
      <c r="X191">
        <f>[1]!XLSTAT_PDFWeibull(W191,10,5)</f>
        <v>8.8260266555148738E-8</v>
      </c>
      <c r="Y191">
        <v>191</v>
      </c>
      <c r="AA191">
        <f t="shared" si="20"/>
        <v>0.76158496993987501</v>
      </c>
      <c r="AB191">
        <f>[1]!XLSTAT_PDFWeibull(AA191,10,5)</f>
        <v>8.8260266555148738E-8</v>
      </c>
    </row>
    <row r="192" spans="1:28" x14ac:dyDescent="0.3">
      <c r="A192">
        <v>192</v>
      </c>
      <c r="C192">
        <f t="shared" si="14"/>
        <v>-0.93787575150300828</v>
      </c>
      <c r="D192">
        <f>[1]!XLSTAT_PDFNormal(C192,0,1)</f>
        <v>0.25698334649076371</v>
      </c>
      <c r="E192">
        <v>192</v>
      </c>
      <c r="G192">
        <f t="shared" si="15"/>
        <v>0.76559278557113752</v>
      </c>
      <c r="H192">
        <f>[1]!XLSTAT_PDFWeibull(G192,1)</f>
        <v>0.46505816947606482</v>
      </c>
      <c r="I192">
        <v>192</v>
      </c>
      <c r="K192">
        <f t="shared" si="16"/>
        <v>0.76559278557113752</v>
      </c>
      <c r="L192">
        <f>[1]!XLSTAT_PDFWeibull(K192,1,1)</f>
        <v>0.46505816947606482</v>
      </c>
      <c r="M192">
        <v>192</v>
      </c>
      <c r="O192">
        <f t="shared" si="17"/>
        <v>0.76559278557113752</v>
      </c>
      <c r="P192">
        <f>[1]!XLSTAT_PDFWeibull(O192,5,1)</f>
        <v>1.3204838585587382</v>
      </c>
      <c r="Q192">
        <v>192</v>
      </c>
      <c r="S192">
        <f t="shared" si="18"/>
        <v>0.76559278557113752</v>
      </c>
      <c r="T192">
        <f>[1]!XLSTAT_PDFWeibull(S192,10,1)</f>
        <v>0.84321078549479533</v>
      </c>
      <c r="U192">
        <v>192</v>
      </c>
      <c r="W192">
        <f t="shared" si="19"/>
        <v>0.76559278557113752</v>
      </c>
      <c r="X192">
        <f>[1]!XLSTAT_PDFWeibull(W192,10,5)</f>
        <v>9.2529548745954914E-8</v>
      </c>
      <c r="Y192">
        <v>192</v>
      </c>
      <c r="AA192">
        <f t="shared" si="20"/>
        <v>0.76559278557113752</v>
      </c>
      <c r="AB192">
        <f>[1]!XLSTAT_PDFWeibull(AA192,10,5)</f>
        <v>9.2529548745954914E-8</v>
      </c>
    </row>
    <row r="193" spans="1:28" x14ac:dyDescent="0.3">
      <c r="A193">
        <v>193</v>
      </c>
      <c r="C193">
        <f t="shared" ref="C193:C256" si="21">-4+(A193-1)*0.0160320641282565</f>
        <v>-0.92184368737475175</v>
      </c>
      <c r="D193">
        <f>[1]!XLSTAT_PDFNormal(C193,0,1)</f>
        <v>0.26084304174499928</v>
      </c>
      <c r="E193">
        <v>193</v>
      </c>
      <c r="G193">
        <f t="shared" ref="G193:G256" si="22">0.0001+(E193-1)*0.0040078156312625</f>
        <v>0.76960060120240004</v>
      </c>
      <c r="H193">
        <f>[1]!XLSTAT_PDFWeibull(G193,1)</f>
        <v>0.46319803210868504</v>
      </c>
      <c r="I193">
        <v>193</v>
      </c>
      <c r="K193">
        <f t="shared" ref="K193:K256" si="23">0.0001+(I193-1)*0.0040078156312625</f>
        <v>0.76960060120240004</v>
      </c>
      <c r="L193">
        <f>[1]!XLSTAT_PDFWeibull(K193,1,1)</f>
        <v>0.46319803210868504</v>
      </c>
      <c r="M193">
        <v>193</v>
      </c>
      <c r="O193">
        <f t="shared" ref="O193:O256" si="24">0.0001+(M193-1)*0.0040078156312625</f>
        <v>0.76960060120240004</v>
      </c>
      <c r="P193">
        <f>[1]!XLSTAT_PDFWeibull(O193,5,1)</f>
        <v>1.3390044354290467</v>
      </c>
      <c r="Q193">
        <v>193</v>
      </c>
      <c r="S193">
        <f t="shared" ref="S193:S256" si="25">0.0001+(Q193-1)*0.0040078156312625</f>
        <v>0.76960060120240004</v>
      </c>
      <c r="T193">
        <f>[1]!XLSTAT_PDFWeibull(S193,10,1)</f>
        <v>0.88050915920295436</v>
      </c>
      <c r="U193">
        <v>193</v>
      </c>
      <c r="W193">
        <f t="shared" ref="W193:W256" si="26">0.0001+(U193-1)*0.0040078156312625</f>
        <v>0.76960060120240004</v>
      </c>
      <c r="X193">
        <f>[1]!XLSTAT_PDFWeibull(W193,10,5)</f>
        <v>9.6981419843503054E-8</v>
      </c>
      <c r="Y193">
        <v>193</v>
      </c>
      <c r="AA193">
        <f t="shared" ref="AA193:AA256" si="27">0.0001+(Y193-1)*0.0040078156312625</f>
        <v>0.76960060120240004</v>
      </c>
      <c r="AB193">
        <f>[1]!XLSTAT_PDFWeibull(AA193,10,5)</f>
        <v>9.6981419843503054E-8</v>
      </c>
    </row>
    <row r="194" spans="1:28" x14ac:dyDescent="0.3">
      <c r="A194">
        <v>194</v>
      </c>
      <c r="C194">
        <f t="shared" si="21"/>
        <v>-0.90581162324649522</v>
      </c>
      <c r="D194">
        <f>[1]!XLSTAT_PDFNormal(C194,0,1)</f>
        <v>0.26469266477234343</v>
      </c>
      <c r="E194">
        <v>194</v>
      </c>
      <c r="G194">
        <f t="shared" si="22"/>
        <v>0.77360841683366255</v>
      </c>
      <c r="H194">
        <f>[1]!XLSTAT_PDFWeibull(G194,1)</f>
        <v>0.46134533490955215</v>
      </c>
      <c r="I194">
        <v>194</v>
      </c>
      <c r="K194">
        <f t="shared" si="23"/>
        <v>0.77360841683366255</v>
      </c>
      <c r="L194">
        <f>[1]!XLSTAT_PDFWeibull(K194,1,1)</f>
        <v>0.46134533490955215</v>
      </c>
      <c r="M194">
        <v>194</v>
      </c>
      <c r="O194">
        <f t="shared" si="24"/>
        <v>0.77360841683366255</v>
      </c>
      <c r="P194">
        <f>[1]!XLSTAT_PDFWeibull(O194,5,1)</f>
        <v>1.3574386973731545</v>
      </c>
      <c r="Q194">
        <v>194</v>
      </c>
      <c r="S194">
        <f t="shared" si="25"/>
        <v>0.77360841683366255</v>
      </c>
      <c r="T194">
        <f>[1]!XLSTAT_PDFWeibull(S194,10,1)</f>
        <v>0.91906944590371253</v>
      </c>
      <c r="U194">
        <v>194</v>
      </c>
      <c r="W194">
        <f t="shared" si="26"/>
        <v>0.77360841683366255</v>
      </c>
      <c r="X194">
        <f>[1]!XLSTAT_PDFWeibull(W194,10,5)</f>
        <v>1.0162267652475769E-7</v>
      </c>
      <c r="Y194">
        <v>194</v>
      </c>
      <c r="AA194">
        <f t="shared" si="27"/>
        <v>0.77360841683366255</v>
      </c>
      <c r="AB194">
        <f>[1]!XLSTAT_PDFWeibull(AA194,10,5)</f>
        <v>1.0162267652475769E-7</v>
      </c>
    </row>
    <row r="195" spans="1:28" x14ac:dyDescent="0.3">
      <c r="A195">
        <v>195</v>
      </c>
      <c r="C195">
        <f t="shared" si="21"/>
        <v>-0.88977955911823869</v>
      </c>
      <c r="D195">
        <f>[1]!XLSTAT_PDFNormal(C195,0,1)</f>
        <v>0.26853007366159781</v>
      </c>
      <c r="E195">
        <v>195</v>
      </c>
      <c r="G195">
        <f t="shared" si="22"/>
        <v>0.77761623246492506</v>
      </c>
      <c r="H195">
        <f>[1]!XLSTAT_PDFWeibull(G195,1)</f>
        <v>0.45950004811951811</v>
      </c>
      <c r="I195">
        <v>195</v>
      </c>
      <c r="K195">
        <f t="shared" si="23"/>
        <v>0.77761623246492506</v>
      </c>
      <c r="L195">
        <f>[1]!XLSTAT_PDFWeibull(K195,1,1)</f>
        <v>0.45950004811951811</v>
      </c>
      <c r="M195">
        <v>195</v>
      </c>
      <c r="O195">
        <f t="shared" si="24"/>
        <v>0.77761623246492506</v>
      </c>
      <c r="P195">
        <f>[1]!XLSTAT_PDFWeibull(O195,5,1)</f>
        <v>1.3757743727623308</v>
      </c>
      <c r="Q195">
        <v>195</v>
      </c>
      <c r="S195">
        <f t="shared" si="25"/>
        <v>0.77761623246492506</v>
      </c>
      <c r="T195">
        <f>[1]!XLSTAT_PDFWeibull(S195,10,1)</f>
        <v>0.95890883804287352</v>
      </c>
      <c r="U195">
        <v>195</v>
      </c>
      <c r="W195">
        <f t="shared" si="26"/>
        <v>0.77761623246492506</v>
      </c>
      <c r="X195">
        <f>[1]!XLSTAT_PDFWeibull(W195,10,5)</f>
        <v>1.06460331180931E-7</v>
      </c>
      <c r="Y195">
        <v>195</v>
      </c>
      <c r="AA195">
        <f t="shared" si="27"/>
        <v>0.77761623246492506</v>
      </c>
      <c r="AB195">
        <f>[1]!XLSTAT_PDFWeibull(AA195,10,5)</f>
        <v>1.06460331180931E-7</v>
      </c>
    </row>
    <row r="196" spans="1:28" x14ac:dyDescent="0.3">
      <c r="A196">
        <v>196</v>
      </c>
      <c r="C196">
        <f t="shared" si="21"/>
        <v>-0.87374749498998217</v>
      </c>
      <c r="D196">
        <f>[1]!XLSTAT_PDFNormal(C196,0,1)</f>
        <v>0.27235310465712603</v>
      </c>
      <c r="E196">
        <v>196</v>
      </c>
      <c r="G196">
        <f t="shared" si="22"/>
        <v>0.78162404809618757</v>
      </c>
      <c r="H196">
        <f>[1]!XLSTAT_PDFWeibull(G196,1)</f>
        <v>0.45766214209846512</v>
      </c>
      <c r="I196">
        <v>196</v>
      </c>
      <c r="K196">
        <f t="shared" si="23"/>
        <v>0.78162404809618757</v>
      </c>
      <c r="L196">
        <f>[1]!XLSTAT_PDFWeibull(K196,1,1)</f>
        <v>0.45766214209846512</v>
      </c>
      <c r="M196">
        <v>196</v>
      </c>
      <c r="O196">
        <f t="shared" si="24"/>
        <v>0.78162404809618757</v>
      </c>
      <c r="P196">
        <f>[1]!XLSTAT_PDFWeibull(O196,5,1)</f>
        <v>1.3939989759593063</v>
      </c>
      <c r="Q196">
        <v>196</v>
      </c>
      <c r="S196">
        <f t="shared" si="25"/>
        <v>0.78162404809618757</v>
      </c>
      <c r="T196">
        <f>[1]!XLSTAT_PDFWeibull(S196,10,1)</f>
        <v>1.0000426820239865</v>
      </c>
      <c r="U196">
        <v>196</v>
      </c>
      <c r="W196">
        <f t="shared" si="26"/>
        <v>0.78162404809618757</v>
      </c>
      <c r="X196">
        <f>[1]!XLSTAT_PDFWeibull(W196,10,5)</f>
        <v>1.1150161759291057E-7</v>
      </c>
      <c r="Y196">
        <v>196</v>
      </c>
      <c r="AA196">
        <f t="shared" si="27"/>
        <v>0.78162404809618757</v>
      </c>
      <c r="AB196">
        <f>[1]!XLSTAT_PDFWeibull(AA196,10,5)</f>
        <v>1.1150161759291057E-7</v>
      </c>
    </row>
    <row r="197" spans="1:28" x14ac:dyDescent="0.3">
      <c r="A197">
        <v>197</v>
      </c>
      <c r="C197">
        <f t="shared" si="21"/>
        <v>-0.85771543086172564</v>
      </c>
      <c r="D197">
        <f>[1]!XLSTAT_PDFNormal(C197,0,1)</f>
        <v>0.27615957408241776</v>
      </c>
      <c r="E197">
        <v>197</v>
      </c>
      <c r="G197">
        <f t="shared" si="22"/>
        <v>0.78563186372745009</v>
      </c>
      <c r="H197">
        <f>[1]!XLSTAT_PDFWeibull(G197,1)</f>
        <v>0.45583158732482998</v>
      </c>
      <c r="I197">
        <v>197</v>
      </c>
      <c r="K197">
        <f t="shared" si="23"/>
        <v>0.78563186372745009</v>
      </c>
      <c r="L197">
        <f>[1]!XLSTAT_PDFWeibull(K197,1,1)</f>
        <v>0.45583158732482998</v>
      </c>
      <c r="M197">
        <v>197</v>
      </c>
      <c r="O197">
        <f t="shared" si="24"/>
        <v>0.78563186372745009</v>
      </c>
      <c r="P197">
        <f>[1]!XLSTAT_PDFWeibull(O197,5,1)</f>
        <v>1.4120998153860258</v>
      </c>
      <c r="Q197">
        <v>197</v>
      </c>
      <c r="S197">
        <f t="shared" si="25"/>
        <v>0.78563186372745009</v>
      </c>
      <c r="T197">
        <f>[1]!XLSTAT_PDFWeibull(S197,10,1)</f>
        <v>1.0424842691324618</v>
      </c>
      <c r="U197">
        <v>197</v>
      </c>
      <c r="W197">
        <f t="shared" si="26"/>
        <v>0.78563186372745009</v>
      </c>
      <c r="X197">
        <f>[1]!XLSTAT_PDFWeibull(W197,10,5)</f>
        <v>1.1675399672551499E-7</v>
      </c>
      <c r="Y197">
        <v>197</v>
      </c>
      <c r="AA197">
        <f t="shared" si="27"/>
        <v>0.78563186372745009</v>
      </c>
      <c r="AB197">
        <f>[1]!XLSTAT_PDFWeibull(AA197,10,5)</f>
        <v>1.1675399672551499E-7</v>
      </c>
    </row>
    <row r="198" spans="1:28" x14ac:dyDescent="0.3">
      <c r="A198">
        <v>198</v>
      </c>
      <c r="C198">
        <f t="shared" si="21"/>
        <v>-0.84168336673346911</v>
      </c>
      <c r="D198">
        <f>[1]!XLSTAT_PDFNormal(C198,0,1)</f>
        <v>0.27994728031706473</v>
      </c>
      <c r="E198">
        <v>198</v>
      </c>
      <c r="G198">
        <f t="shared" si="22"/>
        <v>0.78963967935871249</v>
      </c>
      <c r="H198">
        <f>[1]!XLSTAT_PDFWeibull(G198,1)</f>
        <v>0.4540083543951296</v>
      </c>
      <c r="I198">
        <v>198</v>
      </c>
      <c r="K198">
        <f t="shared" si="23"/>
        <v>0.78963967935871249</v>
      </c>
      <c r="L198">
        <f>[1]!XLSTAT_PDFWeibull(K198,1,1)</f>
        <v>0.4540083543951296</v>
      </c>
      <c r="M198">
        <v>198</v>
      </c>
      <c r="O198">
        <f t="shared" si="24"/>
        <v>0.78963967935871249</v>
      </c>
      <c r="P198">
        <f>[1]!XLSTAT_PDFWeibull(O198,5,1)</f>
        <v>1.4300640021772217</v>
      </c>
      <c r="Q198">
        <v>198</v>
      </c>
      <c r="S198">
        <f t="shared" si="25"/>
        <v>0.78963967935871249</v>
      </c>
      <c r="T198">
        <f>[1]!XLSTAT_PDFWeibull(S198,10,1)</f>
        <v>1.0862446149599634</v>
      </c>
      <c r="U198">
        <v>198</v>
      </c>
      <c r="W198">
        <f t="shared" si="26"/>
        <v>0.78963967935871249</v>
      </c>
      <c r="X198">
        <f>[1]!XLSTAT_PDFWeibull(W198,10,5)</f>
        <v>1.222251626424471E-7</v>
      </c>
      <c r="Y198">
        <v>198</v>
      </c>
      <c r="AA198">
        <f t="shared" si="27"/>
        <v>0.78963967935871249</v>
      </c>
      <c r="AB198">
        <f>[1]!XLSTAT_PDFWeibull(AA198,10,5)</f>
        <v>1.222251626424471E-7</v>
      </c>
    </row>
    <row r="199" spans="1:28" x14ac:dyDescent="0.3">
      <c r="A199">
        <v>199</v>
      </c>
      <c r="C199">
        <f t="shared" si="21"/>
        <v>-0.82565130260521258</v>
      </c>
      <c r="D199">
        <f>[1]!XLSTAT_PDFNormal(C199,0,1)</f>
        <v>0.28371400582483863</v>
      </c>
      <c r="E199">
        <v>199</v>
      </c>
      <c r="G199">
        <f t="shared" si="22"/>
        <v>0.793647494989975</v>
      </c>
      <c r="H199">
        <f>[1]!XLSTAT_PDFWeibull(G199,1)</f>
        <v>0.4521924140234887</v>
      </c>
      <c r="I199">
        <v>199</v>
      </c>
      <c r="K199">
        <f t="shared" si="23"/>
        <v>0.793647494989975</v>
      </c>
      <c r="L199">
        <f>[1]!XLSTAT_PDFWeibull(K199,1,1)</f>
        <v>0.4521924140234887</v>
      </c>
      <c r="M199">
        <v>199</v>
      </c>
      <c r="O199">
        <f t="shared" si="24"/>
        <v>0.793647494989975</v>
      </c>
      <c r="P199">
        <f>[1]!XLSTAT_PDFWeibull(O199,5,1)</f>
        <v>1.4478784594273912</v>
      </c>
      <c r="Q199">
        <v>199</v>
      </c>
      <c r="S199">
        <f t="shared" si="25"/>
        <v>0.793647494989975</v>
      </c>
      <c r="T199">
        <f>[1]!XLSTAT_PDFWeibull(S199,10,1)</f>
        <v>1.131332227292158</v>
      </c>
      <c r="U199">
        <v>199</v>
      </c>
      <c r="W199">
        <f t="shared" si="26"/>
        <v>0.793647494989975</v>
      </c>
      <c r="X199">
        <f>[1]!XLSTAT_PDFWeibull(W199,10,5)</f>
        <v>1.2792304854380366E-7</v>
      </c>
      <c r="Y199">
        <v>199</v>
      </c>
      <c r="AA199">
        <f t="shared" si="27"/>
        <v>0.793647494989975</v>
      </c>
      <c r="AB199">
        <f>[1]!XLSTAT_PDFWeibull(AA199,10,5)</f>
        <v>1.2792304854380366E-7</v>
      </c>
    </row>
    <row r="200" spans="1:28" x14ac:dyDescent="0.3">
      <c r="A200">
        <v>200</v>
      </c>
      <c r="C200">
        <f t="shared" si="21"/>
        <v>-0.80961923847695605</v>
      </c>
      <c r="D200">
        <f>[1]!XLSTAT_PDFNormal(C200,0,1)</f>
        <v>0.28745751923043755</v>
      </c>
      <c r="E200">
        <v>200</v>
      </c>
      <c r="G200">
        <f t="shared" si="22"/>
        <v>0.79765531062123751</v>
      </c>
      <c r="H200">
        <f>[1]!XLSTAT_PDFWeibull(G200,1)</f>
        <v>0.45038373704116968</v>
      </c>
      <c r="I200">
        <v>200</v>
      </c>
      <c r="K200">
        <f t="shared" si="23"/>
        <v>0.79765531062123751</v>
      </c>
      <c r="L200">
        <f>[1]!XLSTAT_PDFWeibull(K200,1,1)</f>
        <v>0.45038373704116968</v>
      </c>
      <c r="M200">
        <v>200</v>
      </c>
      <c r="O200">
        <f t="shared" si="24"/>
        <v>0.79765531062123751</v>
      </c>
      <c r="P200">
        <f>[1]!XLSTAT_PDFWeibull(O200,5,1)</f>
        <v>1.4655299320377453</v>
      </c>
      <c r="Q200">
        <v>200</v>
      </c>
      <c r="S200">
        <f t="shared" si="25"/>
        <v>0.79765531062123751</v>
      </c>
      <c r="T200">
        <f>[1]!XLSTAT_PDFWeibull(S200,10,1)</f>
        <v>1.1777528625008893</v>
      </c>
      <c r="U200">
        <v>200</v>
      </c>
      <c r="W200">
        <f t="shared" si="26"/>
        <v>0.79765531062123751</v>
      </c>
      <c r="X200">
        <f>[1]!XLSTAT_PDFWeibull(W200,10,5)</f>
        <v>1.3385583292805208E-7</v>
      </c>
      <c r="Y200">
        <v>200</v>
      </c>
      <c r="AA200">
        <f t="shared" si="27"/>
        <v>0.79765531062123751</v>
      </c>
      <c r="AB200">
        <f>[1]!XLSTAT_PDFWeibull(AA200,10,5)</f>
        <v>1.3385583292805208E-7</v>
      </c>
    </row>
    <row r="201" spans="1:28" x14ac:dyDescent="0.3">
      <c r="A201">
        <v>201</v>
      </c>
      <c r="C201">
        <f t="shared" si="21"/>
        <v>-0.79358717434869952</v>
      </c>
      <c r="D201">
        <f>[1]!XLSTAT_PDFNormal(C201,0,1)</f>
        <v>0.29117557744234396</v>
      </c>
      <c r="E201">
        <v>201</v>
      </c>
      <c r="G201">
        <f t="shared" si="22"/>
        <v>0.80166312625250002</v>
      </c>
      <c r="H201">
        <f>[1]!XLSTAT_PDFWeibull(G201,1)</f>
        <v>0.44858229439610386</v>
      </c>
      <c r="I201">
        <v>201</v>
      </c>
      <c r="K201">
        <f t="shared" si="23"/>
        <v>0.80166312625250002</v>
      </c>
      <c r="L201">
        <f>[1]!XLSTAT_PDFWeibull(K201,1,1)</f>
        <v>0.44858229439610386</v>
      </c>
      <c r="M201">
        <v>201</v>
      </c>
      <c r="O201">
        <f t="shared" si="24"/>
        <v>0.80166312625250002</v>
      </c>
      <c r="P201">
        <f>[1]!XLSTAT_PDFWeibull(O201,5,1)</f>
        <v>1.4830049971686579</v>
      </c>
      <c r="Q201">
        <v>201</v>
      </c>
      <c r="S201">
        <f t="shared" si="25"/>
        <v>0.80166312625250002</v>
      </c>
      <c r="T201">
        <f>[1]!XLSTAT_PDFWeibull(S201,10,1)</f>
        <v>1.2255092705706427</v>
      </c>
      <c r="U201">
        <v>201</v>
      </c>
      <c r="W201">
        <f t="shared" si="26"/>
        <v>0.80166312625250002</v>
      </c>
      <c r="X201">
        <f>[1]!XLSTAT_PDFWeibull(W201,10,5)</f>
        <v>1.4003194588037802E-7</v>
      </c>
      <c r="Y201">
        <v>201</v>
      </c>
      <c r="AA201">
        <f t="shared" si="27"/>
        <v>0.80166312625250002</v>
      </c>
      <c r="AB201">
        <f>[1]!XLSTAT_PDFWeibull(AA201,10,5)</f>
        <v>1.4003194588037802E-7</v>
      </c>
    </row>
    <row r="202" spans="1:28" x14ac:dyDescent="0.3">
      <c r="A202">
        <v>202</v>
      </c>
      <c r="C202">
        <f t="shared" si="21"/>
        <v>-0.77755511022044344</v>
      </c>
      <c r="D202">
        <f>[1]!XLSTAT_PDFNormal(C202,0,1)</f>
        <v>0.29486592781911969</v>
      </c>
      <c r="E202">
        <v>202</v>
      </c>
      <c r="G202">
        <f t="shared" si="22"/>
        <v>0.80567094188376254</v>
      </c>
      <c r="H202">
        <f>[1]!XLSTAT_PDFWeibull(G202,1)</f>
        <v>0.44678805715242481</v>
      </c>
      <c r="I202">
        <v>202</v>
      </c>
      <c r="K202">
        <f t="shared" si="23"/>
        <v>0.80567094188376254</v>
      </c>
      <c r="L202">
        <f>[1]!XLSTAT_PDFWeibull(K202,1,1)</f>
        <v>0.44678805715242481</v>
      </c>
      <c r="M202">
        <v>202</v>
      </c>
      <c r="O202">
        <f t="shared" si="24"/>
        <v>0.80567094188376254</v>
      </c>
      <c r="P202">
        <f>[1]!XLSTAT_PDFWeibull(O202,5,1)</f>
        <v>1.5002900753019961</v>
      </c>
      <c r="Q202">
        <v>202</v>
      </c>
      <c r="S202">
        <f t="shared" si="25"/>
        <v>0.80567094188376254</v>
      </c>
      <c r="T202">
        <f>[1]!XLSTAT_PDFWeibull(S202,10,1)</f>
        <v>1.27460092898938</v>
      </c>
      <c r="U202">
        <v>202</v>
      </c>
      <c r="W202">
        <f t="shared" si="26"/>
        <v>0.80567094188376254</v>
      </c>
      <c r="X202">
        <f>[1]!XLSTAT_PDFWeibull(W202,10,5)</f>
        <v>1.4646007548934585E-7</v>
      </c>
      <c r="Y202">
        <v>202</v>
      </c>
      <c r="AA202">
        <f t="shared" si="27"/>
        <v>0.80567094188376254</v>
      </c>
      <c r="AB202">
        <f>[1]!XLSTAT_PDFWeibull(AA202,10,5)</f>
        <v>1.4646007548934585E-7</v>
      </c>
    </row>
    <row r="203" spans="1:28" x14ac:dyDescent="0.3">
      <c r="A203">
        <v>203</v>
      </c>
      <c r="C203">
        <f t="shared" si="21"/>
        <v>-0.76152304609218691</v>
      </c>
      <c r="D203">
        <f>[1]!XLSTAT_PDFNormal(C203,0,1)</f>
        <v>0.2985263103763498</v>
      </c>
      <c r="E203">
        <v>203</v>
      </c>
      <c r="G203">
        <f t="shared" si="22"/>
        <v>0.80967875751502505</v>
      </c>
      <c r="H203">
        <f>[1]!XLSTAT_PDFWeibull(G203,1)</f>
        <v>0.44500099649000369</v>
      </c>
      <c r="I203">
        <v>203</v>
      </c>
      <c r="K203">
        <f t="shared" si="23"/>
        <v>0.80967875751502505</v>
      </c>
      <c r="L203">
        <f>[1]!XLSTAT_PDFWeibull(K203,1,1)</f>
        <v>0.44500099649000369</v>
      </c>
      <c r="M203">
        <v>203</v>
      </c>
      <c r="O203">
        <f t="shared" si="24"/>
        <v>0.80967875751502505</v>
      </c>
      <c r="P203">
        <f>[1]!XLSTAT_PDFWeibull(O203,5,1)</f>
        <v>1.5173714419165156</v>
      </c>
      <c r="Q203">
        <v>203</v>
      </c>
      <c r="S203">
        <f t="shared" si="25"/>
        <v>0.80967875751502505</v>
      </c>
      <c r="T203">
        <f>[1]!XLSTAT_PDFWeibull(S203,10,1)</f>
        <v>1.3250237658462312</v>
      </c>
      <c r="U203">
        <v>203</v>
      </c>
      <c r="W203">
        <f t="shared" si="26"/>
        <v>0.80967875751502505</v>
      </c>
      <c r="X203">
        <f>[1]!XLSTAT_PDFWeibull(W203,10,5)</f>
        <v>1.5314917439381464E-7</v>
      </c>
      <c r="Y203">
        <v>203</v>
      </c>
      <c r="AA203">
        <f t="shared" si="27"/>
        <v>0.80967875751502505</v>
      </c>
      <c r="AB203">
        <f>[1]!XLSTAT_PDFWeibull(AA203,10,5)</f>
        <v>1.5314917439381464E-7</v>
      </c>
    </row>
    <row r="204" spans="1:28" x14ac:dyDescent="0.3">
      <c r="A204">
        <v>204</v>
      </c>
      <c r="C204">
        <f t="shared" si="21"/>
        <v>-0.74549098196393038</v>
      </c>
      <c r="D204">
        <f>[1]!XLSTAT_PDFNormal(C204,0,1)</f>
        <v>0.30215446003133573</v>
      </c>
      <c r="E204">
        <v>204</v>
      </c>
      <c r="G204">
        <f t="shared" si="22"/>
        <v>0.81368657314628756</v>
      </c>
      <c r="H204">
        <f>[1]!XLSTAT_PDFWeibull(G204,1)</f>
        <v>0.44322108370398622</v>
      </c>
      <c r="I204">
        <v>204</v>
      </c>
      <c r="K204">
        <f t="shared" si="23"/>
        <v>0.81368657314628756</v>
      </c>
      <c r="L204">
        <f>[1]!XLSTAT_PDFWeibull(K204,1,1)</f>
        <v>0.44322108370398622</v>
      </c>
      <c r="M204">
        <v>204</v>
      </c>
      <c r="O204">
        <f t="shared" si="24"/>
        <v>0.81368657314628756</v>
      </c>
      <c r="P204">
        <f>[1]!XLSTAT_PDFWeibull(O204,5,1)</f>
        <v>1.5342352397782413</v>
      </c>
      <c r="Q204">
        <v>204</v>
      </c>
      <c r="S204">
        <f t="shared" si="25"/>
        <v>0.81368657314628756</v>
      </c>
      <c r="T204">
        <f>[1]!XLSTAT_PDFWeibull(S204,10,1)</f>
        <v>1.3767698726039022</v>
      </c>
      <c r="U204">
        <v>204</v>
      </c>
      <c r="W204">
        <f t="shared" si="26"/>
        <v>0.81368657314628756</v>
      </c>
      <c r="X204">
        <f>[1]!XLSTAT_PDFWeibull(W204,10,5)</f>
        <v>1.6010846646209707E-7</v>
      </c>
      <c r="Y204">
        <v>204</v>
      </c>
      <c r="AA204">
        <f t="shared" si="27"/>
        <v>0.81368657314628756</v>
      </c>
      <c r="AB204">
        <f>[1]!XLSTAT_PDFWeibull(AA204,10,5)</f>
        <v>1.6010846646209707E-7</v>
      </c>
    </row>
    <row r="205" spans="1:28" x14ac:dyDescent="0.3">
      <c r="A205">
        <v>205</v>
      </c>
      <c r="C205">
        <f t="shared" si="21"/>
        <v>-0.72945891783567385</v>
      </c>
      <c r="D205">
        <f>[1]!XLSTAT_PDFNormal(C205,0,1)</f>
        <v>0.30574810888253423</v>
      </c>
      <c r="E205">
        <v>205</v>
      </c>
      <c r="G205">
        <f t="shared" si="22"/>
        <v>0.81769438877755007</v>
      </c>
      <c r="H205">
        <f>[1]!XLSTAT_PDFWeibull(G205,1)</f>
        <v>0.44144829020433179</v>
      </c>
      <c r="I205">
        <v>205</v>
      </c>
      <c r="K205">
        <f t="shared" si="23"/>
        <v>0.81769438877755007</v>
      </c>
      <c r="L205">
        <f>[1]!XLSTAT_PDFWeibull(K205,1,1)</f>
        <v>0.44144829020433179</v>
      </c>
      <c r="M205">
        <v>205</v>
      </c>
      <c r="O205">
        <f t="shared" si="24"/>
        <v>0.81769438877755007</v>
      </c>
      <c r="P205">
        <f>[1]!XLSTAT_PDFWeibull(O205,5,1)</f>
        <v>1.550867491846408</v>
      </c>
      <c r="Q205">
        <v>205</v>
      </c>
      <c r="S205">
        <f t="shared" si="25"/>
        <v>0.81769438877755007</v>
      </c>
      <c r="T205">
        <f>[1]!XLSTAT_PDFWeibull(S205,10,1)</f>
        <v>1.4298272071525149</v>
      </c>
      <c r="U205">
        <v>205</v>
      </c>
      <c r="W205">
        <f t="shared" si="26"/>
        <v>0.81769438877755007</v>
      </c>
      <c r="X205">
        <f>[1]!XLSTAT_PDFWeibull(W205,10,5)</f>
        <v>1.6734745360534565E-7</v>
      </c>
      <c r="Y205">
        <v>205</v>
      </c>
      <c r="AA205">
        <f t="shared" si="27"/>
        <v>0.81769438877755007</v>
      </c>
      <c r="AB205">
        <f>[1]!XLSTAT_PDFWeibull(AA205,10,5)</f>
        <v>1.6734745360534565E-7</v>
      </c>
    </row>
    <row r="206" spans="1:28" x14ac:dyDescent="0.3">
      <c r="A206">
        <v>206</v>
      </c>
      <c r="C206">
        <f t="shared" si="21"/>
        <v>-0.71342685370741732</v>
      </c>
      <c r="D206">
        <f>[1]!XLSTAT_PDFNormal(C206,0,1)</f>
        <v>0.30930498852063687</v>
      </c>
      <c r="E206">
        <v>206</v>
      </c>
      <c r="G206">
        <f t="shared" si="22"/>
        <v>0.82170220440881259</v>
      </c>
      <c r="H206">
        <f>[1]!XLSTAT_PDFWeibull(G206,1)</f>
        <v>0.43968258751535394</v>
      </c>
      <c r="I206">
        <v>206</v>
      </c>
      <c r="K206">
        <f t="shared" si="23"/>
        <v>0.82170220440881259</v>
      </c>
      <c r="L206">
        <f>[1]!XLSTAT_PDFWeibull(K206,1,1)</f>
        <v>0.43968258751535394</v>
      </c>
      <c r="M206">
        <v>206</v>
      </c>
      <c r="O206">
        <f t="shared" si="24"/>
        <v>0.82170220440881259</v>
      </c>
      <c r="P206">
        <f>[1]!XLSTAT_PDFWeibull(O206,5,1)</f>
        <v>1.5672541147941419</v>
      </c>
      <c r="Q206">
        <v>206</v>
      </c>
      <c r="S206">
        <f t="shared" si="25"/>
        <v>0.82170220440881259</v>
      </c>
      <c r="T206">
        <f>[1]!XLSTAT_PDFWeibull(S206,10,1)</f>
        <v>1.4841792879046773</v>
      </c>
      <c r="U206">
        <v>206</v>
      </c>
      <c r="W206">
        <f t="shared" si="26"/>
        <v>0.82170220440881259</v>
      </c>
      <c r="X206">
        <f>[1]!XLSTAT_PDFWeibull(W206,10,5)</f>
        <v>1.748759227271733E-7</v>
      </c>
      <c r="Y206">
        <v>206</v>
      </c>
      <c r="AA206">
        <f t="shared" si="27"/>
        <v>0.82170220440881259</v>
      </c>
      <c r="AB206">
        <f>[1]!XLSTAT_PDFWeibull(AA206,10,5)</f>
        <v>1.748759227271733E-7</v>
      </c>
    </row>
    <row r="207" spans="1:28" x14ac:dyDescent="0.3">
      <c r="A207">
        <v>207</v>
      </c>
      <c r="C207">
        <f t="shared" si="21"/>
        <v>-0.69739478957916079</v>
      </c>
      <c r="D207">
        <f>[1]!XLSTAT_PDFNormal(C207,0,1)</f>
        <v>0.31282283236808989</v>
      </c>
      <c r="E207">
        <v>207</v>
      </c>
      <c r="G207">
        <f t="shared" si="22"/>
        <v>0.82571002004007499</v>
      </c>
      <c r="H207">
        <f>[1]!XLSTAT_PDFWeibull(G207,1)</f>
        <v>0.43792394727526324</v>
      </c>
      <c r="I207">
        <v>207</v>
      </c>
      <c r="K207">
        <f t="shared" si="23"/>
        <v>0.82571002004007499</v>
      </c>
      <c r="L207">
        <f>[1]!XLSTAT_PDFWeibull(K207,1,1)</f>
        <v>0.43792394727526324</v>
      </c>
      <c r="M207">
        <v>207</v>
      </c>
      <c r="O207">
        <f t="shared" si="24"/>
        <v>0.82571002004007499</v>
      </c>
      <c r="P207">
        <f>[1]!XLSTAT_PDFWeibull(O207,5,1)</f>
        <v>1.5833809331415707</v>
      </c>
      <c r="Q207">
        <v>207</v>
      </c>
      <c r="S207">
        <f t="shared" si="25"/>
        <v>0.82571002004007499</v>
      </c>
      <c r="T207">
        <f>[1]!XLSTAT_PDFWeibull(S207,10,1)</f>
        <v>1.5398048798593145</v>
      </c>
      <c r="U207">
        <v>207</v>
      </c>
      <c r="W207">
        <f t="shared" si="26"/>
        <v>0.82571002004007499</v>
      </c>
      <c r="X207">
        <f>[1]!XLSTAT_PDFWeibull(W207,10,5)</f>
        <v>1.8270395281156183E-7</v>
      </c>
      <c r="Y207">
        <v>207</v>
      </c>
      <c r="AA207">
        <f t="shared" si="27"/>
        <v>0.82571002004007499</v>
      </c>
      <c r="AB207">
        <f>[1]!XLSTAT_PDFWeibull(AA207,10,5)</f>
        <v>1.8270395281156183E-7</v>
      </c>
    </row>
    <row r="208" spans="1:28" x14ac:dyDescent="0.3">
      <c r="A208">
        <v>208</v>
      </c>
      <c r="C208">
        <f t="shared" si="21"/>
        <v>-0.68136272545090426</v>
      </c>
      <c r="D208">
        <f>[1]!XLSTAT_PDFNormal(C208,0,1)</f>
        <v>0.31629937804376457</v>
      </c>
      <c r="E208">
        <v>208</v>
      </c>
      <c r="G208">
        <f t="shared" si="22"/>
        <v>0.8297178356713375</v>
      </c>
      <c r="H208">
        <f>[1]!XLSTAT_PDFWeibull(G208,1)</f>
        <v>0.43617234123571147</v>
      </c>
      <c r="I208">
        <v>208</v>
      </c>
      <c r="K208">
        <f t="shared" si="23"/>
        <v>0.8297178356713375</v>
      </c>
      <c r="L208">
        <f>[1]!XLSTAT_PDFWeibull(K208,1,1)</f>
        <v>0.43617234123571147</v>
      </c>
      <c r="M208">
        <v>208</v>
      </c>
      <c r="O208">
        <f t="shared" si="24"/>
        <v>0.8297178356713375</v>
      </c>
      <c r="P208">
        <f>[1]!XLSTAT_PDFWeibull(O208,5,1)</f>
        <v>1.5992336939975369</v>
      </c>
      <c r="Q208">
        <v>208</v>
      </c>
      <c r="S208">
        <f t="shared" si="25"/>
        <v>0.8297178356713375</v>
      </c>
      <c r="T208">
        <f>[1]!XLSTAT_PDFWeibull(S208,10,1)</f>
        <v>1.5966776737446402</v>
      </c>
      <c r="U208">
        <v>208</v>
      </c>
      <c r="W208">
        <f t="shared" si="26"/>
        <v>0.8297178356713375</v>
      </c>
      <c r="X208">
        <f>[1]!XLSTAT_PDFWeibull(W208,10,5)</f>
        <v>1.9084192215108605E-7</v>
      </c>
      <c r="Y208">
        <v>208</v>
      </c>
      <c r="AA208">
        <f t="shared" si="27"/>
        <v>0.8297178356713375</v>
      </c>
      <c r="AB208">
        <f>[1]!XLSTAT_PDFWeibull(AA208,10,5)</f>
        <v>1.9084192215108605E-7</v>
      </c>
    </row>
    <row r="209" spans="1:28" x14ac:dyDescent="0.3">
      <c r="A209">
        <v>209</v>
      </c>
      <c r="C209">
        <f t="shared" si="21"/>
        <v>-0.66533066132264773</v>
      </c>
      <c r="D209">
        <f>[1]!XLSTAT_PDFNormal(C209,0,1)</f>
        <v>0.319732369749404</v>
      </c>
      <c r="E209">
        <v>209</v>
      </c>
      <c r="G209">
        <f t="shared" si="22"/>
        <v>0.83372565130260001</v>
      </c>
      <c r="H209">
        <f>[1]!XLSTAT_PDFWeibull(G209,1)</f>
        <v>0.43442774126133804</v>
      </c>
      <c r="I209">
        <v>209</v>
      </c>
      <c r="K209">
        <f t="shared" si="23"/>
        <v>0.83372565130260001</v>
      </c>
      <c r="L209">
        <f>[1]!XLSTAT_PDFWeibull(K209,1,1)</f>
        <v>0.43442774126133804</v>
      </c>
      <c r="M209">
        <v>209</v>
      </c>
      <c r="O209">
        <f t="shared" si="24"/>
        <v>0.83372565130260001</v>
      </c>
      <c r="P209">
        <f>[1]!XLSTAT_PDFWeibull(O209,5,1)</f>
        <v>1.6147980824044577</v>
      </c>
      <c r="Q209">
        <v>209</v>
      </c>
      <c r="S209">
        <f t="shared" si="25"/>
        <v>0.83372565130260001</v>
      </c>
      <c r="T209">
        <f>[1]!XLSTAT_PDFWeibull(S209,10,1)</f>
        <v>1.6547659595488606</v>
      </c>
      <c r="U209">
        <v>209</v>
      </c>
      <c r="W209">
        <f t="shared" si="26"/>
        <v>0.83372565130260001</v>
      </c>
      <c r="X209">
        <f>[1]!XLSTAT_PDFWeibull(W209,10,5)</f>
        <v>1.9930051571754912E-7</v>
      </c>
      <c r="Y209">
        <v>209</v>
      </c>
      <c r="AA209">
        <f t="shared" si="27"/>
        <v>0.83372565130260001</v>
      </c>
      <c r="AB209">
        <f>[1]!XLSTAT_PDFWeibull(AA209,10,5)</f>
        <v>1.9930051571754912E-7</v>
      </c>
    </row>
    <row r="210" spans="1:28" x14ac:dyDescent="0.3">
      <c r="A210">
        <v>210</v>
      </c>
      <c r="C210">
        <f t="shared" si="21"/>
        <v>-0.6492985971943912</v>
      </c>
      <c r="D210">
        <f>[1]!XLSTAT_PDFNormal(C210,0,1)</f>
        <v>0.32311956067439279</v>
      </c>
      <c r="E210">
        <v>210</v>
      </c>
      <c r="G210">
        <f t="shared" si="22"/>
        <v>0.83773346693386253</v>
      </c>
      <c r="H210">
        <f>[1]!XLSTAT_PDFWeibull(G210,1)</f>
        <v>0.43269011932931822</v>
      </c>
      <c r="I210">
        <v>210</v>
      </c>
      <c r="K210">
        <f t="shared" si="23"/>
        <v>0.83773346693386253</v>
      </c>
      <c r="L210">
        <f>[1]!XLSTAT_PDFWeibull(K210,1,1)</f>
        <v>0.43269011932931822</v>
      </c>
      <c r="M210">
        <v>210</v>
      </c>
      <c r="O210">
        <f t="shared" si="24"/>
        <v>0.83773346693386253</v>
      </c>
      <c r="P210">
        <f>[1]!XLSTAT_PDFWeibull(O210,5,1)</f>
        <v>1.6300597372792291</v>
      </c>
      <c r="Q210">
        <v>210</v>
      </c>
      <c r="S210">
        <f t="shared" si="25"/>
        <v>0.83773346693386253</v>
      </c>
      <c r="T210">
        <f>[1]!XLSTAT_PDFWeibull(S210,10,1)</f>
        <v>1.7140322959609675</v>
      </c>
      <c r="U210">
        <v>210</v>
      </c>
      <c r="W210">
        <f t="shared" si="26"/>
        <v>0.83773346693386253</v>
      </c>
      <c r="X210">
        <f>[1]!XLSTAT_PDFWeibull(W210,10,5)</f>
        <v>2.080907326771055E-7</v>
      </c>
      <c r="Y210">
        <v>210</v>
      </c>
      <c r="AA210">
        <f t="shared" si="27"/>
        <v>0.83773346693386253</v>
      </c>
      <c r="AB210">
        <f>[1]!XLSTAT_PDFWeibull(AA210,10,5)</f>
        <v>2.080907326771055E-7</v>
      </c>
    </row>
    <row r="211" spans="1:28" x14ac:dyDescent="0.3">
      <c r="A211">
        <v>211</v>
      </c>
      <c r="C211">
        <f t="shared" si="21"/>
        <v>-0.63326653306613467</v>
      </c>
      <c r="D211">
        <f>[1]!XLSTAT_PDFNormal(C211,0,1)</f>
        <v>0.32645871541532617</v>
      </c>
      <c r="E211">
        <v>211</v>
      </c>
      <c r="G211">
        <f t="shared" si="22"/>
        <v>0.84174128256512504</v>
      </c>
      <c r="H211">
        <f>[1]!XLSTAT_PDFWeibull(G211,1)</f>
        <v>0.43095944752891258</v>
      </c>
      <c r="I211">
        <v>211</v>
      </c>
      <c r="K211">
        <f t="shared" si="23"/>
        <v>0.84174128256512504</v>
      </c>
      <c r="L211">
        <f>[1]!XLSTAT_PDFWeibull(K211,1,1)</f>
        <v>0.43095944752891258</v>
      </c>
      <c r="M211">
        <v>211</v>
      </c>
      <c r="O211">
        <f t="shared" si="24"/>
        <v>0.84174128256512504</v>
      </c>
      <c r="P211">
        <f>[1]!XLSTAT_PDFWeibull(O211,5,1)</f>
        <v>1.6450042679413306</v>
      </c>
      <c r="Q211">
        <v>211</v>
      </c>
      <c r="S211">
        <f t="shared" si="25"/>
        <v>0.84174128256512504</v>
      </c>
      <c r="T211">
        <f>[1]!XLSTAT_PDFWeibull(S211,10,1)</f>
        <v>1.774433177473171</v>
      </c>
      <c r="U211">
        <v>211</v>
      </c>
      <c r="W211">
        <f t="shared" si="26"/>
        <v>0.84174128256512504</v>
      </c>
      <c r="X211">
        <f>[1]!XLSTAT_PDFWeibull(W211,10,5)</f>
        <v>2.1722389405200229E-7</v>
      </c>
      <c r="Y211">
        <v>211</v>
      </c>
      <c r="AA211">
        <f t="shared" si="27"/>
        <v>0.84174128256512504</v>
      </c>
      <c r="AB211">
        <f>[1]!XLSTAT_PDFWeibull(AA211,10,5)</f>
        <v>2.1722389405200229E-7</v>
      </c>
    </row>
    <row r="212" spans="1:28" x14ac:dyDescent="0.3">
      <c r="A212">
        <v>212</v>
      </c>
      <c r="C212">
        <f t="shared" si="21"/>
        <v>-0.61723446893787814</v>
      </c>
      <c r="D212">
        <f>[1]!XLSTAT_PDFNormal(C212,0,1)</f>
        <v>0.32974761240678879</v>
      </c>
      <c r="E212">
        <v>212</v>
      </c>
      <c r="G212">
        <f t="shared" si="22"/>
        <v>0.84574909819638755</v>
      </c>
      <c r="H212">
        <f>[1]!XLSTAT_PDFWeibull(G212,1)</f>
        <v>0.42923569806101908</v>
      </c>
      <c r="I212">
        <v>212</v>
      </c>
      <c r="K212">
        <f t="shared" si="23"/>
        <v>0.84574909819638755</v>
      </c>
      <c r="L212">
        <f>[1]!XLSTAT_PDFWeibull(K212,1,1)</f>
        <v>0.42923569806101908</v>
      </c>
      <c r="M212">
        <v>212</v>
      </c>
      <c r="O212">
        <f t="shared" si="24"/>
        <v>0.84574909819638755</v>
      </c>
      <c r="P212">
        <f>[1]!XLSTAT_PDFWeibull(O212,5,1)</f>
        <v>1.6596172712175019</v>
      </c>
      <c r="Q212">
        <v>212</v>
      </c>
      <c r="S212">
        <f t="shared" si="25"/>
        <v>0.84574909819638755</v>
      </c>
      <c r="T212">
        <f>[1]!XLSTAT_PDFWeibull(S212,10,1)</f>
        <v>1.8359187011408808</v>
      </c>
      <c r="U212">
        <v>212</v>
      </c>
      <c r="W212">
        <f t="shared" si="26"/>
        <v>0.84574909819638755</v>
      </c>
      <c r="X212">
        <f>[1]!XLSTAT_PDFWeibull(W212,10,5)</f>
        <v>2.2671165053105371E-7</v>
      </c>
      <c r="Y212">
        <v>212</v>
      </c>
      <c r="AA212">
        <f t="shared" si="27"/>
        <v>0.84574909819638755</v>
      </c>
      <c r="AB212">
        <f>[1]!XLSTAT_PDFWeibull(AA212,10,5)</f>
        <v>2.2671165053105371E-7</v>
      </c>
    </row>
    <row r="213" spans="1:28" x14ac:dyDescent="0.3">
      <c r="A213">
        <v>213</v>
      </c>
      <c r="C213">
        <f t="shared" si="21"/>
        <v>-0.60120240480962162</v>
      </c>
      <c r="D213">
        <f>[1]!XLSTAT_PDFNormal(C213,0,1)</f>
        <v>0.33298404635969298</v>
      </c>
      <c r="E213">
        <v>213</v>
      </c>
      <c r="G213">
        <f t="shared" si="22"/>
        <v>0.84975691382765006</v>
      </c>
      <c r="H213">
        <f>[1]!XLSTAT_PDFWeibull(G213,1)</f>
        <v>0.42751884323772638</v>
      </c>
      <c r="I213">
        <v>213</v>
      </c>
      <c r="K213">
        <f t="shared" si="23"/>
        <v>0.84975691382765006</v>
      </c>
      <c r="L213">
        <f>[1]!XLSTAT_PDFWeibull(K213,1,1)</f>
        <v>0.42751884323772638</v>
      </c>
      <c r="M213">
        <v>213</v>
      </c>
      <c r="O213">
        <f t="shared" si="24"/>
        <v>0.84975691382765006</v>
      </c>
      <c r="P213">
        <f>[1]!XLSTAT_PDFWeibull(O213,5,1)</f>
        <v>1.6738843491105222</v>
      </c>
      <c r="Q213">
        <v>213</v>
      </c>
      <c r="S213">
        <f t="shared" si="25"/>
        <v>0.84975691382765006</v>
      </c>
      <c r="T213">
        <f>[1]!XLSTAT_PDFWeibull(S213,10,1)</f>
        <v>1.898432235255195</v>
      </c>
      <c r="U213">
        <v>213</v>
      </c>
      <c r="W213">
        <f t="shared" si="26"/>
        <v>0.84975691382765006</v>
      </c>
      <c r="X213">
        <f>[1]!XLSTAT_PDFWeibull(W213,10,5)</f>
        <v>2.3656599043102756E-7</v>
      </c>
      <c r="Y213">
        <v>213</v>
      </c>
      <c r="AA213">
        <f t="shared" si="27"/>
        <v>0.84975691382765006</v>
      </c>
      <c r="AB213">
        <f>[1]!XLSTAT_PDFWeibull(AA213,10,5)</f>
        <v>2.3656599043102756E-7</v>
      </c>
    </row>
    <row r="214" spans="1:28" x14ac:dyDescent="0.3">
      <c r="A214">
        <v>214</v>
      </c>
      <c r="C214">
        <f t="shared" si="21"/>
        <v>-0.58517034068136509</v>
      </c>
      <c r="D214">
        <f>[1]!XLSTAT_PDFNormal(C214,0,1)</f>
        <v>0.33616583070347789</v>
      </c>
      <c r="E214">
        <v>214</v>
      </c>
      <c r="G214">
        <f t="shared" si="22"/>
        <v>0.85376472945891257</v>
      </c>
      <c r="H214">
        <f>[1]!XLSTAT_PDFWeibull(G214,1)</f>
        <v>0.42580885548186903</v>
      </c>
      <c r="I214">
        <v>214</v>
      </c>
      <c r="K214">
        <f t="shared" si="23"/>
        <v>0.85376472945891257</v>
      </c>
      <c r="L214">
        <f>[1]!XLSTAT_PDFWeibull(K214,1,1)</f>
        <v>0.42580885548186903</v>
      </c>
      <c r="M214">
        <v>214</v>
      </c>
      <c r="O214">
        <f t="shared" si="24"/>
        <v>0.85376472945891257</v>
      </c>
      <c r="P214">
        <f>[1]!XLSTAT_PDFWeibull(O214,5,1)</f>
        <v>1.6877911270177248</v>
      </c>
      <c r="Q214">
        <v>214</v>
      </c>
      <c r="S214">
        <f t="shared" si="25"/>
        <v>0.85376472945891257</v>
      </c>
      <c r="T214">
        <f>[1]!XLSTAT_PDFWeibull(S214,10,1)</f>
        <v>1.9619100924556327</v>
      </c>
      <c r="U214">
        <v>214</v>
      </c>
      <c r="W214">
        <f t="shared" si="26"/>
        <v>0.85376472945891257</v>
      </c>
      <c r="X214">
        <f>[1]!XLSTAT_PDFWeibull(W214,10,5)</f>
        <v>2.4679924781109554E-7</v>
      </c>
      <c r="Y214">
        <v>214</v>
      </c>
      <c r="AA214">
        <f t="shared" si="27"/>
        <v>0.85376472945891257</v>
      </c>
      <c r="AB214">
        <f>[1]!XLSTAT_PDFWeibull(AA214,10,5)</f>
        <v>2.4679924781109554E-7</v>
      </c>
    </row>
    <row r="215" spans="1:28" x14ac:dyDescent="0.3">
      <c r="A215">
        <v>215</v>
      </c>
      <c r="C215">
        <f t="shared" si="21"/>
        <v>-0.56913827655310856</v>
      </c>
      <c r="D215">
        <f>[1]!XLSTAT_PDFNormal(C215,0,1)</f>
        <v>0.33929080002842293</v>
      </c>
      <c r="E215">
        <v>215</v>
      </c>
      <c r="G215">
        <f t="shared" si="22"/>
        <v>0.85777254509017509</v>
      </c>
      <c r="H215">
        <f>[1]!XLSTAT_PDFWeibull(G215,1)</f>
        <v>0.42410570732658476</v>
      </c>
      <c r="I215">
        <v>215</v>
      </c>
      <c r="K215">
        <f t="shared" si="23"/>
        <v>0.85777254509017509</v>
      </c>
      <c r="L215">
        <f>[1]!XLSTAT_PDFWeibull(K215,1,1)</f>
        <v>0.42410570732658476</v>
      </c>
      <c r="M215">
        <v>215</v>
      </c>
      <c r="O215">
        <f t="shared" si="24"/>
        <v>0.85777254509017509</v>
      </c>
      <c r="P215">
        <f>[1]!XLSTAT_PDFWeibull(O215,5,1)</f>
        <v>1.7013232724829346</v>
      </c>
      <c r="Q215">
        <v>215</v>
      </c>
      <c r="S215">
        <f t="shared" si="25"/>
        <v>0.85777254509017509</v>
      </c>
      <c r="T215">
        <f>[1]!XLSTAT_PDFWeibull(S215,10,1)</f>
        <v>2.0262812100962742</v>
      </c>
      <c r="U215">
        <v>215</v>
      </c>
      <c r="W215">
        <f t="shared" si="26"/>
        <v>0.85777254509017509</v>
      </c>
      <c r="X215">
        <f>[1]!XLSTAT_PDFWeibull(W215,10,5)</f>
        <v>2.574241107425659E-7</v>
      </c>
      <c r="Y215">
        <v>215</v>
      </c>
      <c r="AA215">
        <f t="shared" si="27"/>
        <v>0.85777254509017509</v>
      </c>
      <c r="AB215">
        <f>[1]!XLSTAT_PDFWeibull(AA215,10,5)</f>
        <v>2.574241107425659E-7</v>
      </c>
    </row>
    <row r="216" spans="1:28" x14ac:dyDescent="0.3">
      <c r="A216">
        <v>216</v>
      </c>
      <c r="C216">
        <f t="shared" si="21"/>
        <v>-0.55310621242485203</v>
      </c>
      <c r="D216">
        <f>[1]!XLSTAT_PDFNormal(C216,0,1)</f>
        <v>0.34235681252429306</v>
      </c>
      <c r="E216">
        <v>216</v>
      </c>
      <c r="G216">
        <f t="shared" si="22"/>
        <v>0.86178036072143749</v>
      </c>
      <c r="H216">
        <f>[1]!XLSTAT_PDFWeibull(G216,1)</f>
        <v>0.42240937141487295</v>
      </c>
      <c r="I216">
        <v>216</v>
      </c>
      <c r="K216">
        <f t="shared" si="23"/>
        <v>0.86178036072143749</v>
      </c>
      <c r="L216">
        <f>[1]!XLSTAT_PDFWeibull(K216,1,1)</f>
        <v>0.42240937141487295</v>
      </c>
      <c r="M216">
        <v>216</v>
      </c>
      <c r="O216">
        <f t="shared" si="24"/>
        <v>0.86178036072143749</v>
      </c>
      <c r="P216">
        <f>[1]!XLSTAT_PDFWeibull(O216,5,1)</f>
        <v>1.7144665144635216</v>
      </c>
      <c r="Q216">
        <v>216</v>
      </c>
      <c r="S216">
        <f t="shared" si="25"/>
        <v>0.86178036072143749</v>
      </c>
      <c r="T216">
        <f>[1]!XLSTAT_PDFWeibull(S216,10,1)</f>
        <v>2.0914668409749555</v>
      </c>
      <c r="U216">
        <v>216</v>
      </c>
      <c r="W216">
        <f t="shared" si="26"/>
        <v>0.86178036072143749</v>
      </c>
      <c r="X216">
        <f>[1]!XLSTAT_PDFWeibull(W216,10,5)</f>
        <v>2.6845362973610083E-7</v>
      </c>
      <c r="Y216">
        <v>216</v>
      </c>
      <c r="AA216">
        <f t="shared" si="27"/>
        <v>0.86178036072143749</v>
      </c>
      <c r="AB216">
        <f>[1]!XLSTAT_PDFWeibull(AA216,10,5)</f>
        <v>2.6845362973610083E-7</v>
      </c>
    </row>
    <row r="217" spans="1:28" x14ac:dyDescent="0.3">
      <c r="A217">
        <v>217</v>
      </c>
      <c r="C217">
        <f t="shared" si="21"/>
        <v>-0.53707414829659594</v>
      </c>
      <c r="D217">
        <f>[1]!XLSTAT_PDFNormal(C217,0,1)</f>
        <v>0.34536175241150352</v>
      </c>
      <c r="E217">
        <v>217</v>
      </c>
      <c r="G217">
        <f t="shared" si="22"/>
        <v>0.8657881763527</v>
      </c>
      <c r="H217">
        <f>[1]!XLSTAT_PDFWeibull(G217,1)</f>
        <v>0.42071982049915541</v>
      </c>
      <c r="I217">
        <v>217</v>
      </c>
      <c r="K217">
        <f t="shared" si="23"/>
        <v>0.8657881763527</v>
      </c>
      <c r="L217">
        <f>[1]!XLSTAT_PDFWeibull(K217,1,1)</f>
        <v>0.42071982049915541</v>
      </c>
      <c r="M217">
        <v>217</v>
      </c>
      <c r="O217">
        <f t="shared" si="24"/>
        <v>0.8657881763527</v>
      </c>
      <c r="P217">
        <f>[1]!XLSTAT_PDFWeibull(O217,5,1)</f>
        <v>1.7272066630922402</v>
      </c>
      <c r="Q217">
        <v>217</v>
      </c>
      <c r="S217">
        <f t="shared" si="25"/>
        <v>0.8657881763527</v>
      </c>
      <c r="T217">
        <f>[1]!XLSTAT_PDFWeibull(S217,10,1)</f>
        <v>2.1573802578406593</v>
      </c>
      <c r="U217">
        <v>217</v>
      </c>
      <c r="W217">
        <f t="shared" si="26"/>
        <v>0.8657881763527</v>
      </c>
      <c r="X217">
        <f>[1]!XLSTAT_PDFWeibull(W217,10,5)</f>
        <v>2.7990122632866515E-7</v>
      </c>
      <c r="Y217">
        <v>217</v>
      </c>
      <c r="AA217">
        <f t="shared" si="27"/>
        <v>0.8657881763527</v>
      </c>
      <c r="AB217">
        <f>[1]!XLSTAT_PDFWeibull(AA217,10,5)</f>
        <v>2.7990122632866515E-7</v>
      </c>
    </row>
    <row r="218" spans="1:28" x14ac:dyDescent="0.3">
      <c r="A218">
        <v>218</v>
      </c>
      <c r="C218">
        <f t="shared" si="21"/>
        <v>-0.52104208416833941</v>
      </c>
      <c r="D218">
        <f>[1]!XLSTAT_PDFNormal(C218,0,1)</f>
        <v>0.34830353236096884</v>
      </c>
      <c r="E218">
        <v>218</v>
      </c>
      <c r="G218">
        <f t="shared" si="22"/>
        <v>0.86979599198396251</v>
      </c>
      <c r="H218">
        <f>[1]!XLSTAT_PDFWeibull(G218,1)</f>
        <v>0.41903702744083865</v>
      </c>
      <c r="I218">
        <v>218</v>
      </c>
      <c r="K218">
        <f t="shared" si="23"/>
        <v>0.86979599198396251</v>
      </c>
      <c r="L218">
        <f>[1]!XLSTAT_PDFWeibull(K218,1,1)</f>
        <v>0.41903702744083865</v>
      </c>
      <c r="M218">
        <v>218</v>
      </c>
      <c r="O218">
        <f t="shared" si="24"/>
        <v>0.86979599198396251</v>
      </c>
      <c r="P218">
        <f>[1]!XLSTAT_PDFWeibull(O218,5,1)</f>
        <v>1.739529629911442</v>
      </c>
      <c r="Q218">
        <v>218</v>
      </c>
      <c r="S218">
        <f t="shared" si="25"/>
        <v>0.86979599198396251</v>
      </c>
      <c r="T218">
        <f>[1]!XLSTAT_PDFWeibull(S218,10,1)</f>
        <v>2.2239264754063166</v>
      </c>
      <c r="U218">
        <v>218</v>
      </c>
      <c r="W218">
        <f t="shared" si="26"/>
        <v>0.86979599198396251</v>
      </c>
      <c r="X218">
        <f>[1]!XLSTAT_PDFWeibull(W218,10,5)</f>
        <v>2.9178070183246174E-7</v>
      </c>
      <c r="Y218">
        <v>218</v>
      </c>
      <c r="AA218">
        <f t="shared" si="27"/>
        <v>0.86979599198396251</v>
      </c>
      <c r="AB218">
        <f>[1]!XLSTAT_PDFWeibull(AA218,10,5)</f>
        <v>2.9178070183246174E-7</v>
      </c>
    </row>
    <row r="219" spans="1:28" x14ac:dyDescent="0.3">
      <c r="A219">
        <v>219</v>
      </c>
      <c r="C219">
        <f t="shared" si="21"/>
        <v>-0.50501002004008289</v>
      </c>
      <c r="D219">
        <f>[1]!XLSTAT_PDFNormal(C219,0,1)</f>
        <v>0.35118009589878568</v>
      </c>
      <c r="E219">
        <v>219</v>
      </c>
      <c r="G219">
        <f t="shared" si="22"/>
        <v>0.87380380761522503</v>
      </c>
      <c r="H219">
        <f>[1]!XLSTAT_PDFWeibull(G219,1)</f>
        <v>0.41736096520987814</v>
      </c>
      <c r="I219">
        <v>219</v>
      </c>
      <c r="K219">
        <f t="shared" si="23"/>
        <v>0.87380380761522503</v>
      </c>
      <c r="L219">
        <f>[1]!XLSTAT_PDFWeibull(K219,1,1)</f>
        <v>0.41736096520987814</v>
      </c>
      <c r="M219">
        <v>219</v>
      </c>
      <c r="O219">
        <f t="shared" si="24"/>
        <v>0.87380380761522503</v>
      </c>
      <c r="P219">
        <f>[1]!XLSTAT_PDFWeibull(O219,5,1)</f>
        <v>1.7514214485551638</v>
      </c>
      <c r="Q219">
        <v>219</v>
      </c>
      <c r="S219">
        <f t="shared" si="25"/>
        <v>0.87380380761522503</v>
      </c>
      <c r="T219">
        <f>[1]!XLSTAT_PDFWeibull(S219,10,1)</f>
        <v>2.2910019939099193</v>
      </c>
      <c r="U219">
        <v>219</v>
      </c>
      <c r="W219">
        <f t="shared" si="26"/>
        <v>0.87380380761522503</v>
      </c>
      <c r="X219">
        <f>[1]!XLSTAT_PDFWeibull(W219,10,5)</f>
        <v>3.0410624624813912E-7</v>
      </c>
      <c r="Y219">
        <v>219</v>
      </c>
      <c r="AA219">
        <f t="shared" si="27"/>
        <v>0.87380380761522503</v>
      </c>
      <c r="AB219">
        <f>[1]!XLSTAT_PDFWeibull(AA219,10,5)</f>
        <v>3.0410624624813912E-7</v>
      </c>
    </row>
    <row r="220" spans="1:28" x14ac:dyDescent="0.3">
      <c r="A220">
        <v>220</v>
      </c>
      <c r="C220">
        <f t="shared" si="21"/>
        <v>-0.48897795591182636</v>
      </c>
      <c r="D220">
        <f>[1]!XLSTAT_PDFNormal(C220,0,1)</f>
        <v>0.35398941979189352</v>
      </c>
      <c r="E220">
        <v>220</v>
      </c>
      <c r="G220">
        <f t="shared" si="22"/>
        <v>0.87781162324648754</v>
      </c>
      <c r="H220">
        <f>[1]!XLSTAT_PDFWeibull(G220,1)</f>
        <v>0.41569160688434387</v>
      </c>
      <c r="I220">
        <v>220</v>
      </c>
      <c r="K220">
        <f t="shared" si="23"/>
        <v>0.87781162324648754</v>
      </c>
      <c r="L220">
        <f>[1]!XLSTAT_PDFWeibull(K220,1,1)</f>
        <v>0.41569160688434387</v>
      </c>
      <c r="M220">
        <v>220</v>
      </c>
      <c r="O220">
        <f t="shared" si="24"/>
        <v>0.87781162324648754</v>
      </c>
      <c r="P220">
        <f>[1]!XLSTAT_PDFWeibull(O220,5,1)</f>
        <v>1.7628682958524609</v>
      </c>
      <c r="Q220">
        <v>220</v>
      </c>
      <c r="S220">
        <f t="shared" si="25"/>
        <v>0.87781162324648754</v>
      </c>
      <c r="T220">
        <f>[1]!XLSTAT_PDFWeibull(S220,10,1)</f>
        <v>2.3584945685824428</v>
      </c>
      <c r="U220">
        <v>220</v>
      </c>
      <c r="W220">
        <f t="shared" si="26"/>
        <v>0.87781162324648754</v>
      </c>
      <c r="X220">
        <f>[1]!XLSTAT_PDFWeibull(W220,10,5)</f>
        <v>3.1689244734457291E-7</v>
      </c>
      <c r="Y220">
        <v>220</v>
      </c>
      <c r="AA220">
        <f t="shared" si="27"/>
        <v>0.87781162324648754</v>
      </c>
      <c r="AB220">
        <f>[1]!XLSTAT_PDFWeibull(AA220,10,5)</f>
        <v>3.1689244734457291E-7</v>
      </c>
    </row>
    <row r="221" spans="1:28" x14ac:dyDescent="0.3">
      <c r="A221">
        <v>221</v>
      </c>
      <c r="C221">
        <f t="shared" si="21"/>
        <v>-0.47294589178356983</v>
      </c>
      <c r="D221">
        <f>[1]!XLSTAT_PDFNormal(C221,0,1)</f>
        <v>0.35672951641085748</v>
      </c>
      <c r="E221">
        <v>221</v>
      </c>
      <c r="G221">
        <f t="shared" si="22"/>
        <v>0.88181943887775005</v>
      </c>
      <c r="H221">
        <f>[1]!XLSTAT_PDFWeibull(G221,1)</f>
        <v>0.41402892564998806</v>
      </c>
      <c r="I221">
        <v>221</v>
      </c>
      <c r="K221">
        <f t="shared" si="23"/>
        <v>0.88181943887775005</v>
      </c>
      <c r="L221">
        <f>[1]!XLSTAT_PDFWeibull(K221,1,1)</f>
        <v>0.41402892564998806</v>
      </c>
      <c r="M221">
        <v>221</v>
      </c>
      <c r="O221">
        <f t="shared" si="24"/>
        <v>0.88181943887775005</v>
      </c>
      <c r="P221">
        <f>[1]!XLSTAT_PDFWeibull(O221,5,1)</f>
        <v>1.7738565133232032</v>
      </c>
      <c r="Q221">
        <v>221</v>
      </c>
      <c r="S221">
        <f t="shared" si="25"/>
        <v>0.88181943887775005</v>
      </c>
      <c r="T221">
        <f>[1]!XLSTAT_PDFWeibull(S221,10,1)</f>
        <v>2.4262830096925501</v>
      </c>
      <c r="U221">
        <v>221</v>
      </c>
      <c r="W221">
        <f t="shared" si="26"/>
        <v>0.88181943887775005</v>
      </c>
      <c r="X221">
        <f>[1]!XLSTAT_PDFWeibull(W221,10,5)</f>
        <v>3.3015429990754366E-7</v>
      </c>
      <c r="Y221">
        <v>221</v>
      </c>
      <c r="AA221">
        <f t="shared" si="27"/>
        <v>0.88181943887775005</v>
      </c>
      <c r="AB221">
        <f>[1]!XLSTAT_PDFWeibull(AA221,10,5)</f>
        <v>3.3015429990754366E-7</v>
      </c>
    </row>
    <row r="222" spans="1:28" x14ac:dyDescent="0.3">
      <c r="A222">
        <v>222</v>
      </c>
      <c r="C222">
        <f t="shared" si="21"/>
        <v>-0.4569138276553133</v>
      </c>
      <c r="D222">
        <f>[1]!XLSTAT_PDFNormal(C222,0,1)</f>
        <v>0.35939843606592553</v>
      </c>
      <c r="E222">
        <v>222</v>
      </c>
      <c r="G222">
        <f t="shared" si="22"/>
        <v>0.88582725450901256</v>
      </c>
      <c r="H222">
        <f>[1]!XLSTAT_PDFWeibull(G222,1)</f>
        <v>0.41237289479981437</v>
      </c>
      <c r="I222">
        <v>222</v>
      </c>
      <c r="K222">
        <f t="shared" si="23"/>
        <v>0.88582725450901256</v>
      </c>
      <c r="L222">
        <f>[1]!XLSTAT_PDFWeibull(K222,1,1)</f>
        <v>0.41237289479981437</v>
      </c>
      <c r="M222">
        <v>222</v>
      </c>
      <c r="O222">
        <f t="shared" si="24"/>
        <v>0.88582725450901256</v>
      </c>
      <c r="P222">
        <f>[1]!XLSTAT_PDFWeibull(O222,5,1)</f>
        <v>1.7843726290354112</v>
      </c>
      <c r="Q222">
        <v>222</v>
      </c>
      <c r="S222">
        <f t="shared" si="25"/>
        <v>0.88582725450901256</v>
      </c>
      <c r="T222">
        <f>[1]!XLSTAT_PDFWeibull(S222,10,1)</f>
        <v>2.4942370181404518</v>
      </c>
      <c r="U222">
        <v>222</v>
      </c>
      <c r="W222">
        <f t="shared" si="26"/>
        <v>0.88582725450901256</v>
      </c>
      <c r="X222">
        <f>[1]!XLSTAT_PDFWeibull(W222,10,5)</f>
        <v>3.4390721515965022E-7</v>
      </c>
      <c r="Y222">
        <v>222</v>
      </c>
      <c r="AA222">
        <f t="shared" si="27"/>
        <v>0.88582725450901256</v>
      </c>
      <c r="AB222">
        <f>[1]!XLSTAT_PDFWeibull(AA222,10,5)</f>
        <v>3.4390721515965022E-7</v>
      </c>
    </row>
    <row r="223" spans="1:28" x14ac:dyDescent="0.3">
      <c r="A223">
        <v>223</v>
      </c>
      <c r="C223">
        <f t="shared" si="21"/>
        <v>-0.44088176352705677</v>
      </c>
      <c r="D223">
        <f>[1]!XLSTAT_PDFNormal(C223,0,1)</f>
        <v>0.36199426931253198</v>
      </c>
      <c r="E223">
        <v>223</v>
      </c>
      <c r="G223">
        <f t="shared" si="22"/>
        <v>0.88983507014027508</v>
      </c>
      <c r="H223">
        <f>[1]!XLSTAT_PDFWeibull(G223,1)</f>
        <v>0.41072348773364908</v>
      </c>
      <c r="I223">
        <v>223</v>
      </c>
      <c r="K223">
        <f t="shared" si="23"/>
        <v>0.88983507014027508</v>
      </c>
      <c r="L223">
        <f>[1]!XLSTAT_PDFWeibull(K223,1,1)</f>
        <v>0.41072348773364908</v>
      </c>
      <c r="M223">
        <v>223</v>
      </c>
      <c r="O223">
        <f t="shared" si="24"/>
        <v>0.88983507014027508</v>
      </c>
      <c r="P223">
        <f>[1]!XLSTAT_PDFWeibull(O223,5,1)</f>
        <v>1.7944033797910226</v>
      </c>
      <c r="Q223">
        <v>223</v>
      </c>
      <c r="S223">
        <f t="shared" si="25"/>
        <v>0.88983507014027508</v>
      </c>
      <c r="T223">
        <f>[1]!XLSTAT_PDFWeibull(S223,10,1)</f>
        <v>2.5622170618611175</v>
      </c>
      <c r="U223">
        <v>223</v>
      </c>
      <c r="W223">
        <f t="shared" si="26"/>
        <v>0.88983507014027508</v>
      </c>
      <c r="X223">
        <f>[1]!XLSTAT_PDFWeibull(W223,10,5)</f>
        <v>3.5816703035383807E-7</v>
      </c>
      <c r="Y223">
        <v>223</v>
      </c>
      <c r="AA223">
        <f t="shared" si="27"/>
        <v>0.88983507014027508</v>
      </c>
      <c r="AB223">
        <f>[1]!XLSTAT_PDFWeibull(AA223,10,5)</f>
        <v>3.5816703035383807E-7</v>
      </c>
    </row>
    <row r="224" spans="1:28" x14ac:dyDescent="0.3">
      <c r="A224">
        <v>224</v>
      </c>
      <c r="C224">
        <f t="shared" si="21"/>
        <v>-0.42484969939880024</v>
      </c>
      <c r="D224">
        <f>[1]!XLSTAT_PDFNormal(C224,0,1)</f>
        <v>0.3645151492224411</v>
      </c>
      <c r="E224">
        <v>224</v>
      </c>
      <c r="G224">
        <f t="shared" si="22"/>
        <v>0.89384288577153759</v>
      </c>
      <c r="H224">
        <f>[1]!XLSTAT_PDFWeibull(G224,1)</f>
        <v>0.40908067795771363</v>
      </c>
      <c r="I224">
        <v>224</v>
      </c>
      <c r="K224">
        <f t="shared" si="23"/>
        <v>0.89384288577153759</v>
      </c>
      <c r="L224">
        <f>[1]!XLSTAT_PDFWeibull(K224,1,1)</f>
        <v>0.40908067795771363</v>
      </c>
      <c r="M224">
        <v>224</v>
      </c>
      <c r="O224">
        <f t="shared" si="24"/>
        <v>0.89384288577153759</v>
      </c>
      <c r="P224">
        <f>[1]!XLSTAT_PDFWeibull(O224,5,1)</f>
        <v>1.8039357336048316</v>
      </c>
      <c r="Q224">
        <v>224</v>
      </c>
      <c r="S224">
        <f t="shared" si="25"/>
        <v>0.89384288577153759</v>
      </c>
      <c r="T224">
        <f>[1]!XLSTAT_PDFWeibull(S224,10,1)</f>
        <v>2.630074298564081</v>
      </c>
      <c r="U224">
        <v>224</v>
      </c>
      <c r="W224">
        <f t="shared" si="26"/>
        <v>0.89384288577153759</v>
      </c>
      <c r="X224">
        <f>[1]!XLSTAT_PDFWeibull(W224,10,5)</f>
        <v>3.7295001854293089E-7</v>
      </c>
      <c r="Y224">
        <v>224</v>
      </c>
      <c r="AA224">
        <f t="shared" si="27"/>
        <v>0.89384288577153759</v>
      </c>
      <c r="AB224">
        <f>[1]!XLSTAT_PDFWeibull(AA224,10,5)</f>
        <v>3.7295001854293089E-7</v>
      </c>
    </row>
    <row r="225" spans="1:28" x14ac:dyDescent="0.3">
      <c r="A225">
        <v>225</v>
      </c>
      <c r="C225">
        <f t="shared" si="21"/>
        <v>-0.40881763527054371</v>
      </c>
      <c r="D225">
        <f>[1]!XLSTAT_PDFNormal(C225,0,1)</f>
        <v>0.36695925361676018</v>
      </c>
      <c r="E225">
        <v>225</v>
      </c>
      <c r="G225">
        <f t="shared" si="22"/>
        <v>0.8978507014028001</v>
      </c>
      <c r="H225">
        <f>[1]!XLSTAT_PDFWeibull(G225,1)</f>
        <v>0.40744443908419919</v>
      </c>
      <c r="I225">
        <v>225</v>
      </c>
      <c r="K225">
        <f t="shared" si="23"/>
        <v>0.8978507014028001</v>
      </c>
      <c r="L225">
        <f>[1]!XLSTAT_PDFWeibull(K225,1,1)</f>
        <v>0.40744443908419919</v>
      </c>
      <c r="M225">
        <v>225</v>
      </c>
      <c r="O225">
        <f t="shared" si="24"/>
        <v>0.8978507014028001</v>
      </c>
      <c r="P225">
        <f>[1]!XLSTAT_PDFWeibull(O225,5,1)</f>
        <v>1.8129569124391776</v>
      </c>
      <c r="Q225">
        <v>225</v>
      </c>
      <c r="S225">
        <f t="shared" si="25"/>
        <v>0.8978507014028001</v>
      </c>
      <c r="T225">
        <f>[1]!XLSTAT_PDFWeibull(S225,10,1)</f>
        <v>2.6976505505762569</v>
      </c>
      <c r="U225">
        <v>225</v>
      </c>
      <c r="W225">
        <f t="shared" si="26"/>
        <v>0.8978507014028001</v>
      </c>
      <c r="X225">
        <f>[1]!XLSTAT_PDFWeibull(W225,10,5)</f>
        <v>3.8827289852755086E-7</v>
      </c>
      <c r="Y225">
        <v>225</v>
      </c>
      <c r="AA225">
        <f t="shared" si="27"/>
        <v>0.8978507014028001</v>
      </c>
      <c r="AB225">
        <f>[1]!XLSTAT_PDFWeibull(AA225,10,5)</f>
        <v>3.8827289852755086E-7</v>
      </c>
    </row>
    <row r="226" spans="1:28" x14ac:dyDescent="0.3">
      <c r="A226">
        <v>226</v>
      </c>
      <c r="C226">
        <f t="shared" si="21"/>
        <v>-0.39278557114228718</v>
      </c>
      <c r="D226">
        <f>[1]!XLSTAT_PDFNormal(C226,0,1)</f>
        <v>0.36932480725709094</v>
      </c>
      <c r="E226">
        <v>226</v>
      </c>
      <c r="G226">
        <f t="shared" si="22"/>
        <v>0.9018585170340625</v>
      </c>
      <c r="H226">
        <f>[1]!XLSTAT_PDFWeibull(G226,1)</f>
        <v>0.40581474483084279</v>
      </c>
      <c r="I226">
        <v>226</v>
      </c>
      <c r="K226">
        <f t="shared" si="23"/>
        <v>0.9018585170340625</v>
      </c>
      <c r="L226">
        <f>[1]!XLSTAT_PDFWeibull(K226,1,1)</f>
        <v>0.40581474483084279</v>
      </c>
      <c r="M226">
        <v>226</v>
      </c>
      <c r="O226">
        <f t="shared" si="24"/>
        <v>0.9018585170340625</v>
      </c>
      <c r="P226">
        <f>[1]!XLSTAT_PDFWeibull(O226,5,1)</f>
        <v>1.8214544151548229</v>
      </c>
      <c r="Q226">
        <v>226</v>
      </c>
      <c r="S226">
        <f t="shared" si="25"/>
        <v>0.9018585170340625</v>
      </c>
      <c r="T226">
        <f>[1]!XLSTAT_PDFWeibull(S226,10,1)</f>
        <v>2.7647783377578676</v>
      </c>
      <c r="U226">
        <v>226</v>
      </c>
      <c r="W226">
        <f t="shared" si="26"/>
        <v>0.9018585170340625</v>
      </c>
      <c r="X226">
        <f>[1]!XLSTAT_PDFWeibull(W226,10,5)</f>
        <v>4.0415284498490394E-7</v>
      </c>
      <c r="Y226">
        <v>226</v>
      </c>
      <c r="AA226">
        <f t="shared" si="27"/>
        <v>0.9018585170340625</v>
      </c>
      <c r="AB226">
        <f>[1]!XLSTAT_PDFWeibull(AA226,10,5)</f>
        <v>4.0415284498490394E-7</v>
      </c>
    </row>
    <row r="227" spans="1:28" x14ac:dyDescent="0.3">
      <c r="A227">
        <v>227</v>
      </c>
      <c r="C227">
        <f t="shared" si="21"/>
        <v>-0.37675350701403065</v>
      </c>
      <c r="D227">
        <f>[1]!XLSTAT_PDFNormal(C227,0,1)</f>
        <v>0.37161008399113837</v>
      </c>
      <c r="E227">
        <v>227</v>
      </c>
      <c r="G227">
        <f t="shared" si="22"/>
        <v>0.90586633266532501</v>
      </c>
      <c r="H227">
        <f>[1]!XLSTAT_PDFWeibull(G227,1)</f>
        <v>0.4041915690205049</v>
      </c>
      <c r="I227">
        <v>227</v>
      </c>
      <c r="K227">
        <f t="shared" si="23"/>
        <v>0.90586633266532501</v>
      </c>
      <c r="L227">
        <f>[1]!XLSTAT_PDFWeibull(K227,1,1)</f>
        <v>0.4041915690205049</v>
      </c>
      <c r="M227">
        <v>227</v>
      </c>
      <c r="O227">
        <f t="shared" si="24"/>
        <v>0.90586633266532501</v>
      </c>
      <c r="P227">
        <f>[1]!XLSTAT_PDFWeibull(O227,5,1)</f>
        <v>1.8294160406363473</v>
      </c>
      <c r="Q227">
        <v>227</v>
      </c>
      <c r="S227">
        <f t="shared" si="25"/>
        <v>0.90586633266532501</v>
      </c>
      <c r="T227">
        <f>[1]!XLSTAT_PDFWeibull(S227,10,1)</f>
        <v>2.831280974621261</v>
      </c>
      <c r="U227">
        <v>227</v>
      </c>
      <c r="W227">
        <f t="shared" si="26"/>
        <v>0.90586633266532501</v>
      </c>
      <c r="X227">
        <f>[1]!XLSTAT_PDFWeibull(W227,10,5)</f>
        <v>4.2060749878083942E-7</v>
      </c>
      <c r="Y227">
        <v>227</v>
      </c>
      <c r="AA227">
        <f t="shared" si="27"/>
        <v>0.90586633266532501</v>
      </c>
      <c r="AB227">
        <f>[1]!XLSTAT_PDFWeibull(AA227,10,5)</f>
        <v>4.2060749878083942E-7</v>
      </c>
    </row>
    <row r="228" spans="1:28" x14ac:dyDescent="0.3">
      <c r="A228">
        <v>228</v>
      </c>
      <c r="C228">
        <f t="shared" si="21"/>
        <v>-0.36072144288577412</v>
      </c>
      <c r="D228">
        <f>[1]!XLSTAT_PDFNormal(C228,0,1)</f>
        <v>0.37381340884915254</v>
      </c>
      <c r="E228">
        <v>228</v>
      </c>
      <c r="G228">
        <f t="shared" si="22"/>
        <v>0.90987414829658753</v>
      </c>
      <c r="H228">
        <f>[1]!XLSTAT_PDFWeibull(G228,1)</f>
        <v>0.40257488558074955</v>
      </c>
      <c r="I228">
        <v>228</v>
      </c>
      <c r="K228">
        <f t="shared" si="23"/>
        <v>0.90987414829658753</v>
      </c>
      <c r="L228">
        <f>[1]!XLSTAT_PDFWeibull(K228,1,1)</f>
        <v>0.40257488558074955</v>
      </c>
      <c r="M228">
        <v>228</v>
      </c>
      <c r="O228">
        <f t="shared" si="24"/>
        <v>0.90987414829658753</v>
      </c>
      <c r="P228">
        <f>[1]!XLSTAT_PDFWeibull(O228,5,1)</f>
        <v>1.8368299110482835</v>
      </c>
      <c r="Q228">
        <v>228</v>
      </c>
      <c r="S228">
        <f t="shared" si="25"/>
        <v>0.90987414829658753</v>
      </c>
      <c r="T228">
        <f>[1]!XLSTAT_PDFWeibull(S228,10,1)</f>
        <v>2.8969727378888286</v>
      </c>
      <c r="U228">
        <v>228</v>
      </c>
      <c r="W228">
        <f t="shared" si="26"/>
        <v>0.90987414829658753</v>
      </c>
      <c r="X228">
        <f>[1]!XLSTAT_PDFWeibull(W228,10,5)</f>
        <v>4.37654977467691E-7</v>
      </c>
      <c r="Y228">
        <v>228</v>
      </c>
      <c r="AA228">
        <f t="shared" si="27"/>
        <v>0.90987414829658753</v>
      </c>
      <c r="AB228">
        <f>[1]!XLSTAT_PDFWeibull(AA228,10,5)</f>
        <v>4.37654977467691E-7</v>
      </c>
    </row>
    <row r="229" spans="1:28" x14ac:dyDescent="0.3">
      <c r="A229">
        <v>229</v>
      </c>
      <c r="C229">
        <f t="shared" si="21"/>
        <v>-0.34468937875751759</v>
      </c>
      <c r="D229">
        <f>[1]!XLSTAT_PDFNormal(C229,0,1)</f>
        <v>0.37593316008764338</v>
      </c>
      <c r="E229">
        <v>229</v>
      </c>
      <c r="G229">
        <f t="shared" si="22"/>
        <v>0.91388196392785004</v>
      </c>
      <c r="H229">
        <f>[1]!XLSTAT_PDFWeibull(G229,1)</f>
        <v>0.40096466854342483</v>
      </c>
      <c r="I229">
        <v>229</v>
      </c>
      <c r="K229">
        <f t="shared" si="23"/>
        <v>0.91388196392785004</v>
      </c>
      <c r="L229">
        <f>[1]!XLSTAT_PDFWeibull(K229,1,1)</f>
        <v>0.40096466854342483</v>
      </c>
      <c r="M229">
        <v>229</v>
      </c>
      <c r="O229">
        <f t="shared" si="24"/>
        <v>0.91388196392785004</v>
      </c>
      <c r="P229">
        <f>[1]!XLSTAT_PDFWeibull(O229,5,1)</f>
        <v>1.8436844951762215</v>
      </c>
      <c r="Q229">
        <v>229</v>
      </c>
      <c r="S229">
        <f t="shared" si="25"/>
        <v>0.91388196392785004</v>
      </c>
      <c r="T229">
        <f>[1]!XLSTAT_PDFWeibull(S229,10,1)</f>
        <v>2.9616591107698227</v>
      </c>
      <c r="U229">
        <v>229</v>
      </c>
      <c r="W229">
        <f t="shared" si="26"/>
        <v>0.91388196392785004</v>
      </c>
      <c r="X229">
        <f>[1]!XLSTAT_PDFWeibull(W229,10,5)</f>
        <v>4.5531388597038914E-7</v>
      </c>
      <c r="Y229">
        <v>229</v>
      </c>
      <c r="AA229">
        <f t="shared" si="27"/>
        <v>0.91388196392785004</v>
      </c>
      <c r="AB229">
        <f>[1]!XLSTAT_PDFWeibull(AA229,10,5)</f>
        <v>4.5531388597038914E-7</v>
      </c>
    </row>
    <row r="230" spans="1:28" x14ac:dyDescent="0.3">
      <c r="A230">
        <v>230</v>
      </c>
      <c r="C230">
        <f t="shared" si="21"/>
        <v>-0.32865731462926107</v>
      </c>
      <c r="D230">
        <f>[1]!XLSTAT_PDFNormal(C230,0,1)</f>
        <v>0.37796777117688246</v>
      </c>
      <c r="E230">
        <v>230</v>
      </c>
      <c r="G230">
        <f t="shared" si="22"/>
        <v>0.91788977955911255</v>
      </c>
      <c r="H230">
        <f>[1]!XLSTAT_PDFWeibull(G230,1)</f>
        <v>0.3993608920442463</v>
      </c>
      <c r="I230">
        <v>230</v>
      </c>
      <c r="K230">
        <f t="shared" si="23"/>
        <v>0.91788977955911255</v>
      </c>
      <c r="L230">
        <f>[1]!XLSTAT_PDFWeibull(K230,1,1)</f>
        <v>0.3993608920442463</v>
      </c>
      <c r="M230">
        <v>230</v>
      </c>
      <c r="O230">
        <f t="shared" si="24"/>
        <v>0.91788977955911255</v>
      </c>
      <c r="P230">
        <f>[1]!XLSTAT_PDFWeibull(O230,5,1)</f>
        <v>1.8499686318050605</v>
      </c>
      <c r="Q230">
        <v>230</v>
      </c>
      <c r="S230">
        <f t="shared" si="25"/>
        <v>0.91788977955911255</v>
      </c>
      <c r="T230">
        <f>[1]!XLSTAT_PDFWeibull(S230,10,1)</f>
        <v>3.0251371102057973</v>
      </c>
      <c r="U230">
        <v>230</v>
      </c>
      <c r="W230">
        <f t="shared" si="26"/>
        <v>0.91788977955911255</v>
      </c>
      <c r="X230">
        <f>[1]!XLSTAT_PDFWeibull(W230,10,5)</f>
        <v>4.7360332746335651E-7</v>
      </c>
      <c r="Y230">
        <v>230</v>
      </c>
      <c r="AA230">
        <f t="shared" si="27"/>
        <v>0.91788977955911255</v>
      </c>
      <c r="AB230">
        <f>[1]!XLSTAT_PDFWeibull(AA230,10,5)</f>
        <v>4.7360332746335651E-7</v>
      </c>
    </row>
    <row r="231" spans="1:28" x14ac:dyDescent="0.3">
      <c r="A231">
        <v>231</v>
      </c>
      <c r="C231">
        <f t="shared" si="21"/>
        <v>-0.31262525050100454</v>
      </c>
      <c r="D231">
        <f>[1]!XLSTAT_PDFNormal(C231,0,1)</f>
        <v>0.37991573272878459</v>
      </c>
      <c r="E231">
        <v>231</v>
      </c>
      <c r="G231">
        <f t="shared" si="22"/>
        <v>0.92189759519037506</v>
      </c>
      <c r="H231">
        <f>[1]!XLSTAT_PDFWeibull(G231,1)</f>
        <v>0.39776353032238138</v>
      </c>
      <c r="I231">
        <v>231</v>
      </c>
      <c r="K231">
        <f t="shared" si="23"/>
        <v>0.92189759519037506</v>
      </c>
      <c r="L231">
        <f>[1]!XLSTAT_PDFWeibull(K231,1,1)</f>
        <v>0.39776353032238138</v>
      </c>
      <c r="M231">
        <v>231</v>
      </c>
      <c r="O231">
        <f t="shared" si="24"/>
        <v>0.92189759519037506</v>
      </c>
      <c r="P231">
        <f>[1]!XLSTAT_PDFWeibull(O231,5,1)</f>
        <v>1.8556715530847194</v>
      </c>
      <c r="Q231">
        <v>231</v>
      </c>
      <c r="S231">
        <f t="shared" si="25"/>
        <v>0.92189759519037506</v>
      </c>
      <c r="T231">
        <f>[1]!XLSTAT_PDFWeibull(S231,10,1)</f>
        <v>3.0871957032201696</v>
      </c>
      <c r="U231">
        <v>231</v>
      </c>
      <c r="W231">
        <f t="shared" si="26"/>
        <v>0.92189759519037506</v>
      </c>
      <c r="X231">
        <f>[1]!XLSTAT_PDFWeibull(W231,10,5)</f>
        <v>4.9254291444074541E-7</v>
      </c>
      <c r="Y231">
        <v>231</v>
      </c>
      <c r="AA231">
        <f t="shared" si="27"/>
        <v>0.92189759519037506</v>
      </c>
      <c r="AB231">
        <f>[1]!XLSTAT_PDFWeibull(AA231,10,5)</f>
        <v>4.9254291444074541E-7</v>
      </c>
    </row>
    <row r="232" spans="1:28" x14ac:dyDescent="0.3">
      <c r="A232">
        <v>232</v>
      </c>
      <c r="C232">
        <f t="shared" si="21"/>
        <v>-0.29659318637274801</v>
      </c>
      <c r="D232">
        <f>[1]!XLSTAT_PDFNormal(C232,0,1)</f>
        <v>0.38177559436185082</v>
      </c>
      <c r="E232">
        <v>232</v>
      </c>
      <c r="G232">
        <f t="shared" si="22"/>
        <v>0.92590541082163758</v>
      </c>
      <c r="H232">
        <f>[1]!XLSTAT_PDFWeibull(G232,1)</f>
        <v>0.39617255772003546</v>
      </c>
      <c r="I232">
        <v>232</v>
      </c>
      <c r="K232">
        <f t="shared" si="23"/>
        <v>0.92590541082163758</v>
      </c>
      <c r="L232">
        <f>[1]!XLSTAT_PDFWeibull(K232,1,1)</f>
        <v>0.39617255772003546</v>
      </c>
      <c r="M232">
        <v>232</v>
      </c>
      <c r="O232">
        <f t="shared" si="24"/>
        <v>0.92590541082163758</v>
      </c>
      <c r="P232">
        <f>[1]!XLSTAT_PDFWeibull(O232,5,1)</f>
        <v>1.8607829078317111</v>
      </c>
      <c r="Q232">
        <v>232</v>
      </c>
      <c r="S232">
        <f t="shared" si="25"/>
        <v>0.92590541082163758</v>
      </c>
      <c r="T232">
        <f>[1]!XLSTAT_PDFWeibull(S232,10,1)</f>
        <v>3.1476163182974224</v>
      </c>
      <c r="U232">
        <v>232</v>
      </c>
      <c r="W232">
        <f t="shared" si="26"/>
        <v>0.92590541082163758</v>
      </c>
      <c r="X232">
        <f>[1]!XLSTAT_PDFWeibull(W232,10,5)</f>
        <v>5.121527799825712E-7</v>
      </c>
      <c r="Y232">
        <v>232</v>
      </c>
      <c r="AA232">
        <f t="shared" si="27"/>
        <v>0.92590541082163758</v>
      </c>
      <c r="AB232">
        <f>[1]!XLSTAT_PDFWeibull(AA232,10,5)</f>
        <v>5.121527799825712E-7</v>
      </c>
    </row>
    <row r="233" spans="1:28" x14ac:dyDescent="0.3">
      <c r="A233">
        <v>233</v>
      </c>
      <c r="C233">
        <f t="shared" si="21"/>
        <v>-0.28056112224449148</v>
      </c>
      <c r="D233">
        <f>[1]!XLSTAT_PDFNormal(C233,0,1)</f>
        <v>0.38354596649994926</v>
      </c>
      <c r="E233">
        <v>233</v>
      </c>
      <c r="G233">
        <f t="shared" si="22"/>
        <v>0.92991322645290009</v>
      </c>
      <c r="H233">
        <f>[1]!XLSTAT_PDFWeibull(G233,1)</f>
        <v>0.39458794868203984</v>
      </c>
      <c r="I233">
        <v>233</v>
      </c>
      <c r="K233">
        <f t="shared" si="23"/>
        <v>0.92991322645290009</v>
      </c>
      <c r="L233">
        <f>[1]!XLSTAT_PDFWeibull(K233,1,1)</f>
        <v>0.39458794868203984</v>
      </c>
      <c r="M233">
        <v>233</v>
      </c>
      <c r="O233">
        <f t="shared" si="24"/>
        <v>0.92991322645290009</v>
      </c>
      <c r="P233">
        <f>[1]!XLSTAT_PDFWeibull(O233,5,1)</f>
        <v>1.8652927847132503</v>
      </c>
      <c r="Q233">
        <v>233</v>
      </c>
      <c r="S233">
        <f t="shared" si="25"/>
        <v>0.92991322645290009</v>
      </c>
      <c r="T233">
        <f>[1]!XLSTAT_PDFWeibull(S233,10,1)</f>
        <v>3.2061734574003866</v>
      </c>
      <c r="U233">
        <v>233</v>
      </c>
      <c r="W233">
        <f t="shared" si="26"/>
        <v>0.92991322645290009</v>
      </c>
      <c r="X233">
        <f>[1]!XLSTAT_PDFWeibull(W233,10,5)</f>
        <v>5.3245358921933492E-7</v>
      </c>
      <c r="Y233">
        <v>233</v>
      </c>
      <c r="AA233">
        <f t="shared" si="27"/>
        <v>0.92991322645290009</v>
      </c>
      <c r="AB233">
        <f>[1]!XLSTAT_PDFWeibull(AA233,10,5)</f>
        <v>5.3245358921933492E-7</v>
      </c>
    </row>
    <row r="234" spans="1:28" x14ac:dyDescent="0.3">
      <c r="A234">
        <v>234</v>
      </c>
      <c r="C234">
        <f t="shared" si="21"/>
        <v>-0.26452905811623539</v>
      </c>
      <c r="D234">
        <f>[1]!XLSTAT_PDFNormal(C234,0,1)</f>
        <v>0.38522552210181199</v>
      </c>
      <c r="E234">
        <v>234</v>
      </c>
      <c r="G234">
        <f t="shared" si="22"/>
        <v>0.9339210420841626</v>
      </c>
      <c r="H234">
        <f>[1]!XLSTAT_PDFWeibull(G234,1)</f>
        <v>0.39300967775544132</v>
      </c>
      <c r="I234">
        <v>234</v>
      </c>
      <c r="K234">
        <f t="shared" si="23"/>
        <v>0.9339210420841626</v>
      </c>
      <c r="L234">
        <f>[1]!XLSTAT_PDFWeibull(K234,1,1)</f>
        <v>0.39300967775544132</v>
      </c>
      <c r="M234">
        <v>234</v>
      </c>
      <c r="O234">
        <f t="shared" si="24"/>
        <v>0.9339210420841626</v>
      </c>
      <c r="P234">
        <f>[1]!XLSTAT_PDFWeibull(O234,5,1)</f>
        <v>1.8691917352588503</v>
      </c>
      <c r="Q234">
        <v>234</v>
      </c>
      <c r="S234">
        <f t="shared" si="25"/>
        <v>0.9339210420841626</v>
      </c>
      <c r="T234">
        <f>[1]!XLSTAT_PDFWeibull(S234,10,1)</f>
        <v>3.2626354137983631</v>
      </c>
      <c r="U234">
        <v>234</v>
      </c>
      <c r="W234">
        <f t="shared" si="26"/>
        <v>0.9339210420841626</v>
      </c>
      <c r="X234">
        <f>[1]!XLSTAT_PDFWeibull(W234,10,5)</f>
        <v>5.5346655099775502E-7</v>
      </c>
      <c r="Y234">
        <v>234</v>
      </c>
      <c r="AA234">
        <f t="shared" si="27"/>
        <v>0.9339210420841626</v>
      </c>
      <c r="AB234">
        <f>[1]!XLSTAT_PDFWeibull(AA234,10,5)</f>
        <v>5.5346655099775502E-7</v>
      </c>
    </row>
    <row r="235" spans="1:28" x14ac:dyDescent="0.3">
      <c r="A235">
        <v>235</v>
      </c>
      <c r="C235">
        <f t="shared" si="21"/>
        <v>-0.24849699398797886</v>
      </c>
      <c r="D235">
        <f>[1]!XLSTAT_PDFNormal(C235,0,1)</f>
        <v>0.38681299831823657</v>
      </c>
      <c r="E235">
        <v>235</v>
      </c>
      <c r="G235">
        <f t="shared" si="22"/>
        <v>0.937928857715425</v>
      </c>
      <c r="H235">
        <f>[1]!XLSTAT_PDFWeibull(G235,1)</f>
        <v>0.39143771958909329</v>
      </c>
      <c r="I235">
        <v>235</v>
      </c>
      <c r="K235">
        <f t="shared" si="23"/>
        <v>0.937928857715425</v>
      </c>
      <c r="L235">
        <f>[1]!XLSTAT_PDFWeibull(K235,1,1)</f>
        <v>0.39143771958909329</v>
      </c>
      <c r="M235">
        <v>235</v>
      </c>
      <c r="O235">
        <f t="shared" si="24"/>
        <v>0.937928857715425</v>
      </c>
      <c r="P235">
        <f>[1]!XLSTAT_PDFWeibull(O235,5,1)</f>
        <v>1.8724707966427998</v>
      </c>
      <c r="Q235">
        <v>235</v>
      </c>
      <c r="S235">
        <f t="shared" si="25"/>
        <v>0.937928857715425</v>
      </c>
      <c r="T235">
        <f>[1]!XLSTAT_PDFWeibull(S235,10,1)</f>
        <v>3.3167651003133112</v>
      </c>
      <c r="U235">
        <v>235</v>
      </c>
      <c r="W235">
        <f t="shared" si="26"/>
        <v>0.937928857715425</v>
      </c>
      <c r="X235">
        <f>[1]!XLSTAT_PDFWeibull(W235,10,5)</f>
        <v>5.7521342975020853E-7</v>
      </c>
      <c r="Y235">
        <v>235</v>
      </c>
      <c r="AA235">
        <f t="shared" si="27"/>
        <v>0.937928857715425</v>
      </c>
      <c r="AB235">
        <f>[1]!XLSTAT_PDFWeibull(AA235,10,5)</f>
        <v>5.7521342975020853E-7</v>
      </c>
    </row>
    <row r="236" spans="1:28" x14ac:dyDescent="0.3">
      <c r="A236">
        <v>236</v>
      </c>
      <c r="C236">
        <f t="shared" si="21"/>
        <v>-0.23246492985972234</v>
      </c>
      <c r="D236">
        <f>[1]!XLSTAT_PDFNormal(C236,0,1)</f>
        <v>0.38830719807409575</v>
      </c>
      <c r="E236">
        <v>236</v>
      </c>
      <c r="G236">
        <f t="shared" si="22"/>
        <v>0.94193667334668751</v>
      </c>
      <c r="H236">
        <f>[1]!XLSTAT_PDFWeibull(G236,1)</f>
        <v>0.38987204893324839</v>
      </c>
      <c r="I236">
        <v>236</v>
      </c>
      <c r="K236">
        <f t="shared" si="23"/>
        <v>0.94193667334668751</v>
      </c>
      <c r="L236">
        <f>[1]!XLSTAT_PDFWeibull(K236,1,1)</f>
        <v>0.38987204893324839</v>
      </c>
      <c r="M236">
        <v>236</v>
      </c>
      <c r="O236">
        <f t="shared" si="24"/>
        <v>0.94193667334668751</v>
      </c>
      <c r="P236">
        <f>[1]!XLSTAT_PDFWeibull(O236,5,1)</f>
        <v>1.8751215141794442</v>
      </c>
      <c r="Q236">
        <v>236</v>
      </c>
      <c r="S236">
        <f t="shared" si="25"/>
        <v>0.94193667334668751</v>
      </c>
      <c r="T236">
        <f>[1]!XLSTAT_PDFWeibull(S236,10,1)</f>
        <v>3.368320991885192</v>
      </c>
      <c r="U236">
        <v>236</v>
      </c>
      <c r="W236">
        <f t="shared" si="26"/>
        <v>0.94193667334668751</v>
      </c>
      <c r="X236">
        <f>[1]!XLSTAT_PDFWeibull(W236,10,5)</f>
        <v>5.9771655757059849E-7</v>
      </c>
      <c r="Y236">
        <v>236</v>
      </c>
      <c r="AA236">
        <f t="shared" si="27"/>
        <v>0.94193667334668751</v>
      </c>
      <c r="AB236">
        <f>[1]!XLSTAT_PDFWeibull(AA236,10,5)</f>
        <v>5.9771655757059849E-7</v>
      </c>
    </row>
    <row r="237" spans="1:28" x14ac:dyDescent="0.3">
      <c r="A237">
        <v>237</v>
      </c>
      <c r="C237">
        <f t="shared" si="21"/>
        <v>-0.21643286573146581</v>
      </c>
      <c r="D237">
        <f>[1]!XLSTAT_PDFNormal(C237,0,1)</f>
        <v>0.38970699157238137</v>
      </c>
      <c r="E237">
        <v>237</v>
      </c>
      <c r="G237">
        <f t="shared" si="22"/>
        <v>0.94594448897795003</v>
      </c>
      <c r="H237">
        <f>[1]!XLSTAT_PDFWeibull(G237,1)</f>
        <v>0.38831264063915327</v>
      </c>
      <c r="I237">
        <v>237</v>
      </c>
      <c r="K237">
        <f t="shared" si="23"/>
        <v>0.94594448897795003</v>
      </c>
      <c r="L237">
        <f>[1]!XLSTAT_PDFWeibull(K237,1,1)</f>
        <v>0.38831264063915327</v>
      </c>
      <c r="M237">
        <v>237</v>
      </c>
      <c r="O237">
        <f t="shared" si="24"/>
        <v>0.94594448897795003</v>
      </c>
      <c r="P237">
        <f>[1]!XLSTAT_PDFWeibull(O237,5,1)</f>
        <v>1.8771359634718372</v>
      </c>
      <c r="Q237">
        <v>237</v>
      </c>
      <c r="S237">
        <f t="shared" si="25"/>
        <v>0.94594448897795003</v>
      </c>
      <c r="T237">
        <f>[1]!XLSTAT_PDFWeibull(S237,10,1)</f>
        <v>3.4170581855009594</v>
      </c>
      <c r="U237">
        <v>237</v>
      </c>
      <c r="W237">
        <f t="shared" si="26"/>
        <v>0.94594448897795003</v>
      </c>
      <c r="X237">
        <f>[1]!XLSTAT_PDFWeibull(W237,10,5)</f>
        <v>6.2099884649926219E-7</v>
      </c>
      <c r="Y237">
        <v>237</v>
      </c>
      <c r="AA237">
        <f t="shared" si="27"/>
        <v>0.94594448897795003</v>
      </c>
      <c r="AB237">
        <f>[1]!XLSTAT_PDFWeibull(AA237,10,5)</f>
        <v>6.2099884649926219E-7</v>
      </c>
    </row>
    <row r="238" spans="1:28" x14ac:dyDescent="0.3">
      <c r="A238">
        <v>238</v>
      </c>
      <c r="C238">
        <f t="shared" si="21"/>
        <v>-0.20040080160320928</v>
      </c>
      <c r="D238">
        <f>[1]!XLSTAT_PDFNormal(C238,0,1)</f>
        <v>0.39101131771763897</v>
      </c>
      <c r="E238">
        <v>238</v>
      </c>
      <c r="G238">
        <f t="shared" si="22"/>
        <v>0.94995230460921254</v>
      </c>
      <c r="H238">
        <f>[1]!XLSTAT_PDFWeibull(G238,1)</f>
        <v>0.38675946965864438</v>
      </c>
      <c r="I238">
        <v>238</v>
      </c>
      <c r="K238">
        <f t="shared" si="23"/>
        <v>0.94995230460921254</v>
      </c>
      <c r="L238">
        <f>[1]!XLSTAT_PDFWeibull(K238,1,1)</f>
        <v>0.38675946965864438</v>
      </c>
      <c r="M238">
        <v>238</v>
      </c>
      <c r="O238">
        <f t="shared" si="24"/>
        <v>0.94995230460921254</v>
      </c>
      <c r="P238">
        <f>[1]!XLSTAT_PDFWeibull(O238,5,1)</f>
        <v>1.878506772153137</v>
      </c>
      <c r="Q238">
        <v>238</v>
      </c>
      <c r="S238">
        <f t="shared" si="25"/>
        <v>0.94995230460921254</v>
      </c>
      <c r="T238">
        <f>[1]!XLSTAT_PDFWeibull(S238,10,1)</f>
        <v>3.4627295795160129</v>
      </c>
      <c r="U238">
        <v>238</v>
      </c>
      <c r="W238">
        <f t="shared" si="26"/>
        <v>0.94995230460921254</v>
      </c>
      <c r="X238">
        <f>[1]!XLSTAT_PDFWeibull(W238,10,5)</f>
        <v>6.4508380101966459E-7</v>
      </c>
      <c r="Y238">
        <v>238</v>
      </c>
      <c r="AA238">
        <f t="shared" si="27"/>
        <v>0.94995230460921254</v>
      </c>
      <c r="AB238">
        <f>[1]!XLSTAT_PDFWeibull(AA238,10,5)</f>
        <v>6.4508380101966459E-7</v>
      </c>
    </row>
    <row r="239" spans="1:28" x14ac:dyDescent="0.3">
      <c r="A239">
        <v>239</v>
      </c>
      <c r="C239">
        <f t="shared" si="21"/>
        <v>-0.18436873747495275</v>
      </c>
      <c r="D239">
        <f>[1]!XLSTAT_PDFNormal(C239,0,1)</f>
        <v>0.39221918545628104</v>
      </c>
      <c r="E239">
        <v>239</v>
      </c>
      <c r="G239">
        <f t="shared" si="22"/>
        <v>0.95396012024047505</v>
      </c>
      <c r="H239">
        <f>[1]!XLSTAT_PDFWeibull(G239,1)</f>
        <v>0.3852125110437456</v>
      </c>
      <c r="I239">
        <v>239</v>
      </c>
      <c r="K239">
        <f t="shared" si="23"/>
        <v>0.95396012024047505</v>
      </c>
      <c r="L239">
        <f>[1]!XLSTAT_PDFWeibull(K239,1,1)</f>
        <v>0.3852125110437456</v>
      </c>
      <c r="M239">
        <v>239</v>
      </c>
      <c r="O239">
        <f t="shared" si="24"/>
        <v>0.95396012024047505</v>
      </c>
      <c r="P239">
        <f>[1]!XLSTAT_PDFWeibull(O239,5,1)</f>
        <v>1.8792271411590362</v>
      </c>
      <c r="Q239">
        <v>239</v>
      </c>
      <c r="S239">
        <f t="shared" si="25"/>
        <v>0.95396012024047505</v>
      </c>
      <c r="T239">
        <f>[1]!XLSTAT_PDFWeibull(S239,10,1)</f>
        <v>3.5050871732150775</v>
      </c>
      <c r="U239">
        <v>239</v>
      </c>
      <c r="W239">
        <f t="shared" si="26"/>
        <v>0.95396012024047505</v>
      </c>
      <c r="X239">
        <f>[1]!XLSTAT_PDFWeibull(W239,10,5)</f>
        <v>6.6999553076959521E-7</v>
      </c>
      <c r="Y239">
        <v>239</v>
      </c>
      <c r="AA239">
        <f t="shared" si="27"/>
        <v>0.95396012024047505</v>
      </c>
      <c r="AB239">
        <f>[1]!XLSTAT_PDFWeibull(AA239,10,5)</f>
        <v>6.6999553076959521E-7</v>
      </c>
    </row>
    <row r="240" spans="1:28" x14ac:dyDescent="0.3">
      <c r="A240">
        <v>240</v>
      </c>
      <c r="C240">
        <f t="shared" si="21"/>
        <v>-0.16833667334669622</v>
      </c>
      <c r="D240">
        <f>[1]!XLSTAT_PDFNormal(C240,0,1)</f>
        <v>0.39332967503141064</v>
      </c>
      <c r="E240">
        <v>240</v>
      </c>
      <c r="G240">
        <f t="shared" si="22"/>
        <v>0.95796793587173756</v>
      </c>
      <c r="H240">
        <f>[1]!XLSTAT_PDFWeibull(G240,1)</f>
        <v>0.3836717399462678</v>
      </c>
      <c r="I240">
        <v>240</v>
      </c>
      <c r="K240">
        <f t="shared" si="23"/>
        <v>0.95796793587173756</v>
      </c>
      <c r="L240">
        <f>[1]!XLSTAT_PDFWeibull(K240,1,1)</f>
        <v>0.3836717399462678</v>
      </c>
      <c r="M240">
        <v>240</v>
      </c>
      <c r="O240">
        <f t="shared" si="24"/>
        <v>0.95796793587173756</v>
      </c>
      <c r="P240">
        <f>[1]!XLSTAT_PDFWeibull(O240,5,1)</f>
        <v>1.8792908654686238</v>
      </c>
      <c r="Q240">
        <v>240</v>
      </c>
      <c r="S240">
        <f t="shared" si="25"/>
        <v>0.95796793587173756</v>
      </c>
      <c r="T240">
        <f>[1]!XLSTAT_PDFWeibull(S240,10,1)</f>
        <v>3.5438834861065032</v>
      </c>
      <c r="U240">
        <v>240</v>
      </c>
      <c r="W240">
        <f t="shared" si="26"/>
        <v>0.95796793587173756</v>
      </c>
      <c r="X240">
        <f>[1]!XLSTAT_PDFWeibull(W240,10,5)</f>
        <v>6.9575876346960861E-7</v>
      </c>
      <c r="Y240">
        <v>240</v>
      </c>
      <c r="AA240">
        <f t="shared" si="27"/>
        <v>0.95796793587173756</v>
      </c>
      <c r="AB240">
        <f>[1]!XLSTAT_PDFWeibull(AA240,10,5)</f>
        <v>6.9575876346960861E-7</v>
      </c>
    </row>
    <row r="241" spans="1:28" x14ac:dyDescent="0.3">
      <c r="A241">
        <v>241</v>
      </c>
      <c r="C241">
        <f t="shared" si="21"/>
        <v>-0.15230460921843969</v>
      </c>
      <c r="D241">
        <f>[1]!XLSTAT_PDFNormal(C241,0,1)</f>
        <v>0.39434193914993132</v>
      </c>
      <c r="E241">
        <v>241</v>
      </c>
      <c r="G241">
        <f t="shared" si="22"/>
        <v>0.96197575150300008</v>
      </c>
      <c r="H241">
        <f>[1]!XLSTAT_PDFWeibull(G241,1)</f>
        <v>0.3821371316174092</v>
      </c>
      <c r="I241">
        <v>241</v>
      </c>
      <c r="K241">
        <f t="shared" si="23"/>
        <v>0.96197575150300008</v>
      </c>
      <c r="L241">
        <f>[1]!XLSTAT_PDFWeibull(K241,1,1)</f>
        <v>0.3821371316174092</v>
      </c>
      <c r="M241">
        <v>241</v>
      </c>
      <c r="O241">
        <f t="shared" si="24"/>
        <v>0.96197575150300008</v>
      </c>
      <c r="P241">
        <f>[1]!XLSTAT_PDFWeibull(O241,5,1)</f>
        <v>1.8786923542503282</v>
      </c>
      <c r="Q241">
        <v>241</v>
      </c>
      <c r="S241">
        <f t="shared" si="25"/>
        <v>0.96197575150300008</v>
      </c>
      <c r="T241">
        <f>[1]!XLSTAT_PDFWeibull(S241,10,1)</f>
        <v>3.5788730949176335</v>
      </c>
      <c r="U241">
        <v>241</v>
      </c>
      <c r="W241">
        <f t="shared" si="26"/>
        <v>0.96197575150300008</v>
      </c>
      <c r="X241">
        <f>[1]!XLSTAT_PDFWeibull(W241,10,5)</f>
        <v>7.22398858071489E-7</v>
      </c>
      <c r="Y241">
        <v>241</v>
      </c>
      <c r="AA241">
        <f t="shared" si="27"/>
        <v>0.96197575150300008</v>
      </c>
      <c r="AB241">
        <f>[1]!XLSTAT_PDFWeibull(AA241,10,5)</f>
        <v>7.22398858071489E-7</v>
      </c>
    </row>
    <row r="242" spans="1:28" x14ac:dyDescent="0.3">
      <c r="A242">
        <v>242</v>
      </c>
      <c r="C242">
        <f t="shared" si="21"/>
        <v>-0.13627254509018316</v>
      </c>
      <c r="D242">
        <f>[1]!XLSTAT_PDFNormal(C242,0,1)</f>
        <v>0.39525520405986908</v>
      </c>
      <c r="E242">
        <v>242</v>
      </c>
      <c r="G242">
        <f t="shared" si="22"/>
        <v>0.96598356713426259</v>
      </c>
      <c r="H242">
        <f>[1]!XLSTAT_PDFWeibull(G242,1)</f>
        <v>0.3806086614073585</v>
      </c>
      <c r="I242">
        <v>242</v>
      </c>
      <c r="K242">
        <f t="shared" si="23"/>
        <v>0.96598356713426259</v>
      </c>
      <c r="L242">
        <f>[1]!XLSTAT_PDFWeibull(K242,1,1)</f>
        <v>0.3806086614073585</v>
      </c>
      <c r="M242">
        <v>242</v>
      </c>
      <c r="O242">
        <f t="shared" si="24"/>
        <v>0.96598356713426259</v>
      </c>
      <c r="P242">
        <f>[1]!XLSTAT_PDFWeibull(O242,5,1)</f>
        <v>1.8774266503490136</v>
      </c>
      <c r="Q242">
        <v>242</v>
      </c>
      <c r="S242">
        <f t="shared" si="25"/>
        <v>0.96598356713426259</v>
      </c>
      <c r="T242">
        <f>[1]!XLSTAT_PDFWeibull(S242,10,1)</f>
        <v>3.6098142845597136</v>
      </c>
      <c r="U242">
        <v>242</v>
      </c>
      <c r="W242">
        <f t="shared" si="26"/>
        <v>0.96598356713426259</v>
      </c>
      <c r="X242">
        <f>[1]!XLSTAT_PDFWeibull(W242,10,5)</f>
        <v>7.4994181812953906E-7</v>
      </c>
      <c r="Y242">
        <v>242</v>
      </c>
      <c r="AA242">
        <f t="shared" si="27"/>
        <v>0.96598356713426259</v>
      </c>
      <c r="AB242">
        <f>[1]!XLSTAT_PDFWeibull(AA242,10,5)</f>
        <v>7.4994181812953906E-7</v>
      </c>
    </row>
    <row r="243" spans="1:28" x14ac:dyDescent="0.3">
      <c r="A243">
        <v>243</v>
      </c>
      <c r="C243">
        <f t="shared" si="21"/>
        <v>-0.12024048096192663</v>
      </c>
      <c r="D243">
        <f>[1]!XLSTAT_PDFNormal(C243,0,1)</f>
        <v>0.39606877053599093</v>
      </c>
      <c r="E243">
        <v>243</v>
      </c>
      <c r="G243">
        <f t="shared" si="22"/>
        <v>0.9699913827655251</v>
      </c>
      <c r="H243">
        <f>[1]!XLSTAT_PDFWeibull(G243,1)</f>
        <v>0.37908630476489841</v>
      </c>
      <c r="I243">
        <v>243</v>
      </c>
      <c r="K243">
        <f t="shared" si="23"/>
        <v>0.9699913827655251</v>
      </c>
      <c r="L243">
        <f>[1]!XLSTAT_PDFWeibull(K243,1,1)</f>
        <v>0.37908630476489841</v>
      </c>
      <c r="M243">
        <v>243</v>
      </c>
      <c r="O243">
        <f t="shared" si="24"/>
        <v>0.9699913827655251</v>
      </c>
      <c r="P243">
        <f>[1]!XLSTAT_PDFWeibull(O243,5,1)</f>
        <v>1.8754894490499425</v>
      </c>
      <c r="Q243">
        <v>243</v>
      </c>
      <c r="S243">
        <f t="shared" si="25"/>
        <v>0.9699913827655251</v>
      </c>
      <c r="T243">
        <f>[1]!XLSTAT_PDFWeibull(S243,10,1)</f>
        <v>3.636470807463295</v>
      </c>
      <c r="U243">
        <v>243</v>
      </c>
      <c r="W243">
        <f t="shared" si="26"/>
        <v>0.9699913827655251</v>
      </c>
      <c r="X243">
        <f>[1]!XLSTAT_PDFWeibull(W243,10,5)</f>
        <v>7.7841430539748868E-7</v>
      </c>
      <c r="Y243">
        <v>243</v>
      </c>
      <c r="AA243">
        <f t="shared" si="27"/>
        <v>0.9699913827655251</v>
      </c>
      <c r="AB243">
        <f>[1]!XLSTAT_PDFWeibull(AA243,10,5)</f>
        <v>7.7841430539748868E-7</v>
      </c>
    </row>
    <row r="244" spans="1:28" x14ac:dyDescent="0.3">
      <c r="A244">
        <v>244</v>
      </c>
      <c r="C244">
        <f t="shared" si="21"/>
        <v>-0.1042084168336701</v>
      </c>
      <c r="D244">
        <f>[1]!XLSTAT_PDFNormal(C244,0,1)</f>
        <v>0.39678201477196012</v>
      </c>
      <c r="E244">
        <v>244</v>
      </c>
      <c r="G244">
        <f t="shared" si="22"/>
        <v>0.9739991983967875</v>
      </c>
      <c r="H244">
        <f>[1]!XLSTAT_PDFWeibull(G244,1)</f>
        <v>0.37757003723701144</v>
      </c>
      <c r="I244">
        <v>244</v>
      </c>
      <c r="K244">
        <f t="shared" si="23"/>
        <v>0.9739991983967875</v>
      </c>
      <c r="L244">
        <f>[1]!XLSTAT_PDFWeibull(K244,1,1)</f>
        <v>0.37757003723701144</v>
      </c>
      <c r="M244">
        <v>244</v>
      </c>
      <c r="O244">
        <f t="shared" si="24"/>
        <v>0.9739991983967875</v>
      </c>
      <c r="P244">
        <f>[1]!XLSTAT_PDFWeibull(O244,5,1)</f>
        <v>1.872877116055123</v>
      </c>
      <c r="Q244">
        <v>244</v>
      </c>
      <c r="S244">
        <f t="shared" si="25"/>
        <v>0.9739991983967875</v>
      </c>
      <c r="T244">
        <f>[1]!XLSTAT_PDFWeibull(S244,10,1)</f>
        <v>3.6586137436576638</v>
      </c>
      <c r="U244">
        <v>244</v>
      </c>
      <c r="W244">
        <f t="shared" si="26"/>
        <v>0.9739991983967875</v>
      </c>
      <c r="X244">
        <f>[1]!XLSTAT_PDFWeibull(W244,10,5)</f>
        <v>8.0784365365391111E-7</v>
      </c>
      <c r="Y244">
        <v>244</v>
      </c>
      <c r="AA244">
        <f t="shared" si="27"/>
        <v>0.9739991983967875</v>
      </c>
      <c r="AB244">
        <f>[1]!XLSTAT_PDFWeibull(AA244,10,5)</f>
        <v>8.0784365365391111E-7</v>
      </c>
    </row>
    <row r="245" spans="1:28" x14ac:dyDescent="0.3">
      <c r="A245">
        <v>245</v>
      </c>
      <c r="C245">
        <f t="shared" si="21"/>
        <v>-8.8176352705413574E-2</v>
      </c>
      <c r="D245">
        <f>[1]!XLSTAT_PDFNormal(C245,0,1)</f>
        <v>0.3973943891774368</v>
      </c>
      <c r="E245">
        <v>245</v>
      </c>
      <c r="G245">
        <f t="shared" si="22"/>
        <v>0.97800701402805001</v>
      </c>
      <c r="H245">
        <f>[1]!XLSTAT_PDFWeibull(G245,1)</f>
        <v>0.37605983446848723</v>
      </c>
      <c r="I245">
        <v>245</v>
      </c>
      <c r="K245">
        <f t="shared" si="23"/>
        <v>0.97800701402805001</v>
      </c>
      <c r="L245">
        <f>[1]!XLSTAT_PDFWeibull(K245,1,1)</f>
        <v>0.37605983446848723</v>
      </c>
      <c r="M245">
        <v>245</v>
      </c>
      <c r="O245">
        <f t="shared" si="24"/>
        <v>0.97800701402805001</v>
      </c>
      <c r="P245">
        <f>[1]!XLSTAT_PDFWeibull(O245,5,1)</f>
        <v>1.86958670460758</v>
      </c>
      <c r="Q245">
        <v>245</v>
      </c>
      <c r="S245">
        <f t="shared" si="25"/>
        <v>0.97800701402805001</v>
      </c>
      <c r="T245">
        <f>[1]!XLSTAT_PDFWeibull(S245,10,1)</f>
        <v>3.6760234517938053</v>
      </c>
      <c r="U245">
        <v>245</v>
      </c>
      <c r="W245">
        <f t="shared" si="26"/>
        <v>0.97800701402805001</v>
      </c>
      <c r="X245">
        <f>[1]!XLSTAT_PDFWeibull(W245,10,5)</f>
        <v>8.3825788275897422E-7</v>
      </c>
      <c r="Y245">
        <v>245</v>
      </c>
      <c r="AA245">
        <f t="shared" si="27"/>
        <v>0.97800701402805001</v>
      </c>
      <c r="AB245">
        <f>[1]!XLSTAT_PDFWeibull(AA245,10,5)</f>
        <v>8.3825788275897422E-7</v>
      </c>
    </row>
    <row r="246" spans="1:28" x14ac:dyDescent="0.3">
      <c r="A246">
        <v>246</v>
      </c>
      <c r="C246">
        <f t="shared" si="21"/>
        <v>-7.2144288577157045E-2</v>
      </c>
      <c r="D246">
        <f>[1]!XLSTAT_PDFNormal(C246,0,1)</f>
        <v>0.39790542307869708</v>
      </c>
      <c r="E246">
        <v>246</v>
      </c>
      <c r="G246">
        <f t="shared" si="22"/>
        <v>0.98201482965931253</v>
      </c>
      <c r="H246">
        <f>[1]!XLSTAT_PDFWeibull(G246,1)</f>
        <v>0.3745556722015313</v>
      </c>
      <c r="I246">
        <v>246</v>
      </c>
      <c r="K246">
        <f t="shared" si="23"/>
        <v>0.98201482965931253</v>
      </c>
      <c r="L246">
        <f>[1]!XLSTAT_PDFWeibull(K246,1,1)</f>
        <v>0.3745556722015313</v>
      </c>
      <c r="M246">
        <v>246</v>
      </c>
      <c r="O246">
        <f t="shared" si="24"/>
        <v>0.98201482965931253</v>
      </c>
      <c r="P246">
        <f>[1]!XLSTAT_PDFWeibull(O246,5,1)</f>
        <v>1.865615971699343</v>
      </c>
      <c r="Q246">
        <v>246</v>
      </c>
      <c r="S246">
        <f t="shared" si="25"/>
        <v>0.98201482965931253</v>
      </c>
      <c r="T246">
        <f>[1]!XLSTAT_PDFWeibull(S246,10,1)</f>
        <v>3.6884915990081995</v>
      </c>
      <c r="U246">
        <v>246</v>
      </c>
      <c r="W246">
        <f t="shared" si="26"/>
        <v>0.98201482965931253</v>
      </c>
      <c r="X246">
        <f>[1]!XLSTAT_PDFWeibull(W246,10,5)</f>
        <v>8.6968571294542626E-7</v>
      </c>
      <c r="Y246">
        <v>246</v>
      </c>
      <c r="AA246">
        <f t="shared" si="27"/>
        <v>0.98201482965931253</v>
      </c>
      <c r="AB246">
        <f>[1]!XLSTAT_PDFWeibull(AA246,10,5)</f>
        <v>8.6968571294542626E-7</v>
      </c>
    </row>
    <row r="247" spans="1:28" x14ac:dyDescent="0.3">
      <c r="A247">
        <v>247</v>
      </c>
      <c r="C247">
        <f t="shared" si="21"/>
        <v>-5.6112224448900516E-2</v>
      </c>
      <c r="D247">
        <f>[1]!XLSTAT_PDFNormal(C247,0,1)</f>
        <v>0.39831472332151557</v>
      </c>
      <c r="E247">
        <v>247</v>
      </c>
      <c r="G247">
        <f t="shared" si="22"/>
        <v>0.98602264529057504</v>
      </c>
      <c r="H247">
        <f>[1]!XLSTAT_PDFWeibull(G247,1)</f>
        <v>0.37305752627537531</v>
      </c>
      <c r="I247">
        <v>247</v>
      </c>
      <c r="K247">
        <f t="shared" si="23"/>
        <v>0.98602264529057504</v>
      </c>
      <c r="L247">
        <f>[1]!XLSTAT_PDFWeibull(K247,1,1)</f>
        <v>0.37305752627537531</v>
      </c>
      <c r="M247">
        <v>247</v>
      </c>
      <c r="O247">
        <f t="shared" si="24"/>
        <v>0.98602264529057504</v>
      </c>
      <c r="P247">
        <f>[1]!XLSTAT_PDFWeibull(O247,5,1)</f>
        <v>1.8609633932993885</v>
      </c>
      <c r="Q247">
        <v>247</v>
      </c>
      <c r="S247">
        <f t="shared" si="25"/>
        <v>0.98602264529057504</v>
      </c>
      <c r="T247">
        <f>[1]!XLSTAT_PDFWeibull(S247,10,1)</f>
        <v>3.695823255118547</v>
      </c>
      <c r="U247">
        <v>247</v>
      </c>
      <c r="W247">
        <f t="shared" si="26"/>
        <v>0.98602264529057504</v>
      </c>
      <c r="X247">
        <f>[1]!XLSTAT_PDFWeibull(W247,10,5)</f>
        <v>9.0215657934675258E-7</v>
      </c>
      <c r="Y247">
        <v>247</v>
      </c>
      <c r="AA247">
        <f t="shared" si="27"/>
        <v>0.98602264529057504</v>
      </c>
      <c r="AB247">
        <f>[1]!XLSTAT_PDFWeibull(AA247,10,5)</f>
        <v>9.0215657934675258E-7</v>
      </c>
    </row>
    <row r="248" spans="1:28" x14ac:dyDescent="0.3">
      <c r="A248">
        <v>248</v>
      </c>
      <c r="C248">
        <f t="shared" si="21"/>
        <v>-4.0080160320643987E-2</v>
      </c>
      <c r="D248">
        <f>[1]!XLSTAT_PDFNormal(C248,0,1)</f>
        <v>0.3986219747752312</v>
      </c>
      <c r="E248">
        <v>248</v>
      </c>
      <c r="G248">
        <f t="shared" si="22"/>
        <v>0.99003046092183755</v>
      </c>
      <c r="H248">
        <f>[1]!XLSTAT_PDFWeibull(G248,1)</f>
        <v>0.37156537262588907</v>
      </c>
      <c r="I248">
        <v>248</v>
      </c>
      <c r="K248">
        <f t="shared" si="23"/>
        <v>0.99003046092183755</v>
      </c>
      <c r="L248">
        <f>[1]!XLSTAT_PDFWeibull(K248,1,1)</f>
        <v>0.37156537262588907</v>
      </c>
      <c r="M248">
        <v>248</v>
      </c>
      <c r="O248">
        <f t="shared" si="24"/>
        <v>0.99003046092183755</v>
      </c>
      <c r="P248">
        <f>[1]!XLSTAT_PDFWeibull(O248,5,1)</f>
        <v>1.8556281785384861</v>
      </c>
      <c r="Q248">
        <v>248</v>
      </c>
      <c r="S248">
        <f t="shared" si="25"/>
        <v>0.99003046092183755</v>
      </c>
      <c r="T248">
        <f>[1]!XLSTAT_PDFWeibull(S248,10,1)</f>
        <v>3.6978390341626723</v>
      </c>
      <c r="U248">
        <v>248</v>
      </c>
      <c r="W248">
        <f t="shared" si="26"/>
        <v>0.99003046092183755</v>
      </c>
      <c r="X248">
        <f>[1]!XLSTAT_PDFWeibull(W248,10,5)</f>
        <v>9.3570064676542578E-7</v>
      </c>
      <c r="Y248">
        <v>248</v>
      </c>
      <c r="AA248">
        <f t="shared" si="27"/>
        <v>0.99003046092183755</v>
      </c>
      <c r="AB248">
        <f>[1]!XLSTAT_PDFWeibull(AA248,10,5)</f>
        <v>9.3570064676542578E-7</v>
      </c>
    </row>
    <row r="249" spans="1:28" x14ac:dyDescent="0.3">
      <c r="A249">
        <v>249</v>
      </c>
      <c r="C249">
        <f t="shared" si="21"/>
        <v>-2.4048096192387902E-2</v>
      </c>
      <c r="D249">
        <f>[1]!XLSTAT_PDFNormal(C249,0,1)</f>
        <v>0.39882694073709046</v>
      </c>
      <c r="E249">
        <v>249</v>
      </c>
      <c r="G249">
        <f t="shared" si="22"/>
        <v>0.99403827655310006</v>
      </c>
      <c r="H249">
        <f>[1]!XLSTAT_PDFWeibull(G249,1)</f>
        <v>0.37007918728519401</v>
      </c>
      <c r="I249">
        <v>249</v>
      </c>
      <c r="K249">
        <f t="shared" si="23"/>
        <v>0.99403827655310006</v>
      </c>
      <c r="L249">
        <f>[1]!XLSTAT_PDFWeibull(K249,1,1)</f>
        <v>0.37007918728519401</v>
      </c>
      <c r="M249">
        <v>249</v>
      </c>
      <c r="O249">
        <f t="shared" si="24"/>
        <v>0.99403827655310006</v>
      </c>
      <c r="P249">
        <f>[1]!XLSTAT_PDFWeibull(O249,5,1)</f>
        <v>1.849610282788815</v>
      </c>
      <c r="Q249">
        <v>249</v>
      </c>
      <c r="S249">
        <f t="shared" si="25"/>
        <v>0.99403827655310006</v>
      </c>
      <c r="T249">
        <f>[1]!XLSTAT_PDFWeibull(S249,10,1)</f>
        <v>3.6943772637750012</v>
      </c>
      <c r="U249">
        <v>249</v>
      </c>
      <c r="W249">
        <f t="shared" si="26"/>
        <v>0.99403827655310006</v>
      </c>
      <c r="X249">
        <f>[1]!XLSTAT_PDFWeibull(W249,10,5)</f>
        <v>9.7034882468419396E-7</v>
      </c>
      <c r="Y249">
        <v>249</v>
      </c>
      <c r="AA249">
        <f t="shared" si="27"/>
        <v>0.99403827655310006</v>
      </c>
      <c r="AB249">
        <f>[1]!XLSTAT_PDFWeibull(AA249,10,5)</f>
        <v>9.7034882468419396E-7</v>
      </c>
    </row>
    <row r="250" spans="1:28" x14ac:dyDescent="0.3">
      <c r="A250">
        <v>250</v>
      </c>
      <c r="C250">
        <f t="shared" si="21"/>
        <v>-8.0160320641313731E-3</v>
      </c>
      <c r="D250">
        <f>[1]!XLSTAT_PDFNormal(C250,0,1)</f>
        <v>0.39892946323614309</v>
      </c>
      <c r="E250">
        <v>250</v>
      </c>
      <c r="G250">
        <f t="shared" si="22"/>
        <v>0.99804609218436258</v>
      </c>
      <c r="H250">
        <f>[1]!XLSTAT_PDFWeibull(G250,1)</f>
        <v>0.36859894638127805</v>
      </c>
      <c r="I250">
        <v>250</v>
      </c>
      <c r="K250">
        <f t="shared" si="23"/>
        <v>0.99804609218436258</v>
      </c>
      <c r="L250">
        <f>[1]!XLSTAT_PDFWeibull(K250,1,1)</f>
        <v>0.36859894638127805</v>
      </c>
      <c r="M250">
        <v>250</v>
      </c>
      <c r="O250">
        <f t="shared" si="24"/>
        <v>0.99804609218436258</v>
      </c>
      <c r="P250">
        <f>[1]!XLSTAT_PDFWeibull(O250,5,1)</f>
        <v>1.8429104195774104</v>
      </c>
      <c r="Q250">
        <v>250</v>
      </c>
      <c r="S250">
        <f t="shared" si="25"/>
        <v>0.99804609218436258</v>
      </c>
      <c r="T250">
        <f>[1]!XLSTAT_PDFWeibull(S250,10,1)</f>
        <v>3.6852961603844867</v>
      </c>
      <c r="U250">
        <v>250</v>
      </c>
      <c r="W250">
        <f t="shared" si="26"/>
        <v>0.99804609218436258</v>
      </c>
      <c r="X250">
        <f>[1]!XLSTAT_PDFWeibull(W250,10,5)</f>
        <v>1.0061327825234451E-6</v>
      </c>
      <c r="Y250">
        <v>250</v>
      </c>
      <c r="AA250">
        <f t="shared" si="27"/>
        <v>0.99804609218436258</v>
      </c>
      <c r="AB250">
        <f>[1]!XLSTAT_PDFWeibull(AA250,10,5)</f>
        <v>1.0061327825234451E-6</v>
      </c>
    </row>
    <row r="251" spans="1:28" x14ac:dyDescent="0.3">
      <c r="A251">
        <v>251</v>
      </c>
      <c r="C251">
        <f t="shared" si="21"/>
        <v>8.0160320641251559E-3</v>
      </c>
      <c r="D251">
        <f>[1]!XLSTAT_PDFNormal(C251,0,1)</f>
        <v>0.39892946323614314</v>
      </c>
      <c r="E251">
        <v>251</v>
      </c>
      <c r="G251">
        <f t="shared" si="22"/>
        <v>1.002053907815625</v>
      </c>
      <c r="H251">
        <f>[1]!XLSTAT_PDFWeibull(G251,1)</f>
        <v>0.36712462613761249</v>
      </c>
      <c r="I251">
        <v>251</v>
      </c>
      <c r="K251">
        <f t="shared" si="23"/>
        <v>1.002053907815625</v>
      </c>
      <c r="L251">
        <f>[1]!XLSTAT_PDFWeibull(K251,1,1)</f>
        <v>0.36712462613761249</v>
      </c>
      <c r="M251">
        <v>251</v>
      </c>
      <c r="O251">
        <f t="shared" si="24"/>
        <v>1.002053907815625</v>
      </c>
      <c r="P251">
        <f>[1]!XLSTAT_PDFWeibull(O251,5,1)</f>
        <v>1.8355300712739218</v>
      </c>
      <c r="Q251">
        <v>251</v>
      </c>
      <c r="S251">
        <f t="shared" si="25"/>
        <v>1.002053907815625</v>
      </c>
      <c r="T251">
        <f>[1]!XLSTAT_PDFWeibull(S251,10,1)</f>
        <v>3.6704759857636686</v>
      </c>
      <c r="U251">
        <v>251</v>
      </c>
      <c r="W251">
        <f t="shared" si="26"/>
        <v>1.002053907815625</v>
      </c>
      <c r="X251">
        <f>[1]!XLSTAT_PDFWeibull(W251,10,5)</f>
        <v>1.0430849651476044E-6</v>
      </c>
      <c r="Y251">
        <v>251</v>
      </c>
      <c r="AA251">
        <f t="shared" si="27"/>
        <v>1.002053907815625</v>
      </c>
      <c r="AB251">
        <f>[1]!XLSTAT_PDFWeibull(AA251,10,5)</f>
        <v>1.0430849651476044E-6</v>
      </c>
    </row>
    <row r="252" spans="1:28" x14ac:dyDescent="0.3">
      <c r="A252">
        <v>252</v>
      </c>
      <c r="C252">
        <f t="shared" si="21"/>
        <v>2.4048096192381685E-2</v>
      </c>
      <c r="D252">
        <f>[1]!XLSTAT_PDFNormal(C252,0,1)</f>
        <v>0.39882694073709052</v>
      </c>
      <c r="E252">
        <v>252</v>
      </c>
      <c r="G252">
        <f t="shared" si="22"/>
        <v>1.0060617234468876</v>
      </c>
      <c r="H252">
        <f>[1]!XLSTAT_PDFWeibull(G252,1)</f>
        <v>0.36565620287276951</v>
      </c>
      <c r="I252">
        <v>252</v>
      </c>
      <c r="K252">
        <f t="shared" si="23"/>
        <v>1.0060617234468876</v>
      </c>
      <c r="L252">
        <f>[1]!XLSTAT_PDFWeibull(K252,1,1)</f>
        <v>0.36565620287276951</v>
      </c>
      <c r="M252">
        <v>252</v>
      </c>
      <c r="O252">
        <f t="shared" si="24"/>
        <v>1.0060617234468876</v>
      </c>
      <c r="P252">
        <f>[1]!XLSTAT_PDFWeibull(O252,5,1)</f>
        <v>1.8274714984948497</v>
      </c>
      <c r="Q252">
        <v>252</v>
      </c>
      <c r="S252">
        <f t="shared" si="25"/>
        <v>1.0060617234468876</v>
      </c>
      <c r="T252">
        <f>[1]!XLSTAT_PDFWeibull(S252,10,1)</f>
        <v>3.6498211581170494</v>
      </c>
      <c r="U252">
        <v>252</v>
      </c>
      <c r="W252">
        <f t="shared" si="26"/>
        <v>1.0060617234468876</v>
      </c>
      <c r="X252">
        <f>[1]!XLSTAT_PDFWeibull(W252,10,5)</f>
        <v>1.081238608623657E-6</v>
      </c>
      <c r="Y252">
        <v>252</v>
      </c>
      <c r="AA252">
        <f t="shared" si="27"/>
        <v>1.0060617234468876</v>
      </c>
      <c r="AB252">
        <f>[1]!XLSTAT_PDFWeibull(AA252,10,5)</f>
        <v>1.081238608623657E-6</v>
      </c>
    </row>
    <row r="253" spans="1:28" x14ac:dyDescent="0.3">
      <c r="A253">
        <v>253</v>
      </c>
      <c r="C253">
        <f t="shared" si="21"/>
        <v>4.0080160320638214E-2</v>
      </c>
      <c r="D253">
        <f>[1]!XLSTAT_PDFNormal(C253,0,1)</f>
        <v>0.39862197477523131</v>
      </c>
      <c r="E253">
        <v>253</v>
      </c>
      <c r="G253">
        <f t="shared" si="22"/>
        <v>1.01006953907815</v>
      </c>
      <c r="H253">
        <f>[1]!XLSTAT_PDFWeibull(G253,1)</f>
        <v>0.36419365300004258</v>
      </c>
      <c r="I253">
        <v>253</v>
      </c>
      <c r="K253">
        <f t="shared" si="23"/>
        <v>1.01006953907815</v>
      </c>
      <c r="L253">
        <f>[1]!XLSTAT_PDFWeibull(K253,1,1)</f>
        <v>0.36419365300004258</v>
      </c>
      <c r="M253">
        <v>253</v>
      </c>
      <c r="O253">
        <f t="shared" si="24"/>
        <v>1.01006953907815</v>
      </c>
      <c r="P253">
        <f>[1]!XLSTAT_PDFWeibull(O253,5,1)</f>
        <v>1.8187377481683795</v>
      </c>
      <c r="Q253">
        <v>253</v>
      </c>
      <c r="S253">
        <f t="shared" si="25"/>
        <v>1.01006953907815</v>
      </c>
      <c r="T253">
        <f>[1]!XLSTAT_PDFWeibull(S253,10,1)</f>
        <v>3.6232622887307095</v>
      </c>
      <c r="U253">
        <v>253</v>
      </c>
      <c r="W253">
        <f t="shared" si="26"/>
        <v>1.01006953907815</v>
      </c>
      <c r="X253">
        <f>[1]!XLSTAT_PDFWeibull(W253,10,5)</f>
        <v>1.1206277562347738E-6</v>
      </c>
      <c r="Y253">
        <v>253</v>
      </c>
      <c r="AA253">
        <f t="shared" si="27"/>
        <v>1.01006953907815</v>
      </c>
      <c r="AB253">
        <f>[1]!XLSTAT_PDFWeibull(AA253,10,5)</f>
        <v>1.1206277562347738E-6</v>
      </c>
    </row>
    <row r="254" spans="1:28" x14ac:dyDescent="0.3">
      <c r="A254">
        <v>254</v>
      </c>
      <c r="C254">
        <f t="shared" si="21"/>
        <v>5.6112224448894743E-2</v>
      </c>
      <c r="D254">
        <f>[1]!XLSTAT_PDFNormal(C254,0,1)</f>
        <v>0.39831472332151574</v>
      </c>
      <c r="E254">
        <v>254</v>
      </c>
      <c r="G254">
        <f t="shared" si="22"/>
        <v>1.0140773547094126</v>
      </c>
      <c r="H254">
        <f>[1]!XLSTAT_PDFWeibull(G254,1)</f>
        <v>0.36273695302706682</v>
      </c>
      <c r="I254">
        <v>254</v>
      </c>
      <c r="K254">
        <f t="shared" si="23"/>
        <v>1.0140773547094126</v>
      </c>
      <c r="L254">
        <f>[1]!XLSTAT_PDFWeibull(K254,1,1)</f>
        <v>0.36273695302706682</v>
      </c>
      <c r="M254">
        <v>254</v>
      </c>
      <c r="O254">
        <f t="shared" si="24"/>
        <v>1.0140773547094126</v>
      </c>
      <c r="P254">
        <f>[1]!XLSTAT_PDFWeibull(O254,5,1)</f>
        <v>1.8093326602061379</v>
      </c>
      <c r="Q254">
        <v>254</v>
      </c>
      <c r="S254">
        <f t="shared" si="25"/>
        <v>1.0140773547094126</v>
      </c>
      <c r="T254">
        <f>[1]!XLSTAT_PDFWeibull(S254,10,1)</f>
        <v>3.5907581132820128</v>
      </c>
      <c r="U254">
        <v>254</v>
      </c>
      <c r="W254">
        <f t="shared" si="26"/>
        <v>1.0140773547094126</v>
      </c>
      <c r="X254">
        <f>[1]!XLSTAT_PDFWeibull(W254,10,5)</f>
        <v>1.1612872747522608E-6</v>
      </c>
      <c r="Y254">
        <v>254</v>
      </c>
      <c r="AA254">
        <f t="shared" si="27"/>
        <v>1.0140773547094126</v>
      </c>
      <c r="AB254">
        <f>[1]!XLSTAT_PDFWeibull(AA254,10,5)</f>
        <v>1.1612872747522608E-6</v>
      </c>
    </row>
    <row r="255" spans="1:28" x14ac:dyDescent="0.3">
      <c r="A255">
        <v>255</v>
      </c>
      <c r="C255">
        <f t="shared" si="21"/>
        <v>7.2144288577151272E-2</v>
      </c>
      <c r="D255">
        <f>[1]!XLSTAT_PDFNormal(C255,0,1)</f>
        <v>0.39790542307869725</v>
      </c>
      <c r="E255">
        <v>255</v>
      </c>
      <c r="G255">
        <f t="shared" si="22"/>
        <v>1.018085170340675</v>
      </c>
      <c r="H255">
        <f>[1]!XLSTAT_PDFWeibull(G255,1)</f>
        <v>0.36128607955544223</v>
      </c>
      <c r="I255">
        <v>255</v>
      </c>
      <c r="K255">
        <f t="shared" si="23"/>
        <v>1.018085170340675</v>
      </c>
      <c r="L255">
        <f>[1]!XLSTAT_PDFWeibull(K255,1,1)</f>
        <v>0.36128607955544223</v>
      </c>
      <c r="M255">
        <v>255</v>
      </c>
      <c r="O255">
        <f t="shared" si="24"/>
        <v>1.018085170340675</v>
      </c>
      <c r="P255">
        <f>[1]!XLSTAT_PDFWeibull(O255,5,1)</f>
        <v>1.7992608727306694</v>
      </c>
      <c r="Q255">
        <v>255</v>
      </c>
      <c r="S255">
        <f t="shared" si="25"/>
        <v>1.018085170340675</v>
      </c>
      <c r="T255">
        <f>[1]!XLSTAT_PDFWeibull(S255,10,1)</f>
        <v>3.5522972853008903</v>
      </c>
      <c r="U255">
        <v>255</v>
      </c>
      <c r="W255">
        <f t="shared" si="26"/>
        <v>1.018085170340675</v>
      </c>
      <c r="X255">
        <f>[1]!XLSTAT_PDFWeibull(W255,10,5)</f>
        <v>1.2032528709687669E-6</v>
      </c>
      <c r="Y255">
        <v>255</v>
      </c>
      <c r="AA255">
        <f t="shared" si="27"/>
        <v>1.018085170340675</v>
      </c>
      <c r="AB255">
        <f>[1]!XLSTAT_PDFWeibull(AA255,10,5)</f>
        <v>1.2032528709687669E-6</v>
      </c>
    </row>
    <row r="256" spans="1:28" x14ac:dyDescent="0.3">
      <c r="A256">
        <v>256</v>
      </c>
      <c r="C256">
        <f t="shared" si="21"/>
        <v>8.8176352705407801E-2</v>
      </c>
      <c r="D256">
        <f>[1]!XLSTAT_PDFNormal(C256,0,1)</f>
        <v>0.39739438917743697</v>
      </c>
      <c r="E256">
        <v>256</v>
      </c>
      <c r="G256">
        <f t="shared" si="22"/>
        <v>1.0220929859719377</v>
      </c>
      <c r="H256">
        <f>[1]!XLSTAT_PDFWeibull(G256,1)</f>
        <v>0.35984100928035734</v>
      </c>
      <c r="I256">
        <v>256</v>
      </c>
      <c r="K256">
        <f t="shared" si="23"/>
        <v>1.0220929859719377</v>
      </c>
      <c r="L256">
        <f>[1]!XLSTAT_PDFWeibull(K256,1,1)</f>
        <v>0.35984100928035734</v>
      </c>
      <c r="M256">
        <v>256</v>
      </c>
      <c r="O256">
        <f t="shared" si="24"/>
        <v>1.0220929859719377</v>
      </c>
      <c r="P256">
        <f>[1]!XLSTAT_PDFWeibull(O256,5,1)</f>
        <v>1.7885278258101709</v>
      </c>
      <c r="Q256">
        <v>256</v>
      </c>
      <c r="S256">
        <f t="shared" si="25"/>
        <v>1.0220929859719377</v>
      </c>
      <c r="T256">
        <f>[1]!XLSTAT_PDFWeibull(S256,10,1)</f>
        <v>3.5078999980582659</v>
      </c>
      <c r="U256">
        <v>256</v>
      </c>
      <c r="W256">
        <f t="shared" si="26"/>
        <v>1.0220929859719377</v>
      </c>
      <c r="X256">
        <f>[1]!XLSTAT_PDFWeibull(W256,10,5)</f>
        <v>1.2465611084960553E-6</v>
      </c>
      <c r="Y256">
        <v>256</v>
      </c>
      <c r="AA256">
        <f t="shared" si="27"/>
        <v>1.0220929859719377</v>
      </c>
      <c r="AB256">
        <f>[1]!XLSTAT_PDFWeibull(AA256,10,5)</f>
        <v>1.2465611084960553E-6</v>
      </c>
    </row>
    <row r="257" spans="1:28" x14ac:dyDescent="0.3">
      <c r="A257">
        <v>257</v>
      </c>
      <c r="C257">
        <f t="shared" ref="C257:C320" si="28">-4+(A257-1)*0.0160320641282565</f>
        <v>0.10420841683366433</v>
      </c>
      <c r="D257">
        <f>[1]!XLSTAT_PDFNormal(C257,0,1)</f>
        <v>0.39678201477196035</v>
      </c>
      <c r="E257">
        <v>257</v>
      </c>
      <c r="G257">
        <f t="shared" ref="G257:G320" si="29">0.0001+(E257-1)*0.0040078156312625</f>
        <v>1.0261008016032001</v>
      </c>
      <c r="H257">
        <f>[1]!XLSTAT_PDFWeibull(G257,1)</f>
        <v>0.3584017189902155</v>
      </c>
      <c r="I257">
        <v>257</v>
      </c>
      <c r="K257">
        <f t="shared" ref="K257:K320" si="30">0.0001+(I257-1)*0.0040078156312625</f>
        <v>1.0261008016032001</v>
      </c>
      <c r="L257">
        <f>[1]!XLSTAT_PDFWeibull(K257,1,1)</f>
        <v>0.3584017189902155</v>
      </c>
      <c r="M257">
        <v>257</v>
      </c>
      <c r="O257">
        <f t="shared" ref="O257:O320" si="31">0.0001+(M257-1)*0.0040078156312625</f>
        <v>1.0261008016032001</v>
      </c>
      <c r="P257">
        <f>[1]!XLSTAT_PDFWeibull(O257,5,1)</f>
        <v>1.7771397636550377</v>
      </c>
      <c r="Q257">
        <v>257</v>
      </c>
      <c r="S257">
        <f t="shared" ref="S257:S320" si="32">0.0001+(Q257-1)*0.0040078156312625</f>
        <v>1.0261008016032001</v>
      </c>
      <c r="T257">
        <f>[1]!XLSTAT_PDFWeibull(S257,10,1)</f>
        <v>3.4576194004104024</v>
      </c>
      <c r="U257">
        <v>257</v>
      </c>
      <c r="W257">
        <f t="shared" ref="W257:W320" si="33">0.0001+(U257-1)*0.0040078156312625</f>
        <v>1.0261008016032001</v>
      </c>
      <c r="X257">
        <f>[1]!XLSTAT_PDFWeibull(W257,10,5)</f>
        <v>1.291249424830395E-6</v>
      </c>
      <c r="Y257">
        <v>257</v>
      </c>
      <c r="AA257">
        <f t="shared" ref="AA257:AA320" si="34">0.0001+(Y257-1)*0.0040078156312625</f>
        <v>1.0261008016032001</v>
      </c>
      <c r="AB257">
        <f>[1]!XLSTAT_PDFWeibull(AA257,10,5)</f>
        <v>1.291249424830395E-6</v>
      </c>
    </row>
    <row r="258" spans="1:28" x14ac:dyDescent="0.3">
      <c r="A258">
        <v>258</v>
      </c>
      <c r="C258">
        <f t="shared" si="28"/>
        <v>0.12024048096192086</v>
      </c>
      <c r="D258">
        <f>[1]!XLSTAT_PDFNormal(C258,0,1)</f>
        <v>0.39606877053599121</v>
      </c>
      <c r="E258">
        <v>258</v>
      </c>
      <c r="G258">
        <f t="shared" si="29"/>
        <v>1.0301086172344625</v>
      </c>
      <c r="H258">
        <f>[1]!XLSTAT_PDFWeibull(G258,1)</f>
        <v>0.35696818556626142</v>
      </c>
      <c r="I258">
        <v>258</v>
      </c>
      <c r="K258">
        <f t="shared" si="30"/>
        <v>1.0301086172344625</v>
      </c>
      <c r="L258">
        <f>[1]!XLSTAT_PDFWeibull(K258,1,1)</f>
        <v>0.35696818556626142</v>
      </c>
      <c r="M258">
        <v>258</v>
      </c>
      <c r="O258">
        <f t="shared" si="31"/>
        <v>1.0301086172344625</v>
      </c>
      <c r="P258">
        <f>[1]!XLSTAT_PDFWeibull(O258,5,1)</f>
        <v>1.7651037352340191</v>
      </c>
      <c r="Q258">
        <v>258</v>
      </c>
      <c r="S258">
        <f t="shared" si="32"/>
        <v>1.0301086172344625</v>
      </c>
      <c r="T258">
        <f>[1]!XLSTAT_PDFWeibull(S258,10,1)</f>
        <v>3.4015427719273741</v>
      </c>
      <c r="U258">
        <v>258</v>
      </c>
      <c r="W258">
        <f t="shared" si="33"/>
        <v>1.0301086172344625</v>
      </c>
      <c r="X258">
        <f>[1]!XLSTAT_PDFWeibull(W258,10,5)</f>
        <v>1.3373561486887744E-6</v>
      </c>
      <c r="Y258">
        <v>258</v>
      </c>
      <c r="AA258">
        <f t="shared" si="34"/>
        <v>1.0301086172344625</v>
      </c>
      <c r="AB258">
        <f>[1]!XLSTAT_PDFWeibull(AA258,10,5)</f>
        <v>1.3373561486887744E-6</v>
      </c>
    </row>
    <row r="259" spans="1:28" x14ac:dyDescent="0.3">
      <c r="A259">
        <v>259</v>
      </c>
      <c r="C259">
        <f t="shared" si="28"/>
        <v>0.13627254509017739</v>
      </c>
      <c r="D259">
        <f>[1]!XLSTAT_PDFNormal(C259,0,1)</f>
        <v>0.39525520405986941</v>
      </c>
      <c r="E259">
        <v>259</v>
      </c>
      <c r="G259">
        <f t="shared" si="29"/>
        <v>1.0341164328657251</v>
      </c>
      <c r="H259">
        <f>[1]!XLSTAT_PDFWeibull(G259,1)</f>
        <v>0.35554038598221011</v>
      </c>
      <c r="I259">
        <v>259</v>
      </c>
      <c r="K259">
        <f t="shared" si="30"/>
        <v>1.0341164328657251</v>
      </c>
      <c r="L259">
        <f>[1]!XLSTAT_PDFWeibull(K259,1,1)</f>
        <v>0.35554038598221011</v>
      </c>
      <c r="M259">
        <v>259</v>
      </c>
      <c r="O259">
        <f t="shared" si="31"/>
        <v>1.0341164328657251</v>
      </c>
      <c r="P259">
        <f>[1]!XLSTAT_PDFWeibull(O259,5,1)</f>
        <v>1.7524275932713433</v>
      </c>
      <c r="Q259">
        <v>259</v>
      </c>
      <c r="S259">
        <f t="shared" si="32"/>
        <v>1.0341164328657251</v>
      </c>
      <c r="T259">
        <f>[1]!XLSTAT_PDFWeibull(S259,10,1)</f>
        <v>3.3397924230550671</v>
      </c>
      <c r="U259">
        <v>259</v>
      </c>
      <c r="W259">
        <f t="shared" si="33"/>
        <v>1.0341164328657251</v>
      </c>
      <c r="X259">
        <f>[1]!XLSTAT_PDFWeibull(W259,10,5)</f>
        <v>1.3849205176191873E-6</v>
      </c>
      <c r="Y259">
        <v>259</v>
      </c>
      <c r="AA259">
        <f t="shared" si="34"/>
        <v>1.0341164328657251</v>
      </c>
      <c r="AB259">
        <f>[1]!XLSTAT_PDFWeibull(AA259,10,5)</f>
        <v>1.3849205176191873E-6</v>
      </c>
    </row>
    <row r="260" spans="1:28" x14ac:dyDescent="0.3">
      <c r="A260">
        <v>260</v>
      </c>
      <c r="C260">
        <f t="shared" si="28"/>
        <v>0.15230460921843392</v>
      </c>
      <c r="D260">
        <f>[1]!XLSTAT_PDFNormal(C260,0,1)</f>
        <v>0.39434193914993165</v>
      </c>
      <c r="E260">
        <v>260</v>
      </c>
      <c r="G260">
        <f t="shared" si="29"/>
        <v>1.0381242484969875</v>
      </c>
      <c r="H260">
        <f>[1]!XLSTAT_PDFWeibull(G260,1)</f>
        <v>0.35411829730387723</v>
      </c>
      <c r="I260">
        <v>260</v>
      </c>
      <c r="K260">
        <f t="shared" si="30"/>
        <v>1.0381242484969875</v>
      </c>
      <c r="L260">
        <f>[1]!XLSTAT_PDFWeibull(K260,1,1)</f>
        <v>0.35411829730387723</v>
      </c>
      <c r="M260">
        <v>260</v>
      </c>
      <c r="O260">
        <f t="shared" si="31"/>
        <v>1.0381242484969875</v>
      </c>
      <c r="P260">
        <f>[1]!XLSTAT_PDFWeibull(O260,5,1)</f>
        <v>1.7391199915899358</v>
      </c>
      <c r="Q260">
        <v>260</v>
      </c>
      <c r="S260">
        <f t="shared" si="32"/>
        <v>1.0381242484969875</v>
      </c>
      <c r="T260">
        <f>[1]!XLSTAT_PDFWeibull(S260,10,1)</f>
        <v>3.2725262871726257</v>
      </c>
      <c r="U260">
        <v>260</v>
      </c>
      <c r="W260">
        <f t="shared" si="33"/>
        <v>1.0381242484969875</v>
      </c>
      <c r="X260">
        <f>[1]!XLSTAT_PDFWeibull(W260,10,5)</f>
        <v>1.4339826958881515E-6</v>
      </c>
      <c r="Y260">
        <v>260</v>
      </c>
      <c r="AA260">
        <f t="shared" si="34"/>
        <v>1.0381242484969875</v>
      </c>
      <c r="AB260">
        <f>[1]!XLSTAT_PDFWeibull(AA260,10,5)</f>
        <v>1.4339826958881515E-6</v>
      </c>
    </row>
    <row r="261" spans="1:28" x14ac:dyDescent="0.3">
      <c r="A261">
        <v>261</v>
      </c>
      <c r="C261">
        <f t="shared" si="28"/>
        <v>0.16833667334669045</v>
      </c>
      <c r="D261">
        <f>[1]!XLSTAT_PDFNormal(C261,0,1)</f>
        <v>0.39332967503141103</v>
      </c>
      <c r="E261">
        <v>261</v>
      </c>
      <c r="G261">
        <f t="shared" si="29"/>
        <v>1.0421320641282501</v>
      </c>
      <c r="H261">
        <f>[1]!XLSTAT_PDFWeibull(G261,1)</f>
        <v>0.35270189668881013</v>
      </c>
      <c r="I261">
        <v>261</v>
      </c>
      <c r="K261">
        <f t="shared" si="30"/>
        <v>1.0421320641282501</v>
      </c>
      <c r="L261">
        <f>[1]!XLSTAT_PDFWeibull(K261,1,1)</f>
        <v>0.35270189668881013</v>
      </c>
      <c r="M261">
        <v>261</v>
      </c>
      <c r="O261">
        <f t="shared" si="31"/>
        <v>1.0421320641282501</v>
      </c>
      <c r="P261">
        <f>[1]!XLSTAT_PDFWeibull(O261,5,1)</f>
        <v>1.7251903807698816</v>
      </c>
      <c r="Q261">
        <v>261</v>
      </c>
      <c r="S261">
        <f t="shared" si="32"/>
        <v>1.0421320641282501</v>
      </c>
      <c r="T261">
        <f>[1]!XLSTAT_PDFWeibull(S261,10,1)</f>
        <v>3.1999381732738437</v>
      </c>
      <c r="U261">
        <v>261</v>
      </c>
      <c r="W261">
        <f t="shared" si="33"/>
        <v>1.0421320641282501</v>
      </c>
      <c r="X261">
        <f>[1]!XLSTAT_PDFWeibull(W261,10,5)</f>
        <v>1.4845837926488662E-6</v>
      </c>
      <c r="Y261">
        <v>261</v>
      </c>
      <c r="AA261">
        <f t="shared" si="34"/>
        <v>1.0421320641282501</v>
      </c>
      <c r="AB261">
        <f>[1]!XLSTAT_PDFWeibull(AA261,10,5)</f>
        <v>1.4845837926488662E-6</v>
      </c>
    </row>
    <row r="262" spans="1:28" x14ac:dyDescent="0.3">
      <c r="A262">
        <v>262</v>
      </c>
      <c r="C262">
        <f t="shared" si="28"/>
        <v>0.18436873747494698</v>
      </c>
      <c r="D262">
        <f>[1]!XLSTAT_PDFNormal(C262,0,1)</f>
        <v>0.39221918545628143</v>
      </c>
      <c r="E262">
        <v>262</v>
      </c>
      <c r="G262">
        <f t="shared" si="29"/>
        <v>1.0461398797595125</v>
      </c>
      <c r="H262">
        <f>[1]!XLSTAT_PDFWeibull(G262,1)</f>
        <v>0.35129116138592165</v>
      </c>
      <c r="I262">
        <v>262</v>
      </c>
      <c r="K262">
        <f t="shared" si="30"/>
        <v>1.0461398797595125</v>
      </c>
      <c r="L262">
        <f>[1]!XLSTAT_PDFWeibull(K262,1,1)</f>
        <v>0.35129116138592165</v>
      </c>
      <c r="M262">
        <v>262</v>
      </c>
      <c r="O262">
        <f t="shared" si="31"/>
        <v>1.0461398797595125</v>
      </c>
      <c r="P262">
        <f>[1]!XLSTAT_PDFWeibull(O262,5,1)</f>
        <v>1.7106490020956111</v>
      </c>
      <c r="Q262">
        <v>262</v>
      </c>
      <c r="S262">
        <f t="shared" si="32"/>
        <v>1.0461398797595125</v>
      </c>
      <c r="T262">
        <f>[1]!XLSTAT_PDFWeibull(S262,10,1)</f>
        <v>3.1222576506732835</v>
      </c>
      <c r="U262">
        <v>262</v>
      </c>
      <c r="W262">
        <f t="shared" si="33"/>
        <v>1.0461398797595125</v>
      </c>
      <c r="X262">
        <f>[1]!XLSTAT_PDFWeibull(W262,10,5)</f>
        <v>1.5367658803930573E-6</v>
      </c>
      <c r="Y262">
        <v>262</v>
      </c>
      <c r="AA262">
        <f t="shared" si="34"/>
        <v>1.0461398797595125</v>
      </c>
      <c r="AB262">
        <f>[1]!XLSTAT_PDFWeibull(AA262,10,5)</f>
        <v>1.5367658803930573E-6</v>
      </c>
    </row>
    <row r="263" spans="1:28" x14ac:dyDescent="0.3">
      <c r="A263">
        <v>263</v>
      </c>
      <c r="C263">
        <f t="shared" si="28"/>
        <v>0.2004008016032035</v>
      </c>
      <c r="D263">
        <f>[1]!XLSTAT_PDFNormal(C263,0,1)</f>
        <v>0.39101131771763942</v>
      </c>
      <c r="E263">
        <v>263</v>
      </c>
      <c r="G263">
        <f t="shared" si="29"/>
        <v>1.0501476953907751</v>
      </c>
      <c r="H263">
        <f>[1]!XLSTAT_PDFWeibull(G263,1)</f>
        <v>0.34988606873512401</v>
      </c>
      <c r="I263">
        <v>263</v>
      </c>
      <c r="K263">
        <f t="shared" si="30"/>
        <v>1.0501476953907751</v>
      </c>
      <c r="L263">
        <f>[1]!XLSTAT_PDFWeibull(K263,1,1)</f>
        <v>0.34988606873512401</v>
      </c>
      <c r="M263">
        <v>263</v>
      </c>
      <c r="O263">
        <f t="shared" si="31"/>
        <v>1.0501476953907751</v>
      </c>
      <c r="P263">
        <f>[1]!XLSTAT_PDFWeibull(O263,5,1)</f>
        <v>1.6955068797697328</v>
      </c>
      <c r="Q263">
        <v>263</v>
      </c>
      <c r="S263">
        <f t="shared" si="32"/>
        <v>1.0501476953907751</v>
      </c>
      <c r="T263">
        <f>[1]!XLSTAT_PDFWeibull(S263,10,1)</f>
        <v>3.0397495406530668</v>
      </c>
      <c r="U263">
        <v>263</v>
      </c>
      <c r="W263">
        <f t="shared" si="33"/>
        <v>1.0501476953907751</v>
      </c>
      <c r="X263">
        <f>[1]!XLSTAT_PDFWeibull(W263,10,5)</f>
        <v>1.5905720136900907E-6</v>
      </c>
      <c r="Y263">
        <v>263</v>
      </c>
      <c r="AA263">
        <f t="shared" si="34"/>
        <v>1.0501476953907751</v>
      </c>
      <c r="AB263">
        <f>[1]!XLSTAT_PDFWeibull(AA263,10,5)</f>
        <v>1.5905720136900907E-6</v>
      </c>
    </row>
    <row r="264" spans="1:28" x14ac:dyDescent="0.3">
      <c r="A264">
        <v>264</v>
      </c>
      <c r="C264">
        <f t="shared" si="28"/>
        <v>0.21643286573146003</v>
      </c>
      <c r="D264">
        <f>[1]!XLSTAT_PDFNormal(C264,0,1)</f>
        <v>0.38970699157238187</v>
      </c>
      <c r="E264">
        <v>264</v>
      </c>
      <c r="G264">
        <f t="shared" si="29"/>
        <v>1.0541555110220375</v>
      </c>
      <c r="H264">
        <f>[1]!XLSTAT_PDFWeibull(G264,1)</f>
        <v>0.34848659616696542</v>
      </c>
      <c r="I264">
        <v>264</v>
      </c>
      <c r="K264">
        <f t="shared" si="30"/>
        <v>1.0541555110220375</v>
      </c>
      <c r="L264">
        <f>[1]!XLSTAT_PDFWeibull(K264,1,1)</f>
        <v>0.34848659616696542</v>
      </c>
      <c r="M264">
        <v>264</v>
      </c>
      <c r="O264">
        <f t="shared" si="31"/>
        <v>1.0541555110220375</v>
      </c>
      <c r="P264">
        <f>[1]!XLSTAT_PDFWeibull(O264,5,1)</f>
        <v>1.6797758113762451</v>
      </c>
      <c r="Q264">
        <v>264</v>
      </c>
      <c r="S264">
        <f t="shared" si="32"/>
        <v>1.0541555110220375</v>
      </c>
      <c r="T264">
        <f>[1]!XLSTAT_PDFWeibull(S264,10,1)</f>
        <v>2.9527129943451902</v>
      </c>
      <c r="U264">
        <v>264</v>
      </c>
      <c r="W264">
        <f t="shared" si="33"/>
        <v>1.0541555110220375</v>
      </c>
      <c r="X264">
        <f>[1]!XLSTAT_PDFWeibull(W264,10,5)</f>
        <v>1.6460462482165065E-6</v>
      </c>
      <c r="Y264">
        <v>264</v>
      </c>
      <c r="AA264">
        <f t="shared" si="34"/>
        <v>1.0541555110220375</v>
      </c>
      <c r="AB264">
        <f>[1]!XLSTAT_PDFWeibull(AA264,10,5)</f>
        <v>1.6460462482165065E-6</v>
      </c>
    </row>
    <row r="265" spans="1:28" x14ac:dyDescent="0.3">
      <c r="A265">
        <v>265</v>
      </c>
      <c r="C265">
        <f t="shared" si="28"/>
        <v>0.23246492985971656</v>
      </c>
      <c r="D265">
        <f>[1]!XLSTAT_PDFNormal(C265,0,1)</f>
        <v>0.38830719807409619</v>
      </c>
      <c r="E265">
        <v>265</v>
      </c>
      <c r="G265">
        <f t="shared" si="29"/>
        <v>1.0581633266533002</v>
      </c>
      <c r="H265">
        <f>[1]!XLSTAT_PDFWeibull(G265,1)</f>
        <v>0.34709272120226697</v>
      </c>
      <c r="I265">
        <v>265</v>
      </c>
      <c r="K265">
        <f t="shared" si="30"/>
        <v>1.0581633266533002</v>
      </c>
      <c r="L265">
        <f>[1]!XLSTAT_PDFWeibull(K265,1,1)</f>
        <v>0.34709272120226697</v>
      </c>
      <c r="M265">
        <v>265</v>
      </c>
      <c r="O265">
        <f t="shared" si="31"/>
        <v>1.0581633266533002</v>
      </c>
      <c r="P265">
        <f>[1]!XLSTAT_PDFWeibull(O265,5,1)</f>
        <v>1.6634683565807586</v>
      </c>
      <c r="Q265">
        <v>265</v>
      </c>
      <c r="S265">
        <f t="shared" si="32"/>
        <v>1.0581633266533002</v>
      </c>
      <c r="T265">
        <f>[1]!XLSTAT_PDFWeibull(S265,10,1)</f>
        <v>2.8614801413857793</v>
      </c>
      <c r="U265">
        <v>265</v>
      </c>
      <c r="W265">
        <f t="shared" si="33"/>
        <v>1.0581633266533002</v>
      </c>
      <c r="X265">
        <f>[1]!XLSTAT_PDFWeibull(W265,10,5)</f>
        <v>1.7032336600793871E-6</v>
      </c>
      <c r="Y265">
        <v>265</v>
      </c>
      <c r="AA265">
        <f t="shared" si="34"/>
        <v>1.0581633266533002</v>
      </c>
      <c r="AB265">
        <f>[1]!XLSTAT_PDFWeibull(AA265,10,5)</f>
        <v>1.7032336600793871E-6</v>
      </c>
    </row>
    <row r="266" spans="1:28" x14ac:dyDescent="0.3">
      <c r="A266">
        <v>266</v>
      </c>
      <c r="C266">
        <f t="shared" si="28"/>
        <v>0.24849699398797309</v>
      </c>
      <c r="D266">
        <f>[1]!XLSTAT_PDFNormal(C266,0,1)</f>
        <v>0.38681299831823718</v>
      </c>
      <c r="E266">
        <v>266</v>
      </c>
      <c r="G266">
        <f t="shared" si="29"/>
        <v>1.0621711422845626</v>
      </c>
      <c r="H266">
        <f>[1]!XLSTAT_PDFWeibull(G266,1)</f>
        <v>0.34570442145176211</v>
      </c>
      <c r="I266">
        <v>266</v>
      </c>
      <c r="K266">
        <f t="shared" si="30"/>
        <v>1.0621711422845626</v>
      </c>
      <c r="L266">
        <f>[1]!XLSTAT_PDFWeibull(K266,1,1)</f>
        <v>0.34570442145176211</v>
      </c>
      <c r="M266">
        <v>266</v>
      </c>
      <c r="O266">
        <f t="shared" si="31"/>
        <v>1.0621711422845626</v>
      </c>
      <c r="P266">
        <f>[1]!XLSTAT_PDFWeibull(O266,5,1)</f>
        <v>1.6465978240605543</v>
      </c>
      <c r="Q266">
        <v>266</v>
      </c>
      <c r="S266">
        <f t="shared" si="32"/>
        <v>1.0621711422845626</v>
      </c>
      <c r="T266">
        <f>[1]!XLSTAT_PDFWeibull(S266,10,1)</f>
        <v>2.7664142999589258</v>
      </c>
      <c r="U266">
        <v>266</v>
      </c>
      <c r="W266">
        <f t="shared" si="33"/>
        <v>1.0621711422845626</v>
      </c>
      <c r="X266">
        <f>[1]!XLSTAT_PDFWeibull(W266,10,5)</f>
        <v>1.7621803654369895E-6</v>
      </c>
      <c r="Y266">
        <v>266</v>
      </c>
      <c r="AA266">
        <f t="shared" si="34"/>
        <v>1.0621711422845626</v>
      </c>
      <c r="AB266">
        <f>[1]!XLSTAT_PDFWeibull(AA266,10,5)</f>
        <v>1.7621803654369895E-6</v>
      </c>
    </row>
    <row r="267" spans="1:28" x14ac:dyDescent="0.3">
      <c r="A267">
        <v>267</v>
      </c>
      <c r="C267">
        <f t="shared" si="28"/>
        <v>0.26452905811622962</v>
      </c>
      <c r="D267">
        <f>[1]!XLSTAT_PDFNormal(C267,0,1)</f>
        <v>0.3852255221018126</v>
      </c>
      <c r="E267">
        <v>267</v>
      </c>
      <c r="G267">
        <f t="shared" si="29"/>
        <v>1.066178957915825</v>
      </c>
      <c r="H267">
        <f>[1]!XLSTAT_PDFWeibull(G267,1)</f>
        <v>0.34432167461573665</v>
      </c>
      <c r="I267">
        <v>267</v>
      </c>
      <c r="K267">
        <f t="shared" si="30"/>
        <v>1.066178957915825</v>
      </c>
      <c r="L267">
        <f>[1]!XLSTAT_PDFWeibull(K267,1,1)</f>
        <v>0.34432167461573665</v>
      </c>
      <c r="M267">
        <v>267</v>
      </c>
      <c r="O267">
        <f t="shared" si="31"/>
        <v>1.066178957915825</v>
      </c>
      <c r="P267">
        <f>[1]!XLSTAT_PDFWeibull(O267,5,1)</f>
        <v>1.6291782566626036</v>
      </c>
      <c r="Q267">
        <v>267</v>
      </c>
      <c r="S267">
        <f t="shared" si="32"/>
        <v>1.066178957915825</v>
      </c>
      <c r="T267">
        <f>[1]!XLSTAT_PDFWeibull(S267,10,1)</f>
        <v>2.6679077457170708</v>
      </c>
      <c r="U267">
        <v>267</v>
      </c>
      <c r="W267">
        <f t="shared" si="33"/>
        <v>1.066178957915825</v>
      </c>
      <c r="X267">
        <f>[1]!XLSTAT_PDFWeibull(W267,10,5)</f>
        <v>1.8229335404199901E-6</v>
      </c>
      <c r="Y267">
        <v>267</v>
      </c>
      <c r="AA267">
        <f t="shared" si="34"/>
        <v>1.066178957915825</v>
      </c>
      <c r="AB267">
        <f>[1]!XLSTAT_PDFWeibull(AA267,10,5)</f>
        <v>1.8229335404199901E-6</v>
      </c>
    </row>
    <row r="268" spans="1:28" x14ac:dyDescent="0.3">
      <c r="A268">
        <v>268</v>
      </c>
      <c r="C268">
        <f t="shared" si="28"/>
        <v>0.28056112224448615</v>
      </c>
      <c r="D268">
        <f>[1]!XLSTAT_PDFNormal(C268,0,1)</f>
        <v>0.38354596649994988</v>
      </c>
      <c r="E268">
        <v>268</v>
      </c>
      <c r="G268">
        <f t="shared" si="29"/>
        <v>1.0701867735470876</v>
      </c>
      <c r="H268">
        <f>[1]!XLSTAT_PDFWeibull(G268,1)</f>
        <v>0.34294445848367061</v>
      </c>
      <c r="I268">
        <v>268</v>
      </c>
      <c r="K268">
        <f t="shared" si="30"/>
        <v>1.0701867735470876</v>
      </c>
      <c r="L268">
        <f>[1]!XLSTAT_PDFWeibull(K268,1,1)</f>
        <v>0.34294445848367061</v>
      </c>
      <c r="M268">
        <v>268</v>
      </c>
      <c r="O268">
        <f t="shared" si="31"/>
        <v>1.0701867735470876</v>
      </c>
      <c r="P268">
        <f>[1]!XLSTAT_PDFWeibull(O268,5,1)</f>
        <v>1.6112244147932235</v>
      </c>
      <c r="Q268">
        <v>268</v>
      </c>
      <c r="S268">
        <f t="shared" si="32"/>
        <v>1.0701867735470876</v>
      </c>
      <c r="T268">
        <f>[1]!XLSTAT_PDFWeibull(S268,10,1)</f>
        <v>2.566379044644576</v>
      </c>
      <c r="U268">
        <v>268</v>
      </c>
      <c r="W268">
        <f t="shared" si="33"/>
        <v>1.0701867735470876</v>
      </c>
      <c r="X268">
        <f>[1]!XLSTAT_PDFWeibull(W268,10,5)</f>
        <v>1.8855414413568673E-6</v>
      </c>
      <c r="Y268">
        <v>268</v>
      </c>
      <c r="AA268">
        <f t="shared" si="34"/>
        <v>1.0701867735470876</v>
      </c>
      <c r="AB268">
        <f>[1]!XLSTAT_PDFWeibull(AA268,10,5)</f>
        <v>1.8855414413568673E-6</v>
      </c>
    </row>
    <row r="269" spans="1:28" x14ac:dyDescent="0.3">
      <c r="A269">
        <v>269</v>
      </c>
      <c r="C269">
        <f t="shared" si="28"/>
        <v>0.29659318637274268</v>
      </c>
      <c r="D269">
        <f>[1]!XLSTAT_PDFNormal(C269,0,1)</f>
        <v>0.38177559436185143</v>
      </c>
      <c r="E269">
        <v>269</v>
      </c>
      <c r="G269">
        <f t="shared" si="29"/>
        <v>1.07419458917835</v>
      </c>
      <c r="H269">
        <f>[1]!XLSTAT_PDFWeibull(G269,1)</f>
        <v>0.34157275093388179</v>
      </c>
      <c r="I269">
        <v>269</v>
      </c>
      <c r="K269">
        <f t="shared" si="30"/>
        <v>1.07419458917835</v>
      </c>
      <c r="L269">
        <f>[1]!XLSTAT_PDFWeibull(K269,1,1)</f>
        <v>0.34157275093388179</v>
      </c>
      <c r="M269">
        <v>269</v>
      </c>
      <c r="O269">
        <f t="shared" si="31"/>
        <v>1.07419458917835</v>
      </c>
      <c r="P269">
        <f>[1]!XLSTAT_PDFWeibull(O269,5,1)</f>
        <v>1.5927517580486712</v>
      </c>
      <c r="Q269">
        <v>269</v>
      </c>
      <c r="S269">
        <f t="shared" si="32"/>
        <v>1.07419458917835</v>
      </c>
      <c r="T269">
        <f>[1]!XLSTAT_PDFWeibull(S269,10,1)</f>
        <v>2.4622699631107823</v>
      </c>
      <c r="U269">
        <v>269</v>
      </c>
      <c r="W269">
        <f t="shared" si="33"/>
        <v>1.07419458917835</v>
      </c>
      <c r="X269">
        <f>[1]!XLSTAT_PDFWeibull(W269,10,5)</f>
        <v>1.9500534253067726E-6</v>
      </c>
      <c r="Y269">
        <v>269</v>
      </c>
      <c r="AA269">
        <f t="shared" si="34"/>
        <v>1.07419458917835</v>
      </c>
      <c r="AB269">
        <f>[1]!XLSTAT_PDFWeibull(AA269,10,5)</f>
        <v>1.9500534253067726E-6</v>
      </c>
    </row>
    <row r="270" spans="1:28" x14ac:dyDescent="0.3">
      <c r="A270">
        <v>270</v>
      </c>
      <c r="C270">
        <f t="shared" si="28"/>
        <v>0.31262525050099921</v>
      </c>
      <c r="D270">
        <f>[1]!XLSTAT_PDFNormal(C270,0,1)</f>
        <v>0.3799157327287852</v>
      </c>
      <c r="E270">
        <v>270</v>
      </c>
      <c r="G270">
        <f t="shared" si="29"/>
        <v>1.0782024048096126</v>
      </c>
      <c r="H270">
        <f>[1]!XLSTAT_PDFWeibull(G270,1)</f>
        <v>0.34020652993316985</v>
      </c>
      <c r="I270">
        <v>270</v>
      </c>
      <c r="K270">
        <f t="shared" si="30"/>
        <v>1.0782024048096126</v>
      </c>
      <c r="L270">
        <f>[1]!XLSTAT_PDFWeibull(K270,1,1)</f>
        <v>0.34020652993316985</v>
      </c>
      <c r="M270">
        <v>270</v>
      </c>
      <c r="O270">
        <f t="shared" si="31"/>
        <v>1.0782024048096126</v>
      </c>
      <c r="P270">
        <f>[1]!XLSTAT_PDFWeibull(O270,5,1)</f>
        <v>1.5737764251017741</v>
      </c>
      <c r="Q270">
        <v>270</v>
      </c>
      <c r="S270">
        <f t="shared" si="32"/>
        <v>1.0782024048096126</v>
      </c>
      <c r="T270">
        <f>[1]!XLSTAT_PDFWeibull(S270,10,1)</f>
        <v>2.3560419769989727</v>
      </c>
      <c r="U270">
        <v>270</v>
      </c>
      <c r="W270">
        <f t="shared" si="33"/>
        <v>1.0782024048096126</v>
      </c>
      <c r="X270">
        <f>[1]!XLSTAT_PDFWeibull(W270,10,5)</f>
        <v>2.0165199709035066E-6</v>
      </c>
      <c r="Y270">
        <v>270</v>
      </c>
      <c r="AA270">
        <f t="shared" si="34"/>
        <v>1.0782024048096126</v>
      </c>
      <c r="AB270">
        <f>[1]!XLSTAT_PDFWeibull(AA270,10,5)</f>
        <v>2.0165199709035066E-6</v>
      </c>
    </row>
    <row r="271" spans="1:28" x14ac:dyDescent="0.3">
      <c r="A271">
        <v>271</v>
      </c>
      <c r="C271">
        <f t="shared" si="28"/>
        <v>0.32865731462925574</v>
      </c>
      <c r="D271">
        <f>[1]!XLSTAT_PDFNormal(C271,0,1)</f>
        <v>0.37796777117688313</v>
      </c>
      <c r="E271">
        <v>271</v>
      </c>
      <c r="G271">
        <f t="shared" si="29"/>
        <v>1.082210220440875</v>
      </c>
      <c r="H271">
        <f>[1]!XLSTAT_PDFWeibull(G271,1)</f>
        <v>0.33884577353646311</v>
      </c>
      <c r="I271">
        <v>271</v>
      </c>
      <c r="K271">
        <f t="shared" si="30"/>
        <v>1.082210220440875</v>
      </c>
      <c r="L271">
        <f>[1]!XLSTAT_PDFWeibull(K271,1,1)</f>
        <v>0.33884577353646311</v>
      </c>
      <c r="M271">
        <v>271</v>
      </c>
      <c r="O271">
        <f t="shared" si="31"/>
        <v>1.082210220440875</v>
      </c>
      <c r="P271">
        <f>[1]!XLSTAT_PDFWeibull(O271,5,1)</f>
        <v>1.5543152118656278</v>
      </c>
      <c r="Q271">
        <v>271</v>
      </c>
      <c r="S271">
        <f t="shared" si="32"/>
        <v>1.082210220440875</v>
      </c>
      <c r="T271">
        <f>[1]!XLSTAT_PDFWeibull(S271,10,1)</f>
        <v>2.2481724107274581</v>
      </c>
      <c r="U271">
        <v>271</v>
      </c>
      <c r="W271">
        <f t="shared" si="33"/>
        <v>1.082210220440875</v>
      </c>
      <c r="X271">
        <f>[1]!XLSTAT_PDFWeibull(W271,10,5)</f>
        <v>2.0849926995140603E-6</v>
      </c>
      <c r="Y271">
        <v>271</v>
      </c>
      <c r="AA271">
        <f t="shared" si="34"/>
        <v>1.082210220440875</v>
      </c>
      <c r="AB271">
        <f>[1]!XLSTAT_PDFWeibull(AA271,10,5)</f>
        <v>2.0849926995140603E-6</v>
      </c>
    </row>
    <row r="272" spans="1:28" x14ac:dyDescent="0.3">
      <c r="A272">
        <v>272</v>
      </c>
      <c r="C272">
        <f t="shared" si="28"/>
        <v>0.34468937875751227</v>
      </c>
      <c r="D272">
        <f>[1]!XLSTAT_PDFNormal(C272,0,1)</f>
        <v>0.37593316008764405</v>
      </c>
      <c r="E272">
        <v>272</v>
      </c>
      <c r="G272">
        <f t="shared" si="29"/>
        <v>1.0862180360721376</v>
      </c>
      <c r="H272">
        <f>[1]!XLSTAT_PDFWeibull(G272,1)</f>
        <v>0.33749045988646531</v>
      </c>
      <c r="I272">
        <v>272</v>
      </c>
      <c r="K272">
        <f t="shared" si="30"/>
        <v>1.0862180360721376</v>
      </c>
      <c r="L272">
        <f>[1]!XLSTAT_PDFWeibull(K272,1,1)</f>
        <v>0.33749045988646531</v>
      </c>
      <c r="M272">
        <v>272</v>
      </c>
      <c r="O272">
        <f t="shared" si="31"/>
        <v>1.0862180360721376</v>
      </c>
      <c r="P272">
        <f>[1]!XLSTAT_PDFWeibull(O272,5,1)</f>
        <v>1.534385547961344</v>
      </c>
      <c r="Q272">
        <v>272</v>
      </c>
      <c r="S272">
        <f t="shared" si="32"/>
        <v>1.0862180360721376</v>
      </c>
      <c r="T272">
        <f>[1]!XLSTAT_PDFWeibull(S272,10,1)</f>
        <v>2.139150245998001</v>
      </c>
      <c r="U272">
        <v>272</v>
      </c>
      <c r="W272">
        <f t="shared" si="33"/>
        <v>1.0862180360721376</v>
      </c>
      <c r="X272">
        <f>[1]!XLSTAT_PDFWeibull(W272,10,5)</f>
        <v>2.1555243967152388E-6</v>
      </c>
      <c r="Y272">
        <v>272</v>
      </c>
      <c r="AA272">
        <f t="shared" si="34"/>
        <v>1.0862180360721376</v>
      </c>
      <c r="AB272">
        <f>[1]!XLSTAT_PDFWeibull(AA272,10,5)</f>
        <v>2.1555243967152388E-6</v>
      </c>
    </row>
    <row r="273" spans="1:28" x14ac:dyDescent="0.3">
      <c r="A273">
        <v>273</v>
      </c>
      <c r="C273">
        <f t="shared" si="28"/>
        <v>0.36072144288576879</v>
      </c>
      <c r="D273">
        <f>[1]!XLSTAT_PDFNormal(C273,0,1)</f>
        <v>0.37381340884915326</v>
      </c>
      <c r="E273">
        <v>273</v>
      </c>
      <c r="G273">
        <f t="shared" si="29"/>
        <v>1.0902258517034</v>
      </c>
      <c r="H273">
        <f>[1]!XLSTAT_PDFWeibull(G273,1)</f>
        <v>0.33614056721330515</v>
      </c>
      <c r="I273">
        <v>273</v>
      </c>
      <c r="K273">
        <f t="shared" si="30"/>
        <v>1.0902258517034</v>
      </c>
      <c r="L273">
        <f>[1]!XLSTAT_PDFWeibull(K273,1,1)</f>
        <v>0.33614056721330515</v>
      </c>
      <c r="M273">
        <v>273</v>
      </c>
      <c r="O273">
        <f t="shared" si="31"/>
        <v>1.0902258517034</v>
      </c>
      <c r="P273">
        <f>[1]!XLSTAT_PDFWeibull(O273,5,1)</f>
        <v>1.5140054715229418</v>
      </c>
      <c r="Q273">
        <v>273</v>
      </c>
      <c r="S273">
        <f t="shared" si="32"/>
        <v>1.0902258517034</v>
      </c>
      <c r="T273">
        <f>[1]!XLSTAT_PDFWeibull(S273,10,1)</f>
        <v>2.0294716489900204</v>
      </c>
      <c r="U273">
        <v>273</v>
      </c>
      <c r="W273">
        <f t="shared" si="33"/>
        <v>1.0902258517034</v>
      </c>
      <c r="X273">
        <f>[1]!XLSTAT_PDFWeibull(W273,10,5)</f>
        <v>2.2281690340919999E-6</v>
      </c>
      <c r="Y273">
        <v>273</v>
      </c>
      <c r="AA273">
        <f t="shared" si="34"/>
        <v>1.0902258517034</v>
      </c>
      <c r="AB273">
        <f>[1]!XLSTAT_PDFWeibull(AA273,10,5)</f>
        <v>2.2281690340919999E-6</v>
      </c>
    </row>
    <row r="274" spans="1:28" x14ac:dyDescent="0.3">
      <c r="A274">
        <v>274</v>
      </c>
      <c r="C274">
        <f t="shared" si="28"/>
        <v>0.37675350701402444</v>
      </c>
      <c r="D274">
        <f>[1]!XLSTAT_PDFNormal(C274,0,1)</f>
        <v>0.37161008399113926</v>
      </c>
      <c r="E274">
        <v>274</v>
      </c>
      <c r="G274">
        <f t="shared" si="29"/>
        <v>1.0942336673346627</v>
      </c>
      <c r="H274">
        <f>[1]!XLSTAT_PDFWeibull(G274,1)</f>
        <v>0.33479607383418625</v>
      </c>
      <c r="I274">
        <v>274</v>
      </c>
      <c r="K274">
        <f t="shared" si="30"/>
        <v>1.0942336673346627</v>
      </c>
      <c r="L274">
        <f>[1]!XLSTAT_PDFWeibull(K274,1,1)</f>
        <v>0.33479607383418625</v>
      </c>
      <c r="M274">
        <v>274</v>
      </c>
      <c r="O274">
        <f t="shared" si="31"/>
        <v>1.0942336673346627</v>
      </c>
      <c r="P274">
        <f>[1]!XLSTAT_PDFWeibull(O274,5,1)</f>
        <v>1.4931936023785279</v>
      </c>
      <c r="Q274">
        <v>274</v>
      </c>
      <c r="S274">
        <f t="shared" si="32"/>
        <v>1.0942336673346627</v>
      </c>
      <c r="T274">
        <f>[1]!XLSTAT_PDFWeibull(S274,10,1)</f>
        <v>1.9196352732173609</v>
      </c>
      <c r="U274">
        <v>274</v>
      </c>
      <c r="W274">
        <f t="shared" si="33"/>
        <v>1.0942336673346627</v>
      </c>
      <c r="X274">
        <f>[1]!XLSTAT_PDFWeibull(W274,10,5)</f>
        <v>2.3029817913610943E-6</v>
      </c>
      <c r="Y274">
        <v>274</v>
      </c>
      <c r="AA274">
        <f t="shared" si="34"/>
        <v>1.0942336673346627</v>
      </c>
      <c r="AB274">
        <f>[1]!XLSTAT_PDFWeibull(AA274,10,5)</f>
        <v>2.3029817913610943E-6</v>
      </c>
    </row>
    <row r="275" spans="1:28" x14ac:dyDescent="0.3">
      <c r="A275">
        <v>275</v>
      </c>
      <c r="C275">
        <f t="shared" si="28"/>
        <v>0.39278557114228096</v>
      </c>
      <c r="D275">
        <f>[1]!XLSTAT_PDFNormal(C275,0,1)</f>
        <v>0.36932480725709183</v>
      </c>
      <c r="E275">
        <v>275</v>
      </c>
      <c r="G275">
        <f t="shared" si="29"/>
        <v>1.0982414829659251</v>
      </c>
      <c r="H275">
        <f>[1]!XLSTAT_PDFWeibull(G275,1)</f>
        <v>0.33345695815303911</v>
      </c>
      <c r="I275">
        <v>275</v>
      </c>
      <c r="K275">
        <f t="shared" si="30"/>
        <v>1.0982414829659251</v>
      </c>
      <c r="L275">
        <f>[1]!XLSTAT_PDFWeibull(K275,1,1)</f>
        <v>0.33345695815303911</v>
      </c>
      <c r="M275">
        <v>275</v>
      </c>
      <c r="O275">
        <f t="shared" si="31"/>
        <v>1.0982414829659251</v>
      </c>
      <c r="P275">
        <f>[1]!XLSTAT_PDFWeibull(O275,5,1)</f>
        <v>1.4719691136530986</v>
      </c>
      <c r="Q275">
        <v>275</v>
      </c>
      <c r="S275">
        <f t="shared" si="32"/>
        <v>1.0982414829659251</v>
      </c>
      <c r="T275">
        <f>[1]!XLSTAT_PDFWeibull(S275,10,1)</f>
        <v>1.8101374031151931</v>
      </c>
      <c r="U275">
        <v>275</v>
      </c>
      <c r="W275">
        <f t="shared" si="33"/>
        <v>1.0982414829659251</v>
      </c>
      <c r="X275">
        <f>[1]!XLSTAT_PDFWeibull(W275,10,5)</f>
        <v>2.3800190788235897E-6</v>
      </c>
      <c r="Y275">
        <v>275</v>
      </c>
      <c r="AA275">
        <f t="shared" si="34"/>
        <v>1.0982414829659251</v>
      </c>
      <c r="AB275">
        <f>[1]!XLSTAT_PDFWeibull(AA275,10,5)</f>
        <v>2.3800190788235897E-6</v>
      </c>
    </row>
    <row r="276" spans="1:28" x14ac:dyDescent="0.3">
      <c r="A276">
        <v>276</v>
      </c>
      <c r="C276">
        <f t="shared" si="28"/>
        <v>0.40881763527053749</v>
      </c>
      <c r="D276">
        <f>[1]!XLSTAT_PDFNormal(C276,0,1)</f>
        <v>0.36695925361676107</v>
      </c>
      <c r="E276">
        <v>276</v>
      </c>
      <c r="G276">
        <f t="shared" si="29"/>
        <v>1.1022492985971875</v>
      </c>
      <c r="H276">
        <f>[1]!XLSTAT_PDFWeibull(G276,1)</f>
        <v>0.33212319866017381</v>
      </c>
      <c r="I276">
        <v>276</v>
      </c>
      <c r="K276">
        <f t="shared" si="30"/>
        <v>1.1022492985971875</v>
      </c>
      <c r="L276">
        <f>[1]!XLSTAT_PDFWeibull(K276,1,1)</f>
        <v>0.33212319866017381</v>
      </c>
      <c r="M276">
        <v>276</v>
      </c>
      <c r="O276">
        <f t="shared" si="31"/>
        <v>1.1022492985971875</v>
      </c>
      <c r="P276">
        <f>[1]!XLSTAT_PDFWeibull(O276,5,1)</f>
        <v>1.450351701844343</v>
      </c>
      <c r="Q276">
        <v>276</v>
      </c>
      <c r="S276">
        <f t="shared" si="32"/>
        <v>1.1022492985971875</v>
      </c>
      <c r="T276">
        <f>[1]!XLSTAT_PDFWeibull(S276,10,1)</f>
        <v>1.7014670103539224</v>
      </c>
      <c r="U276">
        <v>276</v>
      </c>
      <c r="W276">
        <f t="shared" si="33"/>
        <v>1.1022492985971875</v>
      </c>
      <c r="X276">
        <f>[1]!XLSTAT_PDFWeibull(W276,10,5)</f>
        <v>2.4593385601499943E-6</v>
      </c>
      <c r="Y276">
        <v>276</v>
      </c>
      <c r="AA276">
        <f t="shared" si="34"/>
        <v>1.1022492985971875</v>
      </c>
      <c r="AB276">
        <f>[1]!XLSTAT_PDFWeibull(AA276,10,5)</f>
        <v>2.4593385601499943E-6</v>
      </c>
    </row>
    <row r="277" spans="1:28" x14ac:dyDescent="0.3">
      <c r="A277">
        <v>277</v>
      </c>
      <c r="C277">
        <f t="shared" si="28"/>
        <v>0.42484969939879402</v>
      </c>
      <c r="D277">
        <f>[1]!XLSTAT_PDFNormal(C277,0,1)</f>
        <v>0.36451514922244205</v>
      </c>
      <c r="E277">
        <v>277</v>
      </c>
      <c r="G277">
        <f t="shared" si="29"/>
        <v>1.1062571142284501</v>
      </c>
      <c r="H277">
        <f>[1]!XLSTAT_PDFWeibull(G277,1)</f>
        <v>0.3307947739319349</v>
      </c>
      <c r="I277">
        <v>277</v>
      </c>
      <c r="K277">
        <f t="shared" si="30"/>
        <v>1.1062571142284501</v>
      </c>
      <c r="L277">
        <f>[1]!XLSTAT_PDFWeibull(K277,1,1)</f>
        <v>0.3307947739319349</v>
      </c>
      <c r="M277">
        <v>277</v>
      </c>
      <c r="O277">
        <f t="shared" si="31"/>
        <v>1.1062571142284501</v>
      </c>
      <c r="P277">
        <f>[1]!XLSTAT_PDFWeibull(O277,5,1)</f>
        <v>1.4283615554289673</v>
      </c>
      <c r="Q277">
        <v>277</v>
      </c>
      <c r="S277">
        <f t="shared" si="32"/>
        <v>1.1062571142284501</v>
      </c>
      <c r="T277">
        <f>[1]!XLSTAT_PDFWeibull(S277,10,1)</f>
        <v>1.5941008006131403</v>
      </c>
      <c r="U277">
        <v>277</v>
      </c>
      <c r="W277">
        <f t="shared" si="33"/>
        <v>1.1062571142284501</v>
      </c>
      <c r="X277">
        <f>[1]!XLSTAT_PDFWeibull(W277,10,5)</f>
        <v>2.5409991755016137E-6</v>
      </c>
      <c r="Y277">
        <v>277</v>
      </c>
      <c r="AA277">
        <f t="shared" si="34"/>
        <v>1.1062571142284501</v>
      </c>
      <c r="AB277">
        <f>[1]!XLSTAT_PDFWeibull(AA277,10,5)</f>
        <v>2.5409991755016137E-6</v>
      </c>
    </row>
    <row r="278" spans="1:28" x14ac:dyDescent="0.3">
      <c r="A278">
        <v>278</v>
      </c>
      <c r="C278">
        <f t="shared" si="28"/>
        <v>0.44088176352705055</v>
      </c>
      <c r="D278">
        <f>[1]!XLSTAT_PDFNormal(C278,0,1)</f>
        <v>0.36199426931253298</v>
      </c>
      <c r="E278">
        <v>278</v>
      </c>
      <c r="G278">
        <f t="shared" si="29"/>
        <v>1.1102649298597125</v>
      </c>
      <c r="H278">
        <f>[1]!XLSTAT_PDFWeibull(G278,1)</f>
        <v>0.32947166263035743</v>
      </c>
      <c r="I278">
        <v>278</v>
      </c>
      <c r="K278">
        <f t="shared" si="30"/>
        <v>1.1102649298597125</v>
      </c>
      <c r="L278">
        <f>[1]!XLSTAT_PDFWeibull(K278,1,1)</f>
        <v>0.32947166263035743</v>
      </c>
      <c r="M278">
        <v>278</v>
      </c>
      <c r="O278">
        <f t="shared" si="31"/>
        <v>1.1102649298597125</v>
      </c>
      <c r="P278">
        <f>[1]!XLSTAT_PDFWeibull(O278,5,1)</f>
        <v>1.406019322063037</v>
      </c>
      <c r="Q278">
        <v>278</v>
      </c>
      <c r="S278">
        <f t="shared" si="32"/>
        <v>1.1102649298597125</v>
      </c>
      <c r="T278">
        <f>[1]!XLSTAT_PDFWeibull(S278,10,1)</f>
        <v>1.4884983328276915</v>
      </c>
      <c r="U278">
        <v>278</v>
      </c>
      <c r="W278">
        <f t="shared" si="33"/>
        <v>1.1102649298597125</v>
      </c>
      <c r="X278">
        <f>[1]!XLSTAT_PDFWeibull(W278,10,5)</f>
        <v>2.6250611649918462E-6</v>
      </c>
      <c r="Y278">
        <v>278</v>
      </c>
      <c r="AA278">
        <f t="shared" si="34"/>
        <v>1.1102649298597125</v>
      </c>
      <c r="AB278">
        <f>[1]!XLSTAT_PDFWeibull(AA278,10,5)</f>
        <v>2.6250611649918462E-6</v>
      </c>
    </row>
    <row r="279" spans="1:28" x14ac:dyDescent="0.3">
      <c r="A279">
        <v>279</v>
      </c>
      <c r="C279">
        <f t="shared" si="28"/>
        <v>0.45691382765530708</v>
      </c>
      <c r="D279">
        <f>[1]!XLSTAT_PDFNormal(C279,0,1)</f>
        <v>0.35939843606592653</v>
      </c>
      <c r="E279">
        <v>279</v>
      </c>
      <c r="G279">
        <f t="shared" si="29"/>
        <v>1.1142727454909751</v>
      </c>
      <c r="H279">
        <f>[1]!XLSTAT_PDFWeibull(G279,1)</f>
        <v>0.32815384350282345</v>
      </c>
      <c r="I279">
        <v>279</v>
      </c>
      <c r="K279">
        <f t="shared" si="30"/>
        <v>1.1142727454909751</v>
      </c>
      <c r="L279">
        <f>[1]!XLSTAT_PDFWeibull(K279,1,1)</f>
        <v>0.32815384350282345</v>
      </c>
      <c r="M279">
        <v>279</v>
      </c>
      <c r="O279">
        <f t="shared" si="31"/>
        <v>1.1142727454909751</v>
      </c>
      <c r="P279">
        <f>[1]!XLSTAT_PDFWeibull(O279,5,1)</f>
        <v>1.3833460744457606</v>
      </c>
      <c r="Q279">
        <v>279</v>
      </c>
      <c r="S279">
        <f t="shared" si="32"/>
        <v>1.1142727454909751</v>
      </c>
      <c r="T279">
        <f>[1]!XLSTAT_PDFWeibull(S279,10,1)</f>
        <v>1.3850972954978602</v>
      </c>
      <c r="U279">
        <v>279</v>
      </c>
      <c r="W279">
        <f t="shared" si="33"/>
        <v>1.1142727454909751</v>
      </c>
      <c r="X279">
        <f>[1]!XLSTAT_PDFWeibull(W279,10,5)</f>
        <v>2.7115860924912282E-6</v>
      </c>
      <c r="Y279">
        <v>279</v>
      </c>
      <c r="AA279">
        <f t="shared" si="34"/>
        <v>1.1142727454909751</v>
      </c>
      <c r="AB279">
        <f>[1]!XLSTAT_PDFWeibull(AA279,10,5)</f>
        <v>2.7115860924912282E-6</v>
      </c>
    </row>
    <row r="280" spans="1:28" x14ac:dyDescent="0.3">
      <c r="A280">
        <v>280</v>
      </c>
      <c r="C280">
        <f t="shared" si="28"/>
        <v>0.47294589178356361</v>
      </c>
      <c r="D280">
        <f>[1]!XLSTAT_PDFNormal(C280,0,1)</f>
        <v>0.35672951641085848</v>
      </c>
      <c r="E280">
        <v>280</v>
      </c>
      <c r="G280">
        <f t="shared" si="29"/>
        <v>1.1182805611222375</v>
      </c>
      <c r="H280">
        <f>[1]!XLSTAT_PDFWeibull(G280,1)</f>
        <v>0.32684129538172152</v>
      </c>
      <c r="I280">
        <v>280</v>
      </c>
      <c r="K280">
        <f t="shared" si="30"/>
        <v>1.1182805611222375</v>
      </c>
      <c r="L280">
        <f>[1]!XLSTAT_PDFWeibull(K280,1,1)</f>
        <v>0.32684129538172152</v>
      </c>
      <c r="M280">
        <v>280</v>
      </c>
      <c r="O280">
        <f t="shared" si="31"/>
        <v>1.1182805611222375</v>
      </c>
      <c r="P280">
        <f>[1]!XLSTAT_PDFWeibull(O280,5,1)</f>
        <v>1.3603632749219616</v>
      </c>
      <c r="Q280">
        <v>280</v>
      </c>
      <c r="S280">
        <f t="shared" si="32"/>
        <v>1.1182805611222375</v>
      </c>
      <c r="T280">
        <f>[1]!XLSTAT_PDFWeibull(S280,10,1)</f>
        <v>1.2843090253259815</v>
      </c>
      <c r="U280">
        <v>280</v>
      </c>
      <c r="W280">
        <f t="shared" si="33"/>
        <v>1.1182805611222375</v>
      </c>
      <c r="X280">
        <f>[1]!XLSTAT_PDFWeibull(W280,10,5)</f>
        <v>2.8006368697798769E-6</v>
      </c>
      <c r="Y280">
        <v>280</v>
      </c>
      <c r="AA280">
        <f t="shared" si="34"/>
        <v>1.1182805611222375</v>
      </c>
      <c r="AB280">
        <f>[1]!XLSTAT_PDFWeibull(AA280,10,5)</f>
        <v>2.8006368697798769E-6</v>
      </c>
    </row>
    <row r="281" spans="1:28" x14ac:dyDescent="0.3">
      <c r="A281">
        <v>281</v>
      </c>
      <c r="C281">
        <f t="shared" si="28"/>
        <v>0.48897795591182014</v>
      </c>
      <c r="D281">
        <f>[1]!XLSTAT_PDFNormal(C281,0,1)</f>
        <v>0.35398941979189463</v>
      </c>
      <c r="E281">
        <v>281</v>
      </c>
      <c r="G281">
        <f t="shared" si="29"/>
        <v>1.1222883767535001</v>
      </c>
      <c r="H281">
        <f>[1]!XLSTAT_PDFWeibull(G281,1)</f>
        <v>0.32553399718410614</v>
      </c>
      <c r="I281">
        <v>281</v>
      </c>
      <c r="K281">
        <f t="shared" si="30"/>
        <v>1.1222883767535001</v>
      </c>
      <c r="L281">
        <f>[1]!XLSTAT_PDFWeibull(K281,1,1)</f>
        <v>0.32553399718410614</v>
      </c>
      <c r="M281">
        <v>281</v>
      </c>
      <c r="O281">
        <f t="shared" si="31"/>
        <v>1.1222883767535001</v>
      </c>
      <c r="P281">
        <f>[1]!XLSTAT_PDFWeibull(O281,5,1)</f>
        <v>1.3370927389040925</v>
      </c>
      <c r="Q281">
        <v>281</v>
      </c>
      <c r="S281">
        <f t="shared" si="32"/>
        <v>1.1222883767535001</v>
      </c>
      <c r="T281">
        <f>[1]!XLSTAT_PDFWeibull(S281,10,1)</f>
        <v>1.1865143520345838</v>
      </c>
      <c r="U281">
        <v>281</v>
      </c>
      <c r="W281">
        <f t="shared" si="33"/>
        <v>1.1222883767535001</v>
      </c>
      <c r="X281">
        <f>[1]!XLSTAT_PDFWeibull(W281,10,5)</f>
        <v>2.8922777810511896E-6</v>
      </c>
      <c r="Y281">
        <v>281</v>
      </c>
      <c r="AA281">
        <f t="shared" si="34"/>
        <v>1.1222883767535001</v>
      </c>
      <c r="AB281">
        <f>[1]!XLSTAT_PDFWeibull(AA281,10,5)</f>
        <v>2.8922777810511896E-6</v>
      </c>
    </row>
    <row r="282" spans="1:28" x14ac:dyDescent="0.3">
      <c r="A282">
        <v>282</v>
      </c>
      <c r="C282">
        <f t="shared" si="28"/>
        <v>0.50501002004007667</v>
      </c>
      <c r="D282">
        <f>[1]!XLSTAT_PDFNormal(C282,0,1)</f>
        <v>0.35118009589878674</v>
      </c>
      <c r="E282">
        <v>282</v>
      </c>
      <c r="G282">
        <f t="shared" si="29"/>
        <v>1.1262961923847625</v>
      </c>
      <c r="H282">
        <f>[1]!XLSTAT_PDFWeibull(G282,1)</f>
        <v>0.32423192791135935</v>
      </c>
      <c r="I282">
        <v>282</v>
      </c>
      <c r="K282">
        <f t="shared" si="30"/>
        <v>1.1262961923847625</v>
      </c>
      <c r="L282">
        <f>[1]!XLSTAT_PDFWeibull(K282,1,1)</f>
        <v>0.32423192791135935</v>
      </c>
      <c r="M282">
        <v>282</v>
      </c>
      <c r="O282">
        <f t="shared" si="31"/>
        <v>1.1262961923847625</v>
      </c>
      <c r="P282">
        <f>[1]!XLSTAT_PDFWeibull(O282,5,1)</f>
        <v>1.3135565972001548</v>
      </c>
      <c r="Q282">
        <v>282</v>
      </c>
      <c r="S282">
        <f t="shared" si="32"/>
        <v>1.1262961923847625</v>
      </c>
      <c r="T282">
        <f>[1]!XLSTAT_PDFWeibull(S282,10,1)</f>
        <v>1.0920598496247627</v>
      </c>
      <c r="U282">
        <v>282</v>
      </c>
      <c r="W282">
        <f t="shared" si="33"/>
        <v>1.1262961923847625</v>
      </c>
      <c r="X282">
        <f>[1]!XLSTAT_PDFWeibull(W282,10,5)</f>
        <v>2.9865745077705911E-6</v>
      </c>
      <c r="Y282">
        <v>282</v>
      </c>
      <c r="AA282">
        <f t="shared" si="34"/>
        <v>1.1262961923847625</v>
      </c>
      <c r="AB282">
        <f>[1]!XLSTAT_PDFWeibull(AA282,10,5)</f>
        <v>2.9865745077705911E-6</v>
      </c>
    </row>
    <row r="283" spans="1:28" x14ac:dyDescent="0.3">
      <c r="A283">
        <v>283</v>
      </c>
      <c r="C283">
        <f t="shared" si="28"/>
        <v>0.5210420841683332</v>
      </c>
      <c r="D283">
        <f>[1]!XLSTAT_PDFNormal(C283,0,1)</f>
        <v>0.34830353236096995</v>
      </c>
      <c r="E283">
        <v>283</v>
      </c>
      <c r="G283">
        <f t="shared" si="29"/>
        <v>1.1303040080160252</v>
      </c>
      <c r="H283">
        <f>[1]!XLSTAT_PDFWeibull(G283,1)</f>
        <v>0.32293506664885319</v>
      </c>
      <c r="I283">
        <v>283</v>
      </c>
      <c r="K283">
        <f t="shared" si="30"/>
        <v>1.1303040080160252</v>
      </c>
      <c r="L283">
        <f>[1]!XLSTAT_PDFWeibull(K283,1,1)</f>
        <v>0.32293506664885319</v>
      </c>
      <c r="M283">
        <v>283</v>
      </c>
      <c r="O283">
        <f t="shared" si="31"/>
        <v>1.1303040080160252</v>
      </c>
      <c r="P283">
        <f>[1]!XLSTAT_PDFWeibull(O283,5,1)</f>
        <v>1.2897772573390962</v>
      </c>
      <c r="Q283">
        <v>283</v>
      </c>
      <c r="S283">
        <f t="shared" si="32"/>
        <v>1.1303040080160252</v>
      </c>
      <c r="T283">
        <f>[1]!XLSTAT_PDFWeibull(S283,10,1)</f>
        <v>1.0012545684983873</v>
      </c>
      <c r="U283">
        <v>283</v>
      </c>
      <c r="W283">
        <f t="shared" si="33"/>
        <v>1.1303040080160252</v>
      </c>
      <c r="X283">
        <f>[1]!XLSTAT_PDFWeibull(W283,10,5)</f>
        <v>3.0835941538932122E-6</v>
      </c>
      <c r="Y283">
        <v>283</v>
      </c>
      <c r="AA283">
        <f t="shared" si="34"/>
        <v>1.1303040080160252</v>
      </c>
      <c r="AB283">
        <f>[1]!XLSTAT_PDFWeibull(AA283,10,5)</f>
        <v>3.0835941538932122E-6</v>
      </c>
    </row>
    <row r="284" spans="1:28" x14ac:dyDescent="0.3">
      <c r="A284">
        <v>284</v>
      </c>
      <c r="C284">
        <f t="shared" si="28"/>
        <v>0.53707414829658973</v>
      </c>
      <c r="D284">
        <f>[1]!XLSTAT_PDFNormal(C284,0,1)</f>
        <v>0.34536175241150463</v>
      </c>
      <c r="E284">
        <v>284</v>
      </c>
      <c r="G284">
        <f t="shared" si="29"/>
        <v>1.1343118236472876</v>
      </c>
      <c r="H284">
        <f>[1]!XLSTAT_PDFWeibull(G284,1)</f>
        <v>0.32164339256561419</v>
      </c>
      <c r="I284">
        <v>284</v>
      </c>
      <c r="K284">
        <f t="shared" si="30"/>
        <v>1.1343118236472876</v>
      </c>
      <c r="L284">
        <f>[1]!XLSTAT_PDFWeibull(K284,1,1)</f>
        <v>0.32164339256561419</v>
      </c>
      <c r="M284">
        <v>284</v>
      </c>
      <c r="O284">
        <f t="shared" si="31"/>
        <v>1.1343118236472876</v>
      </c>
      <c r="P284">
        <f>[1]!XLSTAT_PDFWeibull(O284,5,1)</f>
        <v>1.265777363990306</v>
      </c>
      <c r="Q284">
        <v>284</v>
      </c>
      <c r="S284">
        <f t="shared" si="32"/>
        <v>1.1343118236472876</v>
      </c>
      <c r="T284">
        <f>[1]!XLSTAT_PDFWeibull(S284,10,1)</f>
        <v>0.91436731482002043</v>
      </c>
      <c r="U284">
        <v>284</v>
      </c>
      <c r="W284">
        <f t="shared" si="33"/>
        <v>1.1343118236472876</v>
      </c>
      <c r="X284">
        <f>[1]!XLSTAT_PDFWeibull(W284,10,5)</f>
        <v>3.1834052714443412E-6</v>
      </c>
      <c r="Y284">
        <v>284</v>
      </c>
      <c r="AA284">
        <f t="shared" si="34"/>
        <v>1.1343118236472876</v>
      </c>
      <c r="AB284">
        <f>[1]!XLSTAT_PDFWeibull(AA284,10,5)</f>
        <v>3.1834052714443412E-6</v>
      </c>
    </row>
    <row r="285" spans="1:28" x14ac:dyDescent="0.3">
      <c r="A285">
        <v>285</v>
      </c>
      <c r="C285">
        <f t="shared" si="28"/>
        <v>0.55310621242484626</v>
      </c>
      <c r="D285">
        <f>[1]!XLSTAT_PDFNormal(C285,0,1)</f>
        <v>0.34235681252429412</v>
      </c>
      <c r="E285">
        <v>285</v>
      </c>
      <c r="G285">
        <f t="shared" si="29"/>
        <v>1.13831963927855</v>
      </c>
      <c r="H285">
        <f>[1]!XLSTAT_PDFWeibull(G285,1)</f>
        <v>0.32035688491398828</v>
      </c>
      <c r="I285">
        <v>285</v>
      </c>
      <c r="K285">
        <f t="shared" si="30"/>
        <v>1.13831963927855</v>
      </c>
      <c r="L285">
        <f>[1]!XLSTAT_PDFWeibull(K285,1,1)</f>
        <v>0.32035688491398828</v>
      </c>
      <c r="M285">
        <v>285</v>
      </c>
      <c r="O285">
        <f t="shared" si="31"/>
        <v>1.13831963927855</v>
      </c>
      <c r="P285">
        <f>[1]!XLSTAT_PDFWeibull(O285,5,1)</f>
        <v>1.2415797585785404</v>
      </c>
      <c r="Q285">
        <v>285</v>
      </c>
      <c r="S285">
        <f t="shared" si="32"/>
        <v>1.13831963927855</v>
      </c>
      <c r="T285">
        <f>[1]!XLSTAT_PDFWeibull(S285,10,1)</f>
        <v>0.83162453333659303</v>
      </c>
      <c r="U285">
        <v>285</v>
      </c>
      <c r="W285">
        <f t="shared" si="33"/>
        <v>1.13831963927855</v>
      </c>
      <c r="X285">
        <f>[1]!XLSTAT_PDFWeibull(W285,10,5)</f>
        <v>3.2860778864664778E-6</v>
      </c>
      <c r="Y285">
        <v>285</v>
      </c>
      <c r="AA285">
        <f t="shared" si="34"/>
        <v>1.13831963927855</v>
      </c>
      <c r="AB285">
        <f>[1]!XLSTAT_PDFWeibull(AA285,10,5)</f>
        <v>3.2860778864664778E-6</v>
      </c>
    </row>
    <row r="286" spans="1:28" x14ac:dyDescent="0.3">
      <c r="A286">
        <v>286</v>
      </c>
      <c r="C286">
        <f t="shared" si="28"/>
        <v>0.56913827655310278</v>
      </c>
      <c r="D286">
        <f>[1]!XLSTAT_PDFNormal(C286,0,1)</f>
        <v>0.33929080002842404</v>
      </c>
      <c r="E286">
        <v>286</v>
      </c>
      <c r="G286">
        <f t="shared" si="29"/>
        <v>1.1423274549098126</v>
      </c>
      <c r="H286">
        <f>[1]!XLSTAT_PDFWeibull(G286,1)</f>
        <v>0.31907552302930781</v>
      </c>
      <c r="I286">
        <v>286</v>
      </c>
      <c r="K286">
        <f t="shared" si="30"/>
        <v>1.1423274549098126</v>
      </c>
      <c r="L286">
        <f>[1]!XLSTAT_PDFWeibull(K286,1,1)</f>
        <v>0.31907552302930781</v>
      </c>
      <c r="M286">
        <v>286</v>
      </c>
      <c r="O286">
        <f t="shared" si="31"/>
        <v>1.1423274549098126</v>
      </c>
      <c r="P286">
        <f>[1]!XLSTAT_PDFWeibull(O286,5,1)</f>
        <v>1.2172074382000475</v>
      </c>
      <c r="Q286">
        <v>286</v>
      </c>
      <c r="S286">
        <f t="shared" si="32"/>
        <v>1.1423274549098126</v>
      </c>
      <c r="T286">
        <f>[1]!XLSTAT_PDFWeibull(S286,10,1)</f>
        <v>0.7532088377925642</v>
      </c>
      <c r="U286">
        <v>286</v>
      </c>
      <c r="W286">
        <f t="shared" si="33"/>
        <v>1.1423274549098126</v>
      </c>
      <c r="X286">
        <f>[1]!XLSTAT_PDFWeibull(W286,10,5)</f>
        <v>3.3916835253370758E-6</v>
      </c>
      <c r="Y286">
        <v>286</v>
      </c>
      <c r="AA286">
        <f t="shared" si="34"/>
        <v>1.1423274549098126</v>
      </c>
      <c r="AB286">
        <f>[1]!XLSTAT_PDFWeibull(AA286,10,5)</f>
        <v>3.3916835253370758E-6</v>
      </c>
    </row>
    <row r="287" spans="1:28" x14ac:dyDescent="0.3">
      <c r="A287">
        <v>287</v>
      </c>
      <c r="C287">
        <f t="shared" si="28"/>
        <v>0.58517034068135931</v>
      </c>
      <c r="D287">
        <f>[1]!XLSTAT_PDFNormal(C287,0,1)</f>
        <v>0.33616583070347905</v>
      </c>
      <c r="E287">
        <v>287</v>
      </c>
      <c r="G287">
        <f t="shared" si="29"/>
        <v>1.146335270541075</v>
      </c>
      <c r="H287">
        <f>[1]!XLSTAT_PDFWeibull(G287,1)</f>
        <v>0.31779928632955962</v>
      </c>
      <c r="I287">
        <v>287</v>
      </c>
      <c r="K287">
        <f t="shared" si="30"/>
        <v>1.146335270541075</v>
      </c>
      <c r="L287">
        <f>[1]!XLSTAT_PDFWeibull(K287,1,1)</f>
        <v>0.31779928632955962</v>
      </c>
      <c r="M287">
        <v>287</v>
      </c>
      <c r="O287">
        <f t="shared" si="31"/>
        <v>1.146335270541075</v>
      </c>
      <c r="P287">
        <f>[1]!XLSTAT_PDFWeibull(O287,5,1)</f>
        <v>1.1926835139498007</v>
      </c>
      <c r="Q287">
        <v>287</v>
      </c>
      <c r="S287">
        <f t="shared" si="32"/>
        <v>1.146335270541075</v>
      </c>
      <c r="T287">
        <f>[1]!XLSTAT_PDFWeibull(S287,10,1)</f>
        <v>0.67925821934321351</v>
      </c>
      <c r="U287">
        <v>287</v>
      </c>
      <c r="W287">
        <f t="shared" si="33"/>
        <v>1.146335270541075</v>
      </c>
      <c r="X287">
        <f>[1]!XLSTAT_PDFWeibull(W287,10,5)</f>
        <v>3.500295241460773E-6</v>
      </c>
      <c r="Y287">
        <v>287</v>
      </c>
      <c r="AA287">
        <f t="shared" si="34"/>
        <v>1.146335270541075</v>
      </c>
      <c r="AB287">
        <f>[1]!XLSTAT_PDFWeibull(AA287,10,5)</f>
        <v>3.500295241460773E-6</v>
      </c>
    </row>
    <row r="288" spans="1:28" x14ac:dyDescent="0.3">
      <c r="A288">
        <v>288</v>
      </c>
      <c r="C288">
        <f t="shared" si="28"/>
        <v>0.60120240480961584</v>
      </c>
      <c r="D288">
        <f>[1]!XLSTAT_PDFNormal(C288,0,1)</f>
        <v>0.33298404635969414</v>
      </c>
      <c r="E288">
        <v>288</v>
      </c>
      <c r="G288">
        <f t="shared" si="29"/>
        <v>1.1503430861723376</v>
      </c>
      <c r="H288">
        <f>[1]!XLSTAT_PDFWeibull(G288,1)</f>
        <v>0.31652815431505432</v>
      </c>
      <c r="I288">
        <v>288</v>
      </c>
      <c r="K288">
        <f t="shared" si="30"/>
        <v>1.1503430861723376</v>
      </c>
      <c r="L288">
        <f>[1]!XLSTAT_PDFWeibull(K288,1,1)</f>
        <v>0.31652815431505432</v>
      </c>
      <c r="M288">
        <v>288</v>
      </c>
      <c r="O288">
        <f t="shared" si="31"/>
        <v>1.1503430861723376</v>
      </c>
      <c r="P288">
        <f>[1]!XLSTAT_PDFWeibull(O288,5,1)</f>
        <v>1.1680311687734302</v>
      </c>
      <c r="Q288">
        <v>288</v>
      </c>
      <c r="S288">
        <f t="shared" si="32"/>
        <v>1.1503430861723376</v>
      </c>
      <c r="T288">
        <f>[1]!XLSTAT_PDFWeibull(S288,10,1)</f>
        <v>0.60986594832681196</v>
      </c>
      <c r="U288">
        <v>288</v>
      </c>
      <c r="W288">
        <f t="shared" si="33"/>
        <v>1.1503430861723376</v>
      </c>
      <c r="X288">
        <f>[1]!XLSTAT_PDFWeibull(W288,10,5)</f>
        <v>3.6119876423402224E-6</v>
      </c>
      <c r="Y288">
        <v>288</v>
      </c>
      <c r="AA288">
        <f t="shared" si="34"/>
        <v>1.1503430861723376</v>
      </c>
      <c r="AB288">
        <f>[1]!XLSTAT_PDFWeibull(AA288,10,5)</f>
        <v>3.6119876423402224E-6</v>
      </c>
    </row>
    <row r="289" spans="1:28" x14ac:dyDescent="0.3">
      <c r="A289">
        <v>289</v>
      </c>
      <c r="C289">
        <f t="shared" si="28"/>
        <v>0.61723446893787237</v>
      </c>
      <c r="D289">
        <f>[1]!XLSTAT_PDFNormal(C289,0,1)</f>
        <v>0.32974761240678996</v>
      </c>
      <c r="E289">
        <v>289</v>
      </c>
      <c r="G289">
        <f t="shared" si="29"/>
        <v>1.1543509018036</v>
      </c>
      <c r="H289">
        <f>[1]!XLSTAT_PDFWeibull(G289,1)</f>
        <v>0.31526210656809717</v>
      </c>
      <c r="I289">
        <v>289</v>
      </c>
      <c r="K289">
        <f t="shared" si="30"/>
        <v>1.1543509018036</v>
      </c>
      <c r="L289">
        <f>[1]!XLSTAT_PDFWeibull(K289,1,1)</f>
        <v>0.31526210656809717</v>
      </c>
      <c r="M289">
        <v>289</v>
      </c>
      <c r="O289">
        <f t="shared" si="31"/>
        <v>1.1543509018036</v>
      </c>
      <c r="P289">
        <f>[1]!XLSTAT_PDFWeibull(O289,5,1)</f>
        <v>1.1432736149609</v>
      </c>
      <c r="Q289">
        <v>289</v>
      </c>
      <c r="S289">
        <f t="shared" si="32"/>
        <v>1.1543509018036</v>
      </c>
      <c r="T289">
        <f>[1]!XLSTAT_PDFWeibull(S289,10,1)</f>
        <v>0.54508116882559821</v>
      </c>
      <c r="U289">
        <v>289</v>
      </c>
      <c r="W289">
        <f t="shared" si="33"/>
        <v>1.1543509018036</v>
      </c>
      <c r="X289">
        <f>[1]!XLSTAT_PDFWeibull(W289,10,5)</f>
        <v>3.7268369170293679E-6</v>
      </c>
      <c r="Y289">
        <v>289</v>
      </c>
      <c r="AA289">
        <f t="shared" si="34"/>
        <v>1.1543509018036</v>
      </c>
      <c r="AB289">
        <f>[1]!XLSTAT_PDFWeibull(AA289,10,5)</f>
        <v>3.7268369170293679E-6</v>
      </c>
    </row>
    <row r="290" spans="1:28" x14ac:dyDescent="0.3">
      <c r="A290">
        <v>290</v>
      </c>
      <c r="C290">
        <f t="shared" si="28"/>
        <v>0.6332665330661289</v>
      </c>
      <c r="D290">
        <f>[1]!XLSTAT_PDFNormal(C290,0,1)</f>
        <v>0.32645871541532739</v>
      </c>
      <c r="E290">
        <v>290</v>
      </c>
      <c r="G290">
        <f t="shared" si="29"/>
        <v>1.1583587174348626</v>
      </c>
      <c r="H290">
        <f>[1]!XLSTAT_PDFWeibull(G290,1)</f>
        <v>0.3140011227526599</v>
      </c>
      <c r="I290">
        <v>290</v>
      </c>
      <c r="K290">
        <f t="shared" si="30"/>
        <v>1.1583587174348626</v>
      </c>
      <c r="L290">
        <f>[1]!XLSTAT_PDFWeibull(K290,1,1)</f>
        <v>0.3140011227526599</v>
      </c>
      <c r="M290">
        <v>290</v>
      </c>
      <c r="O290">
        <f t="shared" si="31"/>
        <v>1.1583587174348626</v>
      </c>
      <c r="P290">
        <f>[1]!XLSTAT_PDFWeibull(O290,5,1)</f>
        <v>1.1184340514018229</v>
      </c>
      <c r="Q290">
        <v>290</v>
      </c>
      <c r="S290">
        <f t="shared" si="32"/>
        <v>1.1583587174348626</v>
      </c>
      <c r="T290">
        <f>[1]!XLSTAT_PDFWeibull(S290,10,1)</f>
        <v>0.48491016910197765</v>
      </c>
      <c r="U290">
        <v>290</v>
      </c>
      <c r="W290">
        <f t="shared" si="33"/>
        <v>1.1583587174348626</v>
      </c>
      <c r="X290">
        <f>[1]!XLSTAT_PDFWeibull(W290,10,5)</f>
        <v>3.8449208639734164E-6</v>
      </c>
      <c r="Y290">
        <v>290</v>
      </c>
      <c r="AA290">
        <f t="shared" si="34"/>
        <v>1.1583587174348626</v>
      </c>
      <c r="AB290">
        <f>[1]!XLSTAT_PDFWeibull(AA290,10,5)</f>
        <v>3.8449208639734164E-6</v>
      </c>
    </row>
    <row r="291" spans="1:28" x14ac:dyDescent="0.3">
      <c r="A291">
        <v>291</v>
      </c>
      <c r="C291">
        <f t="shared" si="28"/>
        <v>0.64929859719438543</v>
      </c>
      <c r="D291">
        <f>[1]!XLSTAT_PDFNormal(C291,0,1)</f>
        <v>0.32311956067439401</v>
      </c>
      <c r="E291">
        <v>291</v>
      </c>
      <c r="G291">
        <f t="shared" si="29"/>
        <v>1.162366533066125</v>
      </c>
      <c r="H291">
        <f>[1]!XLSTAT_PDFWeibull(G291,1)</f>
        <v>0.31274518261405432</v>
      </c>
      <c r="I291">
        <v>291</v>
      </c>
      <c r="K291">
        <f t="shared" si="30"/>
        <v>1.162366533066125</v>
      </c>
      <c r="L291">
        <f>[1]!XLSTAT_PDFWeibull(K291,1,1)</f>
        <v>0.31274518261405432</v>
      </c>
      <c r="M291">
        <v>291</v>
      </c>
      <c r="O291">
        <f t="shared" si="31"/>
        <v>1.162366533066125</v>
      </c>
      <c r="P291">
        <f>[1]!XLSTAT_PDFWeibull(O291,5,1)</f>
        <v>1.0935356207249467</v>
      </c>
      <c r="Q291">
        <v>291</v>
      </c>
      <c r="S291">
        <f t="shared" si="32"/>
        <v>1.162366533066125</v>
      </c>
      <c r="T291">
        <f>[1]!XLSTAT_PDFWeibull(S291,10,1)</f>
        <v>0.42931829476037892</v>
      </c>
      <c r="U291">
        <v>291</v>
      </c>
      <c r="W291">
        <f t="shared" si="33"/>
        <v>1.162366533066125</v>
      </c>
      <c r="X291">
        <f>[1]!XLSTAT_PDFWeibull(W291,10,5)</f>
        <v>3.9663189192393835E-6</v>
      </c>
      <c r="Y291">
        <v>291</v>
      </c>
      <c r="AA291">
        <f t="shared" si="34"/>
        <v>1.162366533066125</v>
      </c>
      <c r="AB291">
        <f>[1]!XLSTAT_PDFWeibull(AA291,10,5)</f>
        <v>3.9663189192393835E-6</v>
      </c>
    </row>
    <row r="292" spans="1:28" x14ac:dyDescent="0.3">
      <c r="A292">
        <v>292</v>
      </c>
      <c r="C292">
        <f t="shared" si="28"/>
        <v>0.66533066132264196</v>
      </c>
      <c r="D292">
        <f>[1]!XLSTAT_PDFNormal(C292,0,1)</f>
        <v>0.31973236974940528</v>
      </c>
      <c r="E292">
        <v>292</v>
      </c>
      <c r="G292">
        <f t="shared" si="29"/>
        <v>1.1663743486973877</v>
      </c>
      <c r="H292">
        <f>[1]!XLSTAT_PDFWeibull(G292,1)</f>
        <v>0.31149426597860669</v>
      </c>
      <c r="I292">
        <v>292</v>
      </c>
      <c r="K292">
        <f t="shared" si="30"/>
        <v>1.1663743486973877</v>
      </c>
      <c r="L292">
        <f>[1]!XLSTAT_PDFWeibull(K292,1,1)</f>
        <v>0.31149426597860669</v>
      </c>
      <c r="M292">
        <v>292</v>
      </c>
      <c r="O292">
        <f t="shared" si="31"/>
        <v>1.1663743486973877</v>
      </c>
      <c r="P292">
        <f>[1]!XLSTAT_PDFWeibull(O292,5,1)</f>
        <v>1.0686013664462832</v>
      </c>
      <c r="Q292">
        <v>292</v>
      </c>
      <c r="S292">
        <f t="shared" si="32"/>
        <v>1.1663743486973877</v>
      </c>
      <c r="T292">
        <f>[1]!XLSTAT_PDFWeibull(S292,10,1)</f>
        <v>0.37823245589877968</v>
      </c>
      <c r="U292">
        <v>292</v>
      </c>
      <c r="W292">
        <f t="shared" si="33"/>
        <v>1.1663743486973877</v>
      </c>
      <c r="X292">
        <f>[1]!XLSTAT_PDFWeibull(W292,10,5)</f>
        <v>4.0911121851414377E-6</v>
      </c>
      <c r="Y292">
        <v>292</v>
      </c>
      <c r="AA292">
        <f t="shared" si="34"/>
        <v>1.1663743486973877</v>
      </c>
      <c r="AB292">
        <f>[1]!XLSTAT_PDFWeibull(AA292,10,5)</f>
        <v>4.0911121851414377E-6</v>
      </c>
    </row>
    <row r="293" spans="1:28" x14ac:dyDescent="0.3">
      <c r="A293">
        <v>293</v>
      </c>
      <c r="C293">
        <f t="shared" si="28"/>
        <v>0.68136272545089849</v>
      </c>
      <c r="D293">
        <f>[1]!XLSTAT_PDFNormal(C293,0,1)</f>
        <v>0.31629937804376584</v>
      </c>
      <c r="E293">
        <v>293</v>
      </c>
      <c r="G293">
        <f t="shared" si="29"/>
        <v>1.1703821643286501</v>
      </c>
      <c r="H293">
        <f>[1]!XLSTAT_PDFWeibull(G293,1)</f>
        <v>0.31024835275333401</v>
      </c>
      <c r="I293">
        <v>293</v>
      </c>
      <c r="K293">
        <f t="shared" si="30"/>
        <v>1.1703821643286501</v>
      </c>
      <c r="L293">
        <f>[1]!XLSTAT_PDFWeibull(K293,1,1)</f>
        <v>0.31024835275333401</v>
      </c>
      <c r="M293">
        <v>293</v>
      </c>
      <c r="O293">
        <f t="shared" si="31"/>
        <v>1.1703821643286501</v>
      </c>
      <c r="P293">
        <f>[1]!XLSTAT_PDFWeibull(O293,5,1)</f>
        <v>1.0436541902520617</v>
      </c>
      <c r="Q293">
        <v>293</v>
      </c>
      <c r="S293">
        <f t="shared" si="32"/>
        <v>1.1703821643286501</v>
      </c>
      <c r="T293">
        <f>[1]!XLSTAT_PDFWeibull(S293,10,1)</f>
        <v>0.33154416512222262</v>
      </c>
      <c r="U293">
        <v>293</v>
      </c>
      <c r="W293">
        <f t="shared" si="33"/>
        <v>1.1703821643286501</v>
      </c>
      <c r="X293">
        <f>[1]!XLSTAT_PDFWeibull(W293,10,5)</f>
        <v>4.2193834592650527E-6</v>
      </c>
      <c r="Y293">
        <v>293</v>
      </c>
      <c r="AA293">
        <f t="shared" si="34"/>
        <v>1.1703821643286501</v>
      </c>
      <c r="AB293">
        <f>[1]!XLSTAT_PDFWeibull(AA293,10,5)</f>
        <v>4.2193834592650527E-6</v>
      </c>
    </row>
    <row r="294" spans="1:28" x14ac:dyDescent="0.3">
      <c r="A294">
        <v>294</v>
      </c>
      <c r="C294">
        <f t="shared" si="28"/>
        <v>0.69739478957915502</v>
      </c>
      <c r="D294">
        <f>[1]!XLSTAT_PDFNormal(C294,0,1)</f>
        <v>0.31282283236809111</v>
      </c>
      <c r="E294">
        <v>294</v>
      </c>
      <c r="G294">
        <f t="shared" si="29"/>
        <v>1.1743899799599125</v>
      </c>
      <c r="H294">
        <f>[1]!XLSTAT_PDFWeibull(G294,1)</f>
        <v>0.30900742292562094</v>
      </c>
      <c r="I294">
        <v>294</v>
      </c>
      <c r="K294">
        <f t="shared" si="30"/>
        <v>1.1743899799599125</v>
      </c>
      <c r="L294">
        <f>[1]!XLSTAT_PDFWeibull(K294,1,1)</f>
        <v>0.30900742292562094</v>
      </c>
      <c r="M294">
        <v>294</v>
      </c>
      <c r="O294">
        <f t="shared" si="31"/>
        <v>1.1743899799599125</v>
      </c>
      <c r="P294">
        <f>[1]!XLSTAT_PDFWeibull(O294,5,1)</f>
        <v>1.0187168095436747</v>
      </c>
      <c r="Q294">
        <v>294</v>
      </c>
      <c r="S294">
        <f t="shared" si="32"/>
        <v>1.1743899799599125</v>
      </c>
      <c r="T294">
        <f>[1]!XLSTAT_PDFWeibull(S294,10,1)</f>
        <v>0.28911303061456917</v>
      </c>
      <c r="U294">
        <v>294</v>
      </c>
      <c r="W294">
        <f t="shared" si="33"/>
        <v>1.1743899799599125</v>
      </c>
      <c r="X294">
        <f>[1]!XLSTAT_PDFWeibull(W294,10,5)</f>
        <v>4.3512172638942715E-6</v>
      </c>
      <c r="Y294">
        <v>294</v>
      </c>
      <c r="AA294">
        <f t="shared" si="34"/>
        <v>1.1743899799599125</v>
      </c>
      <c r="AB294">
        <f>[1]!XLSTAT_PDFWeibull(AA294,10,5)</f>
        <v>4.3512172638942715E-6</v>
      </c>
    </row>
    <row r="295" spans="1:28" x14ac:dyDescent="0.3">
      <c r="A295">
        <v>295</v>
      </c>
      <c r="C295">
        <f t="shared" si="28"/>
        <v>0.71342685370741155</v>
      </c>
      <c r="D295">
        <f>[1]!XLSTAT_PDFNormal(C295,0,1)</f>
        <v>0.30930498852063815</v>
      </c>
      <c r="E295">
        <v>295</v>
      </c>
      <c r="G295">
        <f t="shared" si="29"/>
        <v>1.1783977955911751</v>
      </c>
      <c r="H295">
        <f>[1]!XLSTAT_PDFWeibull(G295,1)</f>
        <v>0.30777145656289845</v>
      </c>
      <c r="I295">
        <v>295</v>
      </c>
      <c r="K295">
        <f t="shared" si="30"/>
        <v>1.1783977955911751</v>
      </c>
      <c r="L295">
        <f>[1]!XLSTAT_PDFWeibull(K295,1,1)</f>
        <v>0.30777145656289845</v>
      </c>
      <c r="M295">
        <v>295</v>
      </c>
      <c r="O295">
        <f t="shared" si="31"/>
        <v>1.1783977955911751</v>
      </c>
      <c r="P295">
        <f>[1]!XLSTAT_PDFWeibull(O295,5,1)</f>
        <v>0.99381171537244328</v>
      </c>
      <c r="Q295">
        <v>295</v>
      </c>
      <c r="S295">
        <f t="shared" si="32"/>
        <v>1.1783977955911751</v>
      </c>
      <c r="T295">
        <f>[1]!XLSTAT_PDFWeibull(S295,10,1)</f>
        <v>0.25077061797966138</v>
      </c>
      <c r="U295">
        <v>295</v>
      </c>
      <c r="W295">
        <f t="shared" si="33"/>
        <v>1.1783977955911751</v>
      </c>
      <c r="X295">
        <f>[1]!XLSTAT_PDFWeibull(W295,10,5)</f>
        <v>4.4866998758460871E-6</v>
      </c>
      <c r="Y295">
        <v>295</v>
      </c>
      <c r="AA295">
        <f t="shared" si="34"/>
        <v>1.1783977955911751</v>
      </c>
      <c r="AB295">
        <f>[1]!XLSTAT_PDFWeibull(AA295,10,5)</f>
        <v>4.4866998758460871E-6</v>
      </c>
    </row>
    <row r="296" spans="1:28" x14ac:dyDescent="0.3">
      <c r="A296">
        <v>296</v>
      </c>
      <c r="C296">
        <f t="shared" si="28"/>
        <v>0.72945891783566807</v>
      </c>
      <c r="D296">
        <f>[1]!XLSTAT_PDFNormal(C296,0,1)</f>
        <v>0.30574810888253551</v>
      </c>
      <c r="E296">
        <v>296</v>
      </c>
      <c r="G296">
        <f t="shared" si="29"/>
        <v>1.1824056112224375</v>
      </c>
      <c r="H296">
        <f>[1]!XLSTAT_PDFWeibull(G296,1)</f>
        <v>0.30654043381232399</v>
      </c>
      <c r="I296">
        <v>296</v>
      </c>
      <c r="K296">
        <f t="shared" si="30"/>
        <v>1.1824056112224375</v>
      </c>
      <c r="L296">
        <f>[1]!XLSTAT_PDFWeibull(K296,1,1)</f>
        <v>0.30654043381232399</v>
      </c>
      <c r="M296">
        <v>296</v>
      </c>
      <c r="O296">
        <f t="shared" si="31"/>
        <v>1.1824056112224375</v>
      </c>
      <c r="P296">
        <f>[1]!XLSTAT_PDFWeibull(O296,5,1)</f>
        <v>0.96896113089205493</v>
      </c>
      <c r="Q296">
        <v>296</v>
      </c>
      <c r="S296">
        <f t="shared" si="32"/>
        <v>1.1824056112224375</v>
      </c>
      <c r="T296">
        <f>[1]!XLSTAT_PDFWeibull(S296,10,1)</f>
        <v>0.21632458667203389</v>
      </c>
      <c r="U296">
        <v>296</v>
      </c>
      <c r="W296">
        <f t="shared" si="33"/>
        <v>1.1824056112224375</v>
      </c>
      <c r="X296">
        <f>[1]!XLSTAT_PDFWeibull(W296,10,5)</f>
        <v>4.6259193567162955E-6</v>
      </c>
      <c r="Y296">
        <v>296</v>
      </c>
      <c r="AA296">
        <f t="shared" si="34"/>
        <v>1.1824056112224375</v>
      </c>
      <c r="AB296">
        <f>[1]!XLSTAT_PDFWeibull(AA296,10,5)</f>
        <v>4.6259193567162955E-6</v>
      </c>
    </row>
    <row r="297" spans="1:28" x14ac:dyDescent="0.3">
      <c r="A297">
        <v>297</v>
      </c>
      <c r="C297">
        <f t="shared" si="28"/>
        <v>0.7454909819639246</v>
      </c>
      <c r="D297">
        <f>[1]!XLSTAT_PDFNormal(C297,0,1)</f>
        <v>0.302154460031337</v>
      </c>
      <c r="E297">
        <v>297</v>
      </c>
      <c r="G297">
        <f t="shared" si="29"/>
        <v>1.1864134268537001</v>
      </c>
      <c r="H297">
        <f>[1]!XLSTAT_PDFWeibull(G297,1)</f>
        <v>0.305314334900462</v>
      </c>
      <c r="I297">
        <v>297</v>
      </c>
      <c r="K297">
        <f t="shared" si="30"/>
        <v>1.1864134268537001</v>
      </c>
      <c r="L297">
        <f>[1]!XLSTAT_PDFWeibull(K297,1,1)</f>
        <v>0.305314334900462</v>
      </c>
      <c r="M297">
        <v>297</v>
      </c>
      <c r="O297">
        <f t="shared" si="31"/>
        <v>1.1864134268537001</v>
      </c>
      <c r="P297">
        <f>[1]!XLSTAT_PDFWeibull(O297,5,1)</f>
        <v>0.9441869704560174</v>
      </c>
      <c r="Q297">
        <v>297</v>
      </c>
      <c r="S297">
        <f t="shared" si="32"/>
        <v>1.1864134268537001</v>
      </c>
      <c r="T297">
        <f>[1]!XLSTAT_PDFWeibull(S297,10,1)</f>
        <v>0.18556300185155261</v>
      </c>
      <c r="U297">
        <v>297</v>
      </c>
      <c r="W297">
        <f t="shared" si="33"/>
        <v>1.1864134268537001</v>
      </c>
      <c r="X297">
        <f>[1]!XLSTAT_PDFWeibull(W297,10,5)</f>
        <v>4.7689655835409895E-6</v>
      </c>
      <c r="Y297">
        <v>297</v>
      </c>
      <c r="AA297">
        <f t="shared" si="34"/>
        <v>1.1864134268537001</v>
      </c>
      <c r="AB297">
        <f>[1]!XLSTAT_PDFWeibull(AA297,10,5)</f>
        <v>4.7689655835409895E-6</v>
      </c>
    </row>
    <row r="298" spans="1:28" x14ac:dyDescent="0.3">
      <c r="A298">
        <v>298</v>
      </c>
      <c r="C298">
        <f t="shared" si="28"/>
        <v>0.76152304609218113</v>
      </c>
      <c r="D298">
        <f>[1]!XLSTAT_PDFNormal(C298,0,1)</f>
        <v>0.29852631037635108</v>
      </c>
      <c r="E298">
        <v>298</v>
      </c>
      <c r="G298">
        <f t="shared" si="29"/>
        <v>1.1904212424849625</v>
      </c>
      <c r="H298">
        <f>[1]!XLSTAT_PDFWeibull(G298,1)</f>
        <v>0.30409314013296684</v>
      </c>
      <c r="I298">
        <v>298</v>
      </c>
      <c r="K298">
        <f t="shared" si="30"/>
        <v>1.1904212424849625</v>
      </c>
      <c r="L298">
        <f>[1]!XLSTAT_PDFWeibull(K298,1,1)</f>
        <v>0.30409314013296684</v>
      </c>
      <c r="M298">
        <v>298</v>
      </c>
      <c r="O298">
        <f t="shared" si="31"/>
        <v>1.1904212424849625</v>
      </c>
      <c r="P298">
        <f>[1]!XLSTAT_PDFWeibull(O298,5,1)</f>
        <v>0.9195107994865287</v>
      </c>
      <c r="Q298">
        <v>298</v>
      </c>
      <c r="S298">
        <f t="shared" si="32"/>
        <v>1.1904212424849625</v>
      </c>
      <c r="T298">
        <f>[1]!XLSTAT_PDFWeibull(S298,10,1)</f>
        <v>0.15825872061561977</v>
      </c>
      <c r="U298">
        <v>298</v>
      </c>
      <c r="W298">
        <f t="shared" si="33"/>
        <v>1.1904212424849625</v>
      </c>
      <c r="X298">
        <f>[1]!XLSTAT_PDFWeibull(W298,10,5)</f>
        <v>4.9159302798779463E-6</v>
      </c>
      <c r="Y298">
        <v>298</v>
      </c>
      <c r="AA298">
        <f t="shared" si="34"/>
        <v>1.1904212424849625</v>
      </c>
      <c r="AB298">
        <f>[1]!XLSTAT_PDFWeibull(AA298,10,5)</f>
        <v>4.9159302798779463E-6</v>
      </c>
    </row>
    <row r="299" spans="1:28" x14ac:dyDescent="0.3">
      <c r="A299">
        <v>299</v>
      </c>
      <c r="C299">
        <f t="shared" si="28"/>
        <v>0.77755511022043766</v>
      </c>
      <c r="D299">
        <f>[1]!XLSTAT_PDFNormal(C299,0,1)</f>
        <v>0.29486592781912097</v>
      </c>
      <c r="E299">
        <v>299</v>
      </c>
      <c r="G299">
        <f t="shared" si="29"/>
        <v>1.1944290581162251</v>
      </c>
      <c r="H299">
        <f>[1]!XLSTAT_PDFWeibull(G299,1)</f>
        <v>0.30287682989426601</v>
      </c>
      <c r="I299">
        <v>299</v>
      </c>
      <c r="K299">
        <f t="shared" si="30"/>
        <v>1.1944290581162251</v>
      </c>
      <c r="L299">
        <f>[1]!XLSTAT_PDFWeibull(K299,1,1)</f>
        <v>0.30287682989426601</v>
      </c>
      <c r="M299">
        <v>299</v>
      </c>
      <c r="O299">
        <f t="shared" si="31"/>
        <v>1.1944290581162251</v>
      </c>
      <c r="P299">
        <f>[1]!XLSTAT_PDFWeibull(O299,5,1)</f>
        <v>0.89495379523947438</v>
      </c>
      <c r="Q299">
        <v>299</v>
      </c>
      <c r="S299">
        <f t="shared" si="32"/>
        <v>1.1944290581162251</v>
      </c>
      <c r="T299">
        <f>[1]!XLSTAT_PDFWeibull(S299,10,1)</f>
        <v>0.13417375286188712</v>
      </c>
      <c r="U299">
        <v>299</v>
      </c>
      <c r="W299">
        <f t="shared" si="33"/>
        <v>1.1944290581162251</v>
      </c>
      <c r="X299">
        <f>[1]!XLSTAT_PDFWeibull(W299,10,5)</f>
        <v>5.0669070473122472E-6</v>
      </c>
      <c r="Y299">
        <v>299</v>
      </c>
      <c r="AA299">
        <f t="shared" si="34"/>
        <v>1.1944290581162251</v>
      </c>
      <c r="AB299">
        <f>[1]!XLSTAT_PDFWeibull(AA299,10,5)</f>
        <v>5.0669070473122472E-6</v>
      </c>
    </row>
    <row r="300" spans="1:28" x14ac:dyDescent="0.3">
      <c r="A300">
        <v>300</v>
      </c>
      <c r="C300">
        <f t="shared" si="28"/>
        <v>0.79358717434869419</v>
      </c>
      <c r="D300">
        <f>[1]!XLSTAT_PDFNormal(C300,0,1)</f>
        <v>0.29117557744234523</v>
      </c>
      <c r="E300">
        <v>300</v>
      </c>
      <c r="G300">
        <f t="shared" si="29"/>
        <v>1.1984368737474875</v>
      </c>
      <c r="H300">
        <f>[1]!XLSTAT_PDFWeibull(G300,1)</f>
        <v>0.30166538464724546</v>
      </c>
      <c r="I300">
        <v>300</v>
      </c>
      <c r="K300">
        <f t="shared" si="30"/>
        <v>1.1984368737474875</v>
      </c>
      <c r="L300">
        <f>[1]!XLSTAT_PDFWeibull(K300,1,1)</f>
        <v>0.30166538464724546</v>
      </c>
      <c r="M300">
        <v>300</v>
      </c>
      <c r="O300">
        <f t="shared" si="31"/>
        <v>1.1984368737474875</v>
      </c>
      <c r="P300">
        <f>[1]!XLSTAT_PDFWeibull(O300,5,1)</f>
        <v>0.87053670858824916</v>
      </c>
      <c r="Q300">
        <v>300</v>
      </c>
      <c r="S300">
        <f t="shared" si="32"/>
        <v>1.1984368737474875</v>
      </c>
      <c r="T300">
        <f>[1]!XLSTAT_PDFWeibull(S300,10,1)</f>
        <v>0.11306350145737408</v>
      </c>
      <c r="U300">
        <v>300</v>
      </c>
      <c r="W300">
        <f t="shared" si="33"/>
        <v>1.1984368737474875</v>
      </c>
      <c r="X300">
        <f>[1]!XLSTAT_PDFWeibull(W300,10,5)</f>
        <v>5.2219913973904841E-6</v>
      </c>
      <c r="Y300">
        <v>300</v>
      </c>
      <c r="AA300">
        <f t="shared" si="34"/>
        <v>1.1984368737474875</v>
      </c>
      <c r="AB300">
        <f>[1]!XLSTAT_PDFWeibull(AA300,10,5)</f>
        <v>5.2219913973904841E-6</v>
      </c>
    </row>
    <row r="301" spans="1:28" x14ac:dyDescent="0.3">
      <c r="A301">
        <v>301</v>
      </c>
      <c r="C301">
        <f t="shared" si="28"/>
        <v>0.80961923847695072</v>
      </c>
      <c r="D301">
        <f>[1]!XLSTAT_PDFNormal(C301,0,1)</f>
        <v>0.28745751923043883</v>
      </c>
      <c r="E301">
        <v>301</v>
      </c>
      <c r="G301">
        <f t="shared" si="29"/>
        <v>1.2024446893787502</v>
      </c>
      <c r="H301">
        <f>[1]!XLSTAT_PDFWeibull(G301,1)</f>
        <v>0.30045878493293549</v>
      </c>
      <c r="I301">
        <v>301</v>
      </c>
      <c r="K301">
        <f t="shared" si="30"/>
        <v>1.2024446893787502</v>
      </c>
      <c r="L301">
        <f>[1]!XLSTAT_PDFWeibull(K301,1,1)</f>
        <v>0.30045878493293549</v>
      </c>
      <c r="M301">
        <v>301</v>
      </c>
      <c r="O301">
        <f t="shared" si="31"/>
        <v>1.2024446893787502</v>
      </c>
      <c r="P301">
        <f>[1]!XLSTAT_PDFWeibull(O301,5,1)</f>
        <v>0.84627982694631032</v>
      </c>
      <c r="Q301">
        <v>301</v>
      </c>
      <c r="S301">
        <f t="shared" si="32"/>
        <v>1.2024446893787502</v>
      </c>
      <c r="T301">
        <f>[1]!XLSTAT_PDFWeibull(S301,10,1)</f>
        <v>9.4680793746375266E-2</v>
      </c>
      <c r="U301">
        <v>301</v>
      </c>
      <c r="W301">
        <f t="shared" si="33"/>
        <v>1.2024446893787502</v>
      </c>
      <c r="X301">
        <f>[1]!XLSTAT_PDFWeibull(W301,10,5)</f>
        <v>5.3812807839878173E-6</v>
      </c>
      <c r="Y301">
        <v>301</v>
      </c>
      <c r="AA301">
        <f t="shared" si="34"/>
        <v>1.2024446893787502</v>
      </c>
      <c r="AB301">
        <f>[1]!XLSTAT_PDFWeibull(AA301,10,5)</f>
        <v>5.3812807839878173E-6</v>
      </c>
    </row>
    <row r="302" spans="1:28" x14ac:dyDescent="0.3">
      <c r="A302">
        <v>302</v>
      </c>
      <c r="C302">
        <f t="shared" si="28"/>
        <v>0.82565130260520725</v>
      </c>
      <c r="D302">
        <f>[1]!XLSTAT_PDFNormal(C302,0,1)</f>
        <v>0.28371400582483985</v>
      </c>
      <c r="E302">
        <v>302</v>
      </c>
      <c r="G302">
        <f t="shared" si="29"/>
        <v>1.2064525050100126</v>
      </c>
      <c r="H302">
        <f>[1]!XLSTAT_PDFWeibull(G302,1)</f>
        <v>0.29925701137019833</v>
      </c>
      <c r="I302">
        <v>302</v>
      </c>
      <c r="K302">
        <f t="shared" si="30"/>
        <v>1.2064525050100126</v>
      </c>
      <c r="L302">
        <f>[1]!XLSTAT_PDFWeibull(K302,1,1)</f>
        <v>0.29925701137019833</v>
      </c>
      <c r="M302">
        <v>302</v>
      </c>
      <c r="O302">
        <f t="shared" si="31"/>
        <v>1.2064525050100126</v>
      </c>
      <c r="P302">
        <f>[1]!XLSTAT_PDFWeibull(O302,5,1)</f>
        <v>0.82220293844522641</v>
      </c>
      <c r="Q302">
        <v>302</v>
      </c>
      <c r="S302">
        <f t="shared" si="32"/>
        <v>1.2064525050100126</v>
      </c>
      <c r="T302">
        <f>[1]!XLSTAT_PDFWeibull(S302,10,1)</f>
        <v>7.8779626403844755E-2</v>
      </c>
      <c r="U302">
        <v>302</v>
      </c>
      <c r="W302">
        <f t="shared" si="33"/>
        <v>1.2064525050100126</v>
      </c>
      <c r="X302">
        <f>[1]!XLSTAT_PDFWeibull(W302,10,5)</f>
        <v>5.5448746361122555E-6</v>
      </c>
      <c r="Y302">
        <v>302</v>
      </c>
      <c r="AA302">
        <f t="shared" si="34"/>
        <v>1.2064525050100126</v>
      </c>
      <c r="AB302">
        <f>[1]!XLSTAT_PDFWeibull(AA302,10,5)</f>
        <v>5.5448746361122555E-6</v>
      </c>
    </row>
    <row r="303" spans="1:28" x14ac:dyDescent="0.3">
      <c r="A303">
        <v>303</v>
      </c>
      <c r="C303">
        <f t="shared" si="28"/>
        <v>0.84168336673346378</v>
      </c>
      <c r="D303">
        <f>[1]!XLSTAT_PDFNormal(C303,0,1)</f>
        <v>0.27994728031706595</v>
      </c>
      <c r="E303">
        <v>303</v>
      </c>
      <c r="G303">
        <f t="shared" si="29"/>
        <v>1.210460320641275</v>
      </c>
      <c r="H303">
        <f>[1]!XLSTAT_PDFWeibull(G303,1)</f>
        <v>0.29806004465541674</v>
      </c>
      <c r="I303">
        <v>303</v>
      </c>
      <c r="K303">
        <f t="shared" si="30"/>
        <v>1.210460320641275</v>
      </c>
      <c r="L303">
        <f>[1]!XLSTAT_PDFWeibull(K303,1,1)</f>
        <v>0.29806004465541674</v>
      </c>
      <c r="M303">
        <v>303</v>
      </c>
      <c r="O303">
        <f t="shared" si="31"/>
        <v>1.210460320641275</v>
      </c>
      <c r="P303">
        <f>[1]!XLSTAT_PDFWeibull(O303,5,1)</f>
        <v>0.79832529748111802</v>
      </c>
      <c r="Q303">
        <v>303</v>
      </c>
      <c r="S303">
        <f t="shared" si="32"/>
        <v>1.210460320641275</v>
      </c>
      <c r="T303">
        <f>[1]!XLSTAT_PDFWeibull(S303,10,1)</f>
        <v>6.5118557803643617E-2</v>
      </c>
      <c r="U303">
        <v>303</v>
      </c>
      <c r="W303">
        <f t="shared" si="33"/>
        <v>1.210460320641275</v>
      </c>
      <c r="X303">
        <f>[1]!XLSTAT_PDFWeibull(W303,10,5)</f>
        <v>5.7128743911508074E-6</v>
      </c>
      <c r="Y303">
        <v>303</v>
      </c>
      <c r="AA303">
        <f t="shared" si="34"/>
        <v>1.210460320641275</v>
      </c>
      <c r="AB303">
        <f>[1]!XLSTAT_PDFWeibull(AA303,10,5)</f>
        <v>5.7128743911508074E-6</v>
      </c>
    </row>
    <row r="304" spans="1:28" x14ac:dyDescent="0.3">
      <c r="A304">
        <v>304</v>
      </c>
      <c r="C304">
        <f t="shared" si="28"/>
        <v>0.85771543086172031</v>
      </c>
      <c r="D304">
        <f>[1]!XLSTAT_PDFNormal(C304,0,1)</f>
        <v>0.27615957408241903</v>
      </c>
      <c r="E304">
        <v>304</v>
      </c>
      <c r="G304">
        <f t="shared" si="29"/>
        <v>1.2144681362725376</v>
      </c>
      <c r="H304">
        <f>[1]!XLSTAT_PDFWeibull(G304,1)</f>
        <v>0.29686786556218403</v>
      </c>
      <c r="I304">
        <v>304</v>
      </c>
      <c r="K304">
        <f t="shared" si="30"/>
        <v>1.2144681362725376</v>
      </c>
      <c r="L304">
        <f>[1]!XLSTAT_PDFWeibull(K304,1,1)</f>
        <v>0.29686786556218403</v>
      </c>
      <c r="M304">
        <v>304</v>
      </c>
      <c r="O304">
        <f t="shared" si="31"/>
        <v>1.2144681362725376</v>
      </c>
      <c r="P304">
        <f>[1]!XLSTAT_PDFWeibull(O304,5,1)</f>
        <v>0.77466559173815297</v>
      </c>
      <c r="Q304">
        <v>304</v>
      </c>
      <c r="S304">
        <f t="shared" si="32"/>
        <v>1.2144681362725376</v>
      </c>
      <c r="T304">
        <f>[1]!XLSTAT_PDFWeibull(S304,10,1)</f>
        <v>5.3463695900615282E-2</v>
      </c>
      <c r="U304">
        <v>304</v>
      </c>
      <c r="W304">
        <f t="shared" si="33"/>
        <v>1.2144681362725376</v>
      </c>
      <c r="X304">
        <f>[1]!XLSTAT_PDFWeibull(W304,10,5)</f>
        <v>5.8853835285615998E-6</v>
      </c>
      <c r="Y304">
        <v>304</v>
      </c>
      <c r="AA304">
        <f t="shared" si="34"/>
        <v>1.2144681362725376</v>
      </c>
      <c r="AB304">
        <f>[1]!XLSTAT_PDFWeibull(AA304,10,5)</f>
        <v>5.8853835285615998E-6</v>
      </c>
    </row>
    <row r="305" spans="1:28" x14ac:dyDescent="0.3">
      <c r="A305">
        <v>305</v>
      </c>
      <c r="C305">
        <f t="shared" si="28"/>
        <v>0.87374749498997595</v>
      </c>
      <c r="D305">
        <f>[1]!XLSTAT_PDFNormal(C305,0,1)</f>
        <v>0.27235310465712748</v>
      </c>
      <c r="E305">
        <v>305</v>
      </c>
      <c r="G305">
        <f t="shared" si="29"/>
        <v>1.2184759519038</v>
      </c>
      <c r="H305">
        <f>[1]!XLSTAT_PDFWeibull(G305,1)</f>
        <v>0.29568045494099521</v>
      </c>
      <c r="I305">
        <v>305</v>
      </c>
      <c r="K305">
        <f t="shared" si="30"/>
        <v>1.2184759519038</v>
      </c>
      <c r="L305">
        <f>[1]!XLSTAT_PDFWeibull(K305,1,1)</f>
        <v>0.29568045494099521</v>
      </c>
      <c r="M305">
        <v>305</v>
      </c>
      <c r="O305">
        <f t="shared" si="31"/>
        <v>1.2184759519038</v>
      </c>
      <c r="P305">
        <f>[1]!XLSTAT_PDFWeibull(O305,5,1)</f>
        <v>0.7512419107928674</v>
      </c>
      <c r="Q305">
        <v>305</v>
      </c>
      <c r="S305">
        <f t="shared" si="32"/>
        <v>1.2184759519038</v>
      </c>
      <c r="T305">
        <f>[1]!XLSTAT_PDFWeibull(S305,10,1)</f>
        <v>4.3591244532897915E-2</v>
      </c>
      <c r="U305">
        <v>305</v>
      </c>
      <c r="W305">
        <f t="shared" si="33"/>
        <v>1.2184759519038</v>
      </c>
      <c r="X305">
        <f>[1]!XLSTAT_PDFWeibull(W305,10,5)</f>
        <v>6.0625076040166332E-6</v>
      </c>
      <c r="Y305">
        <v>305</v>
      </c>
      <c r="AA305">
        <f t="shared" si="34"/>
        <v>1.2184759519038</v>
      </c>
      <c r="AB305">
        <f>[1]!XLSTAT_PDFWeibull(AA305,10,5)</f>
        <v>6.0625076040166332E-6</v>
      </c>
    </row>
    <row r="306" spans="1:28" x14ac:dyDescent="0.3">
      <c r="A306">
        <v>306</v>
      </c>
      <c r="C306">
        <f t="shared" si="28"/>
        <v>0.88977955911823248</v>
      </c>
      <c r="D306">
        <f>[1]!XLSTAT_PDFNormal(C306,0,1)</f>
        <v>0.26853007366159931</v>
      </c>
      <c r="E306">
        <v>306</v>
      </c>
      <c r="G306">
        <f t="shared" si="29"/>
        <v>1.2224837675350626</v>
      </c>
      <c r="H306">
        <f>[1]!XLSTAT_PDFWeibull(G306,1)</f>
        <v>0.29449779371893936</v>
      </c>
      <c r="I306">
        <v>306</v>
      </c>
      <c r="K306">
        <f t="shared" si="30"/>
        <v>1.2224837675350626</v>
      </c>
      <c r="L306">
        <f>[1]!XLSTAT_PDFWeibull(K306,1,1)</f>
        <v>0.29449779371893936</v>
      </c>
      <c r="M306">
        <v>306</v>
      </c>
      <c r="O306">
        <f t="shared" si="31"/>
        <v>1.2224837675350626</v>
      </c>
      <c r="P306">
        <f>[1]!XLSTAT_PDFWeibull(O306,5,1)</f>
        <v>0.7280717163977477</v>
      </c>
      <c r="Q306">
        <v>306</v>
      </c>
      <c r="S306">
        <f t="shared" si="32"/>
        <v>1.2224837675350626</v>
      </c>
      <c r="T306">
        <f>[1]!XLSTAT_PDFWeibull(S306,10,1)</f>
        <v>3.528958641063365E-2</v>
      </c>
      <c r="U306">
        <v>306</v>
      </c>
      <c r="W306">
        <f t="shared" si="33"/>
        <v>1.2224837675350626</v>
      </c>
      <c r="X306">
        <f>[1]!XLSTAT_PDFWeibull(W306,10,5)</f>
        <v>6.2443542839998057E-6</v>
      </c>
      <c r="Y306">
        <v>306</v>
      </c>
      <c r="AA306">
        <f t="shared" si="34"/>
        <v>1.2224837675350626</v>
      </c>
      <c r="AB306">
        <f>[1]!XLSTAT_PDFWeibull(AA306,10,5)</f>
        <v>6.2443542839998057E-6</v>
      </c>
    </row>
    <row r="307" spans="1:28" x14ac:dyDescent="0.3">
      <c r="A307">
        <v>307</v>
      </c>
      <c r="C307">
        <f t="shared" si="28"/>
        <v>0.90581162324648901</v>
      </c>
      <c r="D307">
        <f>[1]!XLSTAT_PDFNormal(C307,0,1)</f>
        <v>0.26469266477234493</v>
      </c>
      <c r="E307">
        <v>307</v>
      </c>
      <c r="G307">
        <f t="shared" si="29"/>
        <v>1.226491583166325</v>
      </c>
      <c r="H307">
        <f>[1]!XLSTAT_PDFWeibull(G307,1)</f>
        <v>0.29331986289939338</v>
      </c>
      <c r="I307">
        <v>307</v>
      </c>
      <c r="K307">
        <f t="shared" si="30"/>
        <v>1.226491583166325</v>
      </c>
      <c r="L307">
        <f>[1]!XLSTAT_PDFWeibull(K307,1,1)</f>
        <v>0.29331986289939338</v>
      </c>
      <c r="M307">
        <v>307</v>
      </c>
      <c r="O307">
        <f t="shared" si="31"/>
        <v>1.226491583166325</v>
      </c>
      <c r="P307">
        <f>[1]!XLSTAT_PDFWeibull(O307,5,1)</f>
        <v>0.70517181453672206</v>
      </c>
      <c r="Q307">
        <v>307</v>
      </c>
      <c r="S307">
        <f t="shared" si="32"/>
        <v>1.226491583166325</v>
      </c>
      <c r="T307">
        <f>[1]!XLSTAT_PDFWeibull(S307,10,1)</f>
        <v>2.8360896238990921E-2</v>
      </c>
      <c r="U307">
        <v>307</v>
      </c>
      <c r="W307">
        <f t="shared" si="33"/>
        <v>1.226491583166325</v>
      </c>
      <c r="X307">
        <f>[1]!XLSTAT_PDFWeibull(W307,10,5)</f>
        <v>6.431033380864383E-6</v>
      </c>
      <c r="Y307">
        <v>307</v>
      </c>
      <c r="AA307">
        <f t="shared" si="34"/>
        <v>1.226491583166325</v>
      </c>
      <c r="AB307">
        <f>[1]!XLSTAT_PDFWeibull(AA307,10,5)</f>
        <v>6.431033380864383E-6</v>
      </c>
    </row>
    <row r="308" spans="1:28" x14ac:dyDescent="0.3">
      <c r="A308">
        <v>308</v>
      </c>
      <c r="C308">
        <f t="shared" si="28"/>
        <v>0.92184368737474554</v>
      </c>
      <c r="D308">
        <f>[1]!XLSTAT_PDFNormal(C308,0,1)</f>
        <v>0.26084304174500078</v>
      </c>
      <c r="E308">
        <v>308</v>
      </c>
      <c r="G308">
        <f t="shared" si="29"/>
        <v>1.2304993987975876</v>
      </c>
      <c r="H308">
        <f>[1]!XLSTAT_PDFWeibull(G308,1)</f>
        <v>0.2921466435617166</v>
      </c>
      <c r="I308">
        <v>308</v>
      </c>
      <c r="K308">
        <f t="shared" si="30"/>
        <v>1.2304993987975876</v>
      </c>
      <c r="L308">
        <f>[1]!XLSTAT_PDFWeibull(K308,1,1)</f>
        <v>0.2921466435617166</v>
      </c>
      <c r="M308">
        <v>308</v>
      </c>
      <c r="O308">
        <f t="shared" si="31"/>
        <v>1.2304993987975876</v>
      </c>
      <c r="P308">
        <f>[1]!XLSTAT_PDFWeibull(O308,5,1)</f>
        <v>0.68255832933884608</v>
      </c>
      <c r="Q308">
        <v>308</v>
      </c>
      <c r="S308">
        <f t="shared" si="32"/>
        <v>1.2304993987975876</v>
      </c>
      <c r="T308">
        <f>[1]!XLSTAT_PDFWeibull(S308,10,1)</f>
        <v>2.2622291825086918E-2</v>
      </c>
      <c r="U308">
        <v>308</v>
      </c>
      <c r="W308">
        <f t="shared" si="33"/>
        <v>1.2304993987975876</v>
      </c>
      <c r="X308">
        <f>[1]!XLSTAT_PDFWeibull(W308,10,5)</f>
        <v>6.6226568883547158E-6</v>
      </c>
      <c r="Y308">
        <v>308</v>
      </c>
      <c r="AA308">
        <f t="shared" si="34"/>
        <v>1.2304993987975876</v>
      </c>
      <c r="AB308">
        <f>[1]!XLSTAT_PDFWeibull(AA308,10,5)</f>
        <v>6.6226568883547158E-6</v>
      </c>
    </row>
    <row r="309" spans="1:28" x14ac:dyDescent="0.3">
      <c r="A309">
        <v>309</v>
      </c>
      <c r="C309">
        <f t="shared" si="28"/>
        <v>0.93787575150300206</v>
      </c>
      <c r="D309">
        <f>[1]!XLSTAT_PDFNormal(C309,0,1)</f>
        <v>0.25698334649076521</v>
      </c>
      <c r="E309">
        <v>309</v>
      </c>
      <c r="G309">
        <f t="shared" si="29"/>
        <v>1.23450721442885</v>
      </c>
      <c r="H309">
        <f>[1]!XLSTAT_PDFWeibull(G309,1)</f>
        <v>0.29097811686094721</v>
      </c>
      <c r="I309">
        <v>309</v>
      </c>
      <c r="K309">
        <f t="shared" si="30"/>
        <v>1.23450721442885</v>
      </c>
      <c r="L309">
        <f>[1]!XLSTAT_PDFWeibull(K309,1,1)</f>
        <v>0.29097811686094721</v>
      </c>
      <c r="M309">
        <v>309</v>
      </c>
      <c r="O309">
        <f t="shared" si="31"/>
        <v>1.23450721442885</v>
      </c>
      <c r="P309">
        <f>[1]!XLSTAT_PDFWeibull(O309,5,1)</f>
        <v>0.66024667892982147</v>
      </c>
      <c r="Q309">
        <v>309</v>
      </c>
      <c r="S309">
        <f t="shared" si="32"/>
        <v>1.23450721442885</v>
      </c>
      <c r="T309">
        <f>[1]!XLSTAT_PDFWeibull(S309,10,1)</f>
        <v>1.7906544097284351E-2</v>
      </c>
      <c r="U309">
        <v>309</v>
      </c>
      <c r="W309">
        <f t="shared" si="33"/>
        <v>1.23450721442885</v>
      </c>
      <c r="X309">
        <f>[1]!XLSTAT_PDFWeibull(W309,10,5)</f>
        <v>6.8193390175969317E-6</v>
      </c>
      <c r="Y309">
        <v>309</v>
      </c>
      <c r="AA309">
        <f t="shared" si="34"/>
        <v>1.23450721442885</v>
      </c>
      <c r="AB309">
        <f>[1]!XLSTAT_PDFWeibull(AA309,10,5)</f>
        <v>6.8193390175969317E-6</v>
      </c>
    </row>
    <row r="310" spans="1:28" x14ac:dyDescent="0.3">
      <c r="A310">
        <v>310</v>
      </c>
      <c r="C310">
        <f t="shared" si="28"/>
        <v>0.95390781563125859</v>
      </c>
      <c r="D310">
        <f>[1]!XLSTAT_PDFNormal(C310,0,1)</f>
        <v>0.2531156972084273</v>
      </c>
      <c r="E310">
        <v>310</v>
      </c>
      <c r="G310">
        <f t="shared" si="29"/>
        <v>1.2385150300601127</v>
      </c>
      <c r="H310">
        <f>[1]!XLSTAT_PDFWeibull(G310,1)</f>
        <v>0.28981426402749916</v>
      </c>
      <c r="I310">
        <v>310</v>
      </c>
      <c r="K310">
        <f t="shared" si="30"/>
        <v>1.2385150300601127</v>
      </c>
      <c r="L310">
        <f>[1]!XLSTAT_PDFWeibull(K310,1,1)</f>
        <v>0.28981426402749916</v>
      </c>
      <c r="M310">
        <v>310</v>
      </c>
      <c r="O310">
        <f t="shared" si="31"/>
        <v>1.2385150300601127</v>
      </c>
      <c r="P310">
        <f>[1]!XLSTAT_PDFWeibull(O310,5,1)</f>
        <v>0.63825155329375849</v>
      </c>
      <c r="Q310">
        <v>310</v>
      </c>
      <c r="S310">
        <f t="shared" si="32"/>
        <v>1.2385150300601127</v>
      </c>
      <c r="T310">
        <f>[1]!XLSTAT_PDFWeibull(S310,10,1)</f>
        <v>1.406237826490216E-2</v>
      </c>
      <c r="U310">
        <v>310</v>
      </c>
      <c r="W310">
        <f t="shared" si="33"/>
        <v>1.2385150300601127</v>
      </c>
      <c r="X310">
        <f>[1]!XLSTAT_PDFWeibull(W310,10,5)</f>
        <v>7.0211962335628187E-6</v>
      </c>
      <c r="Y310">
        <v>310</v>
      </c>
      <c r="AA310">
        <f t="shared" si="34"/>
        <v>1.2385150300601127</v>
      </c>
      <c r="AB310">
        <f>[1]!XLSTAT_PDFWeibull(AA310,10,5)</f>
        <v>7.0211962335628187E-6</v>
      </c>
    </row>
    <row r="311" spans="1:28" x14ac:dyDescent="0.3">
      <c r="A311">
        <v>311</v>
      </c>
      <c r="C311">
        <f t="shared" si="28"/>
        <v>0.96993987975951512</v>
      </c>
      <c r="D311">
        <f>[1]!XLSTAT_PDFNormal(C311,0,1)</f>
        <v>0.24924218657403938</v>
      </c>
      <c r="E311">
        <v>311</v>
      </c>
      <c r="G311">
        <f t="shared" si="29"/>
        <v>1.2425228456913751</v>
      </c>
      <c r="H311">
        <f>[1]!XLSTAT_PDFWeibull(G311,1)</f>
        <v>0.28865506636686122</v>
      </c>
      <c r="I311">
        <v>311</v>
      </c>
      <c r="K311">
        <f t="shared" si="30"/>
        <v>1.2425228456913751</v>
      </c>
      <c r="L311">
        <f>[1]!XLSTAT_PDFWeibull(K311,1,1)</f>
        <v>0.28865506636686122</v>
      </c>
      <c r="M311">
        <v>311</v>
      </c>
      <c r="O311">
        <f t="shared" si="31"/>
        <v>1.2425228456913751</v>
      </c>
      <c r="P311">
        <f>[1]!XLSTAT_PDFWeibull(O311,5,1)</f>
        <v>0.616586894210157</v>
      </c>
      <c r="Q311">
        <v>311</v>
      </c>
      <c r="S311">
        <f t="shared" si="32"/>
        <v>1.2425228456913751</v>
      </c>
      <c r="T311">
        <f>[1]!XLSTAT_PDFWeibull(S311,10,1)</f>
        <v>1.0954407518280255E-2</v>
      </c>
      <c r="U311">
        <v>311</v>
      </c>
      <c r="W311">
        <f t="shared" si="33"/>
        <v>1.2425228456913751</v>
      </c>
      <c r="X311">
        <f>[1]!XLSTAT_PDFWeibull(W311,10,5)</f>
        <v>7.2283472920118914E-6</v>
      </c>
      <c r="Y311">
        <v>311</v>
      </c>
      <c r="AA311">
        <f t="shared" si="34"/>
        <v>1.2425228456913751</v>
      </c>
      <c r="AB311">
        <f>[1]!XLSTAT_PDFWeibull(AA311,10,5)</f>
        <v>7.2283472920118914E-6</v>
      </c>
    </row>
    <row r="312" spans="1:28" x14ac:dyDescent="0.3">
      <c r="A312">
        <v>312</v>
      </c>
      <c r="C312">
        <f t="shared" si="28"/>
        <v>0.98597194388777165</v>
      </c>
      <c r="D312">
        <f>[1]!XLSTAT_PDFNormal(C312,0,1)</f>
        <v>0.24536487999014975</v>
      </c>
      <c r="E312">
        <v>312</v>
      </c>
      <c r="G312">
        <f t="shared" si="29"/>
        <v>1.2465306613226375</v>
      </c>
      <c r="H312">
        <f>[1]!XLSTAT_PDFWeibull(G312,1)</f>
        <v>0.28750050525929616</v>
      </c>
      <c r="I312">
        <v>312</v>
      </c>
      <c r="K312">
        <f t="shared" si="30"/>
        <v>1.2465306613226375</v>
      </c>
      <c r="L312">
        <f>[1]!XLSTAT_PDFWeibull(K312,1,1)</f>
        <v>0.28750050525929616</v>
      </c>
      <c r="M312">
        <v>312</v>
      </c>
      <c r="O312">
        <f t="shared" si="31"/>
        <v>1.2465306613226375</v>
      </c>
      <c r="P312">
        <f>[1]!XLSTAT_PDFWeibull(O312,5,1)</f>
        <v>0.59526587732315484</v>
      </c>
      <c r="Q312">
        <v>312</v>
      </c>
      <c r="S312">
        <f t="shared" si="32"/>
        <v>1.2465306613226375</v>
      </c>
      <c r="T312">
        <f>[1]!XLSTAT_PDFWeibull(S312,10,1)</f>
        <v>8.4627474872655834E-3</v>
      </c>
      <c r="U312">
        <v>312</v>
      </c>
      <c r="W312">
        <f t="shared" si="33"/>
        <v>1.2465306613226375</v>
      </c>
      <c r="X312">
        <f>[1]!XLSTAT_PDFWeibull(W312,10,5)</f>
        <v>7.4409132769162682E-6</v>
      </c>
      <c r="Y312">
        <v>312</v>
      </c>
      <c r="AA312">
        <f t="shared" si="34"/>
        <v>1.2465306613226375</v>
      </c>
      <c r="AB312">
        <f>[1]!XLSTAT_PDFWeibull(AA312,10,5)</f>
        <v>7.4409132769162682E-6</v>
      </c>
    </row>
    <row r="313" spans="1:28" x14ac:dyDescent="0.3">
      <c r="A313">
        <v>313</v>
      </c>
      <c r="C313">
        <f t="shared" si="28"/>
        <v>1.0020040080160282</v>
      </c>
      <c r="D313">
        <f>[1]!XLSTAT_PDFNormal(C313,0,1)</f>
        <v>0.24148581389637958</v>
      </c>
      <c r="E313">
        <v>313</v>
      </c>
      <c r="G313">
        <f t="shared" si="29"/>
        <v>1.2505384769539001</v>
      </c>
      <c r="H313">
        <f>[1]!XLSTAT_PDFWeibull(G313,1)</f>
        <v>0.28635056215954174</v>
      </c>
      <c r="I313">
        <v>313</v>
      </c>
      <c r="K313">
        <f t="shared" si="30"/>
        <v>1.2505384769539001</v>
      </c>
      <c r="L313">
        <f>[1]!XLSTAT_PDFWeibull(K313,1,1)</f>
        <v>0.28635056215954174</v>
      </c>
      <c r="M313">
        <v>313</v>
      </c>
      <c r="O313">
        <f t="shared" si="31"/>
        <v>1.2505384769539001</v>
      </c>
      <c r="P313">
        <f>[1]!XLSTAT_PDFWeibull(O313,5,1)</f>
        <v>0.57430089639196891</v>
      </c>
      <c r="Q313">
        <v>313</v>
      </c>
      <c r="S313">
        <f t="shared" si="32"/>
        <v>1.2505384769539001</v>
      </c>
      <c r="T313">
        <f>[1]!XLSTAT_PDFWeibull(S313,10,1)</f>
        <v>6.4823640436345066E-3</v>
      </c>
      <c r="U313">
        <v>313</v>
      </c>
      <c r="W313">
        <f t="shared" si="33"/>
        <v>1.2505384769539001</v>
      </c>
      <c r="X313">
        <f>[1]!XLSTAT_PDFWeibull(W313,10,5)</f>
        <v>7.6590176383728509E-6</v>
      </c>
      <c r="Y313">
        <v>313</v>
      </c>
      <c r="AA313">
        <f t="shared" si="34"/>
        <v>1.2505384769539001</v>
      </c>
      <c r="AB313">
        <f>[1]!XLSTAT_PDFWeibull(AA313,10,5)</f>
        <v>7.6590176383728509E-6</v>
      </c>
    </row>
    <row r="314" spans="1:28" x14ac:dyDescent="0.3">
      <c r="A314">
        <v>314</v>
      </c>
      <c r="C314">
        <f t="shared" si="28"/>
        <v>1.0180360721442847</v>
      </c>
      <c r="D314">
        <f>[1]!XLSTAT_PDFNormal(C314,0,1)</f>
        <v>0.23760699414298908</v>
      </c>
      <c r="E314">
        <v>314</v>
      </c>
      <c r="G314">
        <f t="shared" si="29"/>
        <v>1.2545462925851625</v>
      </c>
      <c r="H314">
        <f>[1]!XLSTAT_PDFWeibull(G314,1)</f>
        <v>0.28520521859651338</v>
      </c>
      <c r="I314">
        <v>314</v>
      </c>
      <c r="K314">
        <f t="shared" si="30"/>
        <v>1.2545462925851625</v>
      </c>
      <c r="L314">
        <f>[1]!XLSTAT_PDFWeibull(K314,1,1)</f>
        <v>0.28520521859651338</v>
      </c>
      <c r="M314">
        <v>314</v>
      </c>
      <c r="O314">
        <f t="shared" si="31"/>
        <v>1.2545462925851625</v>
      </c>
      <c r="P314">
        <f>[1]!XLSTAT_PDFWeibull(O314,5,1)</f>
        <v>0.55370354976300939</v>
      </c>
      <c r="Q314">
        <v>314</v>
      </c>
      <c r="S314">
        <f t="shared" si="32"/>
        <v>1.2545462925851625</v>
      </c>
      <c r="T314">
        <f>[1]!XLSTAT_PDFWeibull(S314,10,1)</f>
        <v>4.9222089800189809E-3</v>
      </c>
      <c r="U314">
        <v>314</v>
      </c>
      <c r="W314">
        <f t="shared" si="33"/>
        <v>1.2545462925851625</v>
      </c>
      <c r="X314">
        <f>[1]!XLSTAT_PDFWeibull(W314,10,5)</f>
        <v>7.8827862310078502E-6</v>
      </c>
      <c r="Y314">
        <v>314</v>
      </c>
      <c r="AA314">
        <f t="shared" si="34"/>
        <v>1.2545462925851625</v>
      </c>
      <c r="AB314">
        <f>[1]!XLSTAT_PDFWeibull(AA314,10,5)</f>
        <v>7.8827862310078502E-6</v>
      </c>
    </row>
    <row r="315" spans="1:28" x14ac:dyDescent="0.3">
      <c r="A315">
        <v>315</v>
      </c>
      <c r="C315">
        <f t="shared" si="28"/>
        <v>1.0340681362725412</v>
      </c>
      <c r="D315">
        <f>[1]!XLSTAT_PDFNormal(C315,0,1)</f>
        <v>0.23373039442894117</v>
      </c>
      <c r="E315">
        <v>315</v>
      </c>
      <c r="G315">
        <f t="shared" si="29"/>
        <v>1.2585541082164251</v>
      </c>
      <c r="H315">
        <f>[1]!XLSTAT_PDFWeibull(G315,1)</f>
        <v>0.28406445617300669</v>
      </c>
      <c r="I315">
        <v>315</v>
      </c>
      <c r="K315">
        <f t="shared" si="30"/>
        <v>1.2585541082164251</v>
      </c>
      <c r="L315">
        <f>[1]!XLSTAT_PDFWeibull(K315,1,1)</f>
        <v>0.28406445617300669</v>
      </c>
      <c r="M315">
        <v>315</v>
      </c>
      <c r="O315">
        <f t="shared" si="31"/>
        <v>1.2585541082164251</v>
      </c>
      <c r="P315">
        <f>[1]!XLSTAT_PDFWeibull(O315,5,1)</f>
        <v>0.53348462909545702</v>
      </c>
      <c r="Q315">
        <v>315</v>
      </c>
      <c r="S315">
        <f t="shared" si="32"/>
        <v>1.2585541082164251</v>
      </c>
      <c r="T315">
        <f>[1]!XLSTAT_PDFWeibull(S315,10,1)</f>
        <v>3.7041977727281282E-3</v>
      </c>
      <c r="U315">
        <v>315</v>
      </c>
      <c r="W315">
        <f t="shared" si="33"/>
        <v>1.2585541082164251</v>
      </c>
      <c r="X315">
        <f>[1]!XLSTAT_PDFWeibull(W315,10,5)</f>
        <v>8.11234735287838E-6</v>
      </c>
      <c r="Y315">
        <v>315</v>
      </c>
      <c r="AA315">
        <f t="shared" si="34"/>
        <v>1.2585541082164251</v>
      </c>
      <c r="AB315">
        <f>[1]!XLSTAT_PDFWeibull(AA315,10,5)</f>
        <v>8.11234735287838E-6</v>
      </c>
    </row>
    <row r="316" spans="1:28" x14ac:dyDescent="0.3">
      <c r="A316">
        <v>316</v>
      </c>
      <c r="C316">
        <f t="shared" si="28"/>
        <v>1.0501002004007978</v>
      </c>
      <c r="D316">
        <f>[1]!XLSTAT_PDFNormal(C316,0,1)</f>
        <v>0.22985795480583265</v>
      </c>
      <c r="E316">
        <v>316</v>
      </c>
      <c r="G316">
        <f t="shared" si="29"/>
        <v>1.2625619238476875</v>
      </c>
      <c r="H316">
        <f>[1]!XLSTAT_PDFWeibull(G316,1)</f>
        <v>0.28292825656540249</v>
      </c>
      <c r="I316">
        <v>316</v>
      </c>
      <c r="K316">
        <f t="shared" si="30"/>
        <v>1.2625619238476875</v>
      </c>
      <c r="L316">
        <f>[1]!XLSTAT_PDFWeibull(K316,1,1)</f>
        <v>0.28292825656540249</v>
      </c>
      <c r="M316">
        <v>316</v>
      </c>
      <c r="O316">
        <f t="shared" si="31"/>
        <v>1.2625619238476875</v>
      </c>
      <c r="P316">
        <f>[1]!XLSTAT_PDFWeibull(O316,5,1)</f>
        <v>0.51365411036331809</v>
      </c>
      <c r="Q316">
        <v>316</v>
      </c>
      <c r="S316">
        <f t="shared" si="32"/>
        <v>1.2625619238476875</v>
      </c>
      <c r="T316">
        <f>[1]!XLSTAT_PDFWeibull(S316,10,1)</f>
        <v>2.7620812878089308E-3</v>
      </c>
      <c r="U316">
        <v>316</v>
      </c>
      <c r="W316">
        <f t="shared" si="33"/>
        <v>1.2625619238476875</v>
      </c>
      <c r="X316">
        <f>[1]!XLSTAT_PDFWeibull(W316,10,5)</f>
        <v>8.3478317848755229E-6</v>
      </c>
      <c r="Y316">
        <v>316</v>
      </c>
      <c r="AA316">
        <f t="shared" si="34"/>
        <v>1.2625619238476875</v>
      </c>
      <c r="AB316">
        <f>[1]!XLSTAT_PDFWeibull(AA316,10,5)</f>
        <v>8.3478317848755229E-6</v>
      </c>
    </row>
    <row r="317" spans="1:28" x14ac:dyDescent="0.3">
      <c r="A317">
        <v>317</v>
      </c>
      <c r="C317">
        <f t="shared" si="28"/>
        <v>1.0661322645290543</v>
      </c>
      <c r="D317">
        <f>[1]!XLSTAT_PDFNormal(C317,0,1)</f>
        <v>0.22599158024892241</v>
      </c>
      <c r="E317">
        <v>317</v>
      </c>
      <c r="G317">
        <f t="shared" si="29"/>
        <v>1.2665697394789501</v>
      </c>
      <c r="H317">
        <f>[1]!XLSTAT_PDFWeibull(G317,1)</f>
        <v>0.28179660152337227</v>
      </c>
      <c r="I317">
        <v>317</v>
      </c>
      <c r="K317">
        <f t="shared" si="30"/>
        <v>1.2665697394789501</v>
      </c>
      <c r="L317">
        <f>[1]!XLSTAT_PDFWeibull(K317,1,1)</f>
        <v>0.28179660152337227</v>
      </c>
      <c r="M317">
        <v>317</v>
      </c>
      <c r="O317">
        <f t="shared" si="31"/>
        <v>1.2665697394789501</v>
      </c>
      <c r="P317">
        <f>[1]!XLSTAT_PDFWeibull(O317,5,1)</f>
        <v>0.49422114714791654</v>
      </c>
      <c r="Q317">
        <v>317</v>
      </c>
      <c r="S317">
        <f t="shared" si="32"/>
        <v>1.2665697394789501</v>
      </c>
      <c r="T317">
        <f>[1]!XLSTAT_PDFWeibull(S317,10,1)</f>
        <v>2.0402592473777537E-3</v>
      </c>
      <c r="U317">
        <v>317</v>
      </c>
      <c r="W317">
        <f t="shared" si="33"/>
        <v>1.2665697394789501</v>
      </c>
      <c r="X317">
        <f>[1]!XLSTAT_PDFWeibull(W317,10,5)</f>
        <v>8.5893728306344465E-6</v>
      </c>
      <c r="Y317">
        <v>317</v>
      </c>
      <c r="AA317">
        <f t="shared" si="34"/>
        <v>1.2665697394789501</v>
      </c>
      <c r="AB317">
        <f>[1]!XLSTAT_PDFWeibull(AA317,10,5)</f>
        <v>8.5893728306344465E-6</v>
      </c>
    </row>
    <row r="318" spans="1:28" x14ac:dyDescent="0.3">
      <c r="A318">
        <v>318</v>
      </c>
      <c r="C318">
        <f t="shared" si="28"/>
        <v>1.0821643286573108</v>
      </c>
      <c r="D318">
        <f>[1]!XLSTAT_PDFNormal(C318,0,1)</f>
        <v>0.22213313929634773</v>
      </c>
      <c r="E318">
        <v>318</v>
      </c>
      <c r="G318">
        <f t="shared" si="29"/>
        <v>1.2705775551102125</v>
      </c>
      <c r="H318">
        <f>[1]!XLSTAT_PDFWeibull(G318,1)</f>
        <v>0.28066947286958516</v>
      </c>
      <c r="I318">
        <v>318</v>
      </c>
      <c r="K318">
        <f t="shared" si="30"/>
        <v>1.2705775551102125</v>
      </c>
      <c r="L318">
        <f>[1]!XLSTAT_PDFWeibull(K318,1,1)</f>
        <v>0.28066947286958516</v>
      </c>
      <c r="M318">
        <v>318</v>
      </c>
      <c r="O318">
        <f t="shared" si="31"/>
        <v>1.2705775551102125</v>
      </c>
      <c r="P318">
        <f>[1]!XLSTAT_PDFWeibull(O318,5,1)</f>
        <v>0.47519406622579052</v>
      </c>
      <c r="Q318">
        <v>318</v>
      </c>
      <c r="S318">
        <f t="shared" si="32"/>
        <v>1.2705775551102125</v>
      </c>
      <c r="T318">
        <f>[1]!XLSTAT_PDFWeibull(S318,10,1)</f>
        <v>1.4925779188816163E-3</v>
      </c>
      <c r="U318">
        <v>318</v>
      </c>
      <c r="W318">
        <f t="shared" si="33"/>
        <v>1.2705775551102125</v>
      </c>
      <c r="X318">
        <f>[1]!XLSTAT_PDFWeibull(W318,10,5)</f>
        <v>8.8371063569555474E-6</v>
      </c>
      <c r="Y318">
        <v>318</v>
      </c>
      <c r="AA318">
        <f t="shared" si="34"/>
        <v>1.2705775551102125</v>
      </c>
      <c r="AB318">
        <f>[1]!XLSTAT_PDFWeibull(AA318,10,5)</f>
        <v>8.8371063569555474E-6</v>
      </c>
    </row>
    <row r="319" spans="1:28" x14ac:dyDescent="0.3">
      <c r="A319">
        <v>319</v>
      </c>
      <c r="C319">
        <f t="shared" si="28"/>
        <v>1.0981963927855674</v>
      </c>
      <c r="D319">
        <f>[1]!XLSTAT_PDFNormal(C319,0,1)</f>
        <v>0.21828446275747909</v>
      </c>
      <c r="E319">
        <v>319</v>
      </c>
      <c r="G319">
        <f t="shared" si="29"/>
        <v>1.2745853707414752</v>
      </c>
      <c r="H319">
        <f>[1]!XLSTAT_PDFWeibull(G319,1)</f>
        <v>0.2795468524994158</v>
      </c>
      <c r="I319">
        <v>319</v>
      </c>
      <c r="K319">
        <f t="shared" si="30"/>
        <v>1.2745853707414752</v>
      </c>
      <c r="L319">
        <f>[1]!XLSTAT_PDFWeibull(K319,1,1)</f>
        <v>0.2795468524994158</v>
      </c>
      <c r="M319">
        <v>319</v>
      </c>
      <c r="O319">
        <f t="shared" si="31"/>
        <v>1.2745853707414752</v>
      </c>
      <c r="P319">
        <f>[1]!XLSTAT_PDFWeibull(O319,5,1)</f>
        <v>0.45658036544777647</v>
      </c>
      <c r="Q319">
        <v>319</v>
      </c>
      <c r="S319">
        <f t="shared" si="32"/>
        <v>1.2745853707414752</v>
      </c>
      <c r="T319">
        <f>[1]!XLSTAT_PDFWeibull(S319,10,1)</f>
        <v>1.0811482320230927E-3</v>
      </c>
      <c r="U319">
        <v>319</v>
      </c>
      <c r="W319">
        <f t="shared" si="33"/>
        <v>1.2745853707414752</v>
      </c>
      <c r="X319">
        <f>[1]!XLSTAT_PDFWeibull(W319,10,5)</f>
        <v>9.091170834742389E-6</v>
      </c>
      <c r="Y319">
        <v>319</v>
      </c>
      <c r="AA319">
        <f t="shared" si="34"/>
        <v>1.2745853707414752</v>
      </c>
      <c r="AB319">
        <f>[1]!XLSTAT_PDFWeibull(AA319,10,5)</f>
        <v>9.091170834742389E-6</v>
      </c>
    </row>
    <row r="320" spans="1:28" x14ac:dyDescent="0.3">
      <c r="A320">
        <v>320</v>
      </c>
      <c r="C320">
        <f t="shared" si="28"/>
        <v>1.1142284569138239</v>
      </c>
      <c r="D320">
        <f>[1]!XLSTAT_PDFNormal(C320,0,1)</f>
        <v>0.21444734249122568</v>
      </c>
      <c r="E320">
        <v>320</v>
      </c>
      <c r="G320">
        <f t="shared" si="29"/>
        <v>1.2785931863727376</v>
      </c>
      <c r="H320">
        <f>[1]!XLSTAT_PDFWeibull(G320,1)</f>
        <v>0.27842872238065369</v>
      </c>
      <c r="I320">
        <v>320</v>
      </c>
      <c r="K320">
        <f t="shared" si="30"/>
        <v>1.2785931863727376</v>
      </c>
      <c r="L320">
        <f>[1]!XLSTAT_PDFWeibull(K320,1,1)</f>
        <v>0.27842872238065369</v>
      </c>
      <c r="M320">
        <v>320</v>
      </c>
      <c r="O320">
        <f t="shared" si="31"/>
        <v>1.2785931863727376</v>
      </c>
      <c r="P320">
        <f>[1]!XLSTAT_PDFWeibull(O320,5,1)</f>
        <v>0.4383867138960349</v>
      </c>
      <c r="Q320">
        <v>320</v>
      </c>
      <c r="S320">
        <f t="shared" si="32"/>
        <v>1.2785931863727376</v>
      </c>
      <c r="T320">
        <f>[1]!XLSTAT_PDFWeibull(S320,10,1)</f>
        <v>7.7521377475439309E-4</v>
      </c>
      <c r="U320">
        <v>320</v>
      </c>
      <c r="W320">
        <f t="shared" si="33"/>
        <v>1.2785931863727376</v>
      </c>
      <c r="X320">
        <f>[1]!XLSTAT_PDFWeibull(W320,10,5)</f>
        <v>9.3517073804607773E-6</v>
      </c>
      <c r="Y320">
        <v>320</v>
      </c>
      <c r="AA320">
        <f t="shared" si="34"/>
        <v>1.2785931863727376</v>
      </c>
      <c r="AB320">
        <f>[1]!XLSTAT_PDFWeibull(AA320,10,5)</f>
        <v>9.3517073804607773E-6</v>
      </c>
    </row>
    <row r="321" spans="1:28" x14ac:dyDescent="0.3">
      <c r="A321">
        <v>321</v>
      </c>
      <c r="C321">
        <f t="shared" ref="C321:C384" si="35">-4+(A321-1)*0.0160320641282565</f>
        <v>1.1302605210420804</v>
      </c>
      <c r="D321">
        <f>[1]!XLSTAT_PDFNormal(C321,0,1)</f>
        <v>0.21062353025496444</v>
      </c>
      <c r="E321">
        <v>321</v>
      </c>
      <c r="G321">
        <f t="shared" ref="G321:G384" si="36">0.0001+(E321-1)*0.0040078156312625</f>
        <v>1.282601002004</v>
      </c>
      <c r="H321">
        <f>[1]!XLSTAT_PDFWeibull(G321,1)</f>
        <v>0.27731506455321342</v>
      </c>
      <c r="I321">
        <v>321</v>
      </c>
      <c r="K321">
        <f t="shared" ref="K321:K384" si="37">0.0001+(I321-1)*0.0040078156312625</f>
        <v>1.282601002004</v>
      </c>
      <c r="L321">
        <f>[1]!XLSTAT_PDFWeibull(K321,1,1)</f>
        <v>0.27731506455321342</v>
      </c>
      <c r="M321">
        <v>321</v>
      </c>
      <c r="O321">
        <f t="shared" ref="O321:O384" si="38">0.0001+(M321-1)*0.0040078156312625</f>
        <v>1.282601002004</v>
      </c>
      <c r="P321">
        <f>[1]!XLSTAT_PDFWeibull(O321,5,1)</f>
        <v>0.42061895429665214</v>
      </c>
      <c r="Q321">
        <v>321</v>
      </c>
      <c r="S321">
        <f t="shared" ref="S321:S384" si="39">0.0001+(Q321-1)*0.0040078156312625</f>
        <v>1.282601002004</v>
      </c>
      <c r="T321">
        <f>[1]!XLSTAT_PDFWeibull(S321,10,1)</f>
        <v>5.5009125445739195E-4</v>
      </c>
      <c r="U321">
        <v>321</v>
      </c>
      <c r="W321">
        <f t="shared" ref="W321:W384" si="40">0.0001+(U321-1)*0.0040078156312625</f>
        <v>1.282601002004</v>
      </c>
      <c r="X321">
        <f>[1]!XLSTAT_PDFWeibull(W321,10,5)</f>
        <v>9.618859798123984E-6</v>
      </c>
      <c r="Y321">
        <v>321</v>
      </c>
      <c r="AA321">
        <f t="shared" ref="AA321:AA384" si="41">0.0001+(Y321-1)*0.0040078156312625</f>
        <v>1.282601002004</v>
      </c>
      <c r="AB321">
        <f>[1]!XLSTAT_PDFWeibull(AA321,10,5)</f>
        <v>9.618859798123984E-6</v>
      </c>
    </row>
    <row r="322" spans="1:28" x14ac:dyDescent="0.3">
      <c r="A322">
        <v>322</v>
      </c>
      <c r="C322">
        <f t="shared" si="35"/>
        <v>1.1462925851703369</v>
      </c>
      <c r="D322">
        <f>[1]!XLSTAT_PDFNormal(C322,0,1)</f>
        <v>0.20681473662462926</v>
      </c>
      <c r="E322">
        <v>322</v>
      </c>
      <c r="G322">
        <f t="shared" si="36"/>
        <v>1.2866088176352626</v>
      </c>
      <c r="H322">
        <f>[1]!XLSTAT_PDFWeibull(G322,1)</f>
        <v>0.27620586112884621</v>
      </c>
      <c r="I322">
        <v>322</v>
      </c>
      <c r="K322">
        <f t="shared" si="37"/>
        <v>1.2866088176352626</v>
      </c>
      <c r="L322">
        <f>[1]!XLSTAT_PDFWeibull(K322,1,1)</f>
        <v>0.27620586112884621</v>
      </c>
      <c r="M322">
        <v>322</v>
      </c>
      <c r="O322">
        <f t="shared" si="38"/>
        <v>1.2866088176352626</v>
      </c>
      <c r="P322">
        <f>[1]!XLSTAT_PDFWeibull(O322,5,1)</f>
        <v>0.40328210765656669</v>
      </c>
      <c r="Q322">
        <v>322</v>
      </c>
      <c r="S322">
        <f t="shared" si="39"/>
        <v>1.2866088176352626</v>
      </c>
      <c r="T322">
        <f>[1]!XLSTAT_PDFWeibull(S322,10,1)</f>
        <v>3.8619937173130838E-4</v>
      </c>
      <c r="U322">
        <v>322</v>
      </c>
      <c r="W322">
        <f t="shared" si="40"/>
        <v>1.2866088176352626</v>
      </c>
      <c r="X322">
        <f>[1]!XLSTAT_PDFWeibull(W322,10,5)</f>
        <v>9.8927746218095193E-6</v>
      </c>
      <c r="Y322">
        <v>322</v>
      </c>
      <c r="AA322">
        <f t="shared" si="41"/>
        <v>1.2866088176352626</v>
      </c>
      <c r="AB322">
        <f>[1]!XLSTAT_PDFWeibull(AA322,10,5)</f>
        <v>9.8927746218095193E-6</v>
      </c>
    </row>
    <row r="323" spans="1:28" x14ac:dyDescent="0.3">
      <c r="A323">
        <v>323</v>
      </c>
      <c r="C323">
        <f t="shared" si="35"/>
        <v>1.1623246492985935</v>
      </c>
      <c r="D323">
        <f>[1]!XLSTAT_PDFNormal(C323,0,1)</f>
        <v>0.20302262998635842</v>
      </c>
      <c r="E323">
        <v>323</v>
      </c>
      <c r="G323">
        <f t="shared" si="36"/>
        <v>1.290616633266525</v>
      </c>
      <c r="H323">
        <f>[1]!XLSTAT_PDFWeibull(G323,1)</f>
        <v>0.27510109429085283</v>
      </c>
      <c r="I323">
        <v>323</v>
      </c>
      <c r="K323">
        <f t="shared" si="37"/>
        <v>1.290616633266525</v>
      </c>
      <c r="L323">
        <f>[1]!XLSTAT_PDFWeibull(K323,1,1)</f>
        <v>0.27510109429085283</v>
      </c>
      <c r="M323">
        <v>323</v>
      </c>
      <c r="O323">
        <f t="shared" si="38"/>
        <v>1.290616633266525</v>
      </c>
      <c r="P323">
        <f>[1]!XLSTAT_PDFWeibull(O323,5,1)</f>
        <v>0.38638038008474629</v>
      </c>
      <c r="Q323">
        <v>323</v>
      </c>
      <c r="S323">
        <f t="shared" si="39"/>
        <v>1.290616633266525</v>
      </c>
      <c r="T323">
        <f>[1]!XLSTAT_PDFWeibull(S323,10,1)</f>
        <v>2.6818592071468282E-4</v>
      </c>
      <c r="U323">
        <v>323</v>
      </c>
      <c r="W323">
        <f t="shared" si="40"/>
        <v>1.290616633266525</v>
      </c>
      <c r="X323">
        <f>[1]!XLSTAT_PDFWeibull(W323,10,5)</f>
        <v>1.0173601158711946E-5</v>
      </c>
      <c r="Y323">
        <v>323</v>
      </c>
      <c r="AA323">
        <f t="shared" si="41"/>
        <v>1.290616633266525</v>
      </c>
      <c r="AB323">
        <f>[1]!XLSTAT_PDFWeibull(AA323,10,5)</f>
        <v>1.0173601158711946E-5</v>
      </c>
    </row>
    <row r="324" spans="1:28" x14ac:dyDescent="0.3">
      <c r="A324">
        <v>324</v>
      </c>
      <c r="C324">
        <f t="shared" si="35"/>
        <v>1.17835671342685</v>
      </c>
      <c r="D324">
        <f>[1]!XLSTAT_PDFNormal(C324,0,1)</f>
        <v>0.19924883559996653</v>
      </c>
      <c r="E324">
        <v>324</v>
      </c>
      <c r="G324">
        <f t="shared" si="36"/>
        <v>1.2946244488977876</v>
      </c>
      <c r="H324">
        <f>[1]!XLSTAT_PDFWeibull(G324,1)</f>
        <v>0.27400074629379684</v>
      </c>
      <c r="I324">
        <v>324</v>
      </c>
      <c r="K324">
        <f t="shared" si="37"/>
        <v>1.2946244488977876</v>
      </c>
      <c r="L324">
        <f>[1]!XLSTAT_PDFWeibull(K324,1,1)</f>
        <v>0.27400074629379684</v>
      </c>
      <c r="M324">
        <v>324</v>
      </c>
      <c r="O324">
        <f t="shared" si="38"/>
        <v>1.2946244488977876</v>
      </c>
      <c r="P324">
        <f>[1]!XLSTAT_PDFWeibull(O324,5,1)</f>
        <v>0.36991717174894784</v>
      </c>
      <c r="Q324">
        <v>324</v>
      </c>
      <c r="S324">
        <f t="shared" si="39"/>
        <v>1.2946244488977876</v>
      </c>
      <c r="T324">
        <f>[1]!XLSTAT_PDFWeibull(S324,10,1)</f>
        <v>1.8415751107757043E-4</v>
      </c>
      <c r="U324">
        <v>324</v>
      </c>
      <c r="W324">
        <f t="shared" si="40"/>
        <v>1.2946244488977876</v>
      </c>
      <c r="X324">
        <f>[1]!XLSTAT_PDFWeibull(W324,10,5)</f>
        <v>1.0461491532737154E-5</v>
      </c>
      <c r="Y324">
        <v>324</v>
      </c>
      <c r="AA324">
        <f t="shared" si="41"/>
        <v>1.2946244488977876</v>
      </c>
      <c r="AB324">
        <f>[1]!XLSTAT_PDFWeibull(AA324,10,5)</f>
        <v>1.0461491532737154E-5</v>
      </c>
    </row>
    <row r="325" spans="1:28" x14ac:dyDescent="0.3">
      <c r="A325">
        <v>325</v>
      </c>
      <c r="C325">
        <f t="shared" si="35"/>
        <v>1.1943887775551065</v>
      </c>
      <c r="D325">
        <f>[1]!XLSTAT_PDFNormal(C325,0,1)</f>
        <v>0.19549493473437282</v>
      </c>
      <c r="E325">
        <v>325</v>
      </c>
      <c r="G325">
        <f t="shared" si="36"/>
        <v>1.29863226452905</v>
      </c>
      <c r="H325">
        <f>[1]!XLSTAT_PDFWeibull(G325,1)</f>
        <v>0.27290479946322027</v>
      </c>
      <c r="I325">
        <v>325</v>
      </c>
      <c r="K325">
        <f t="shared" si="37"/>
        <v>1.29863226452905</v>
      </c>
      <c r="L325">
        <f>[1]!XLSTAT_PDFWeibull(K325,1,1)</f>
        <v>0.27290479946322027</v>
      </c>
      <c r="M325">
        <v>325</v>
      </c>
      <c r="O325">
        <f t="shared" si="38"/>
        <v>1.29863226452905</v>
      </c>
      <c r="P325">
        <f>[1]!XLSTAT_PDFWeibull(O325,5,1)</f>
        <v>0.35389508791108959</v>
      </c>
      <c r="Q325">
        <v>325</v>
      </c>
      <c r="S325">
        <f t="shared" si="39"/>
        <v>1.29863226452905</v>
      </c>
      <c r="T325">
        <f>[1]!XLSTAT_PDFWeibull(S325,10,1)</f>
        <v>1.2501173985860503E-4</v>
      </c>
      <c r="U325">
        <v>325</v>
      </c>
      <c r="W325">
        <f t="shared" si="40"/>
        <v>1.29863226452905</v>
      </c>
      <c r="X325">
        <f>[1]!XLSTAT_PDFWeibull(W325,10,5)</f>
        <v>1.0756600728642894E-5</v>
      </c>
      <c r="Y325">
        <v>325</v>
      </c>
      <c r="AA325">
        <f t="shared" si="41"/>
        <v>1.29863226452905</v>
      </c>
      <c r="AB325">
        <f>[1]!XLSTAT_PDFWeibull(AA325,10,5)</f>
        <v>1.0756600728642894E-5</v>
      </c>
    </row>
    <row r="326" spans="1:28" x14ac:dyDescent="0.3">
      <c r="A326">
        <v>326</v>
      </c>
      <c r="C326">
        <f t="shared" si="35"/>
        <v>1.2104208416833631</v>
      </c>
      <c r="D326">
        <f>[1]!XLSTAT_PDFNormal(C326,0,1)</f>
        <v>0.19176246387498633</v>
      </c>
      <c r="E326">
        <v>326</v>
      </c>
      <c r="G326">
        <f t="shared" si="36"/>
        <v>1.3026400801603126</v>
      </c>
      <c r="H326">
        <f>[1]!XLSTAT_PDFWeibull(G326,1)</f>
        <v>0.27181323619535908</v>
      </c>
      <c r="I326">
        <v>326</v>
      </c>
      <c r="K326">
        <f t="shared" si="37"/>
        <v>1.3026400801603126</v>
      </c>
      <c r="L326">
        <f>[1]!XLSTAT_PDFWeibull(K326,1,1)</f>
        <v>0.27181323619535908</v>
      </c>
      <c r="M326">
        <v>326</v>
      </c>
      <c r="O326">
        <f t="shared" si="38"/>
        <v>1.3026400801603126</v>
      </c>
      <c r="P326">
        <f>[1]!XLSTAT_PDFWeibull(O326,5,1)</f>
        <v>0.33831595197617137</v>
      </c>
      <c r="Q326">
        <v>326</v>
      </c>
      <c r="S326">
        <f t="shared" si="39"/>
        <v>1.3026400801603126</v>
      </c>
      <c r="T326">
        <f>[1]!XLSTAT_PDFWeibull(S326,10,1)</f>
        <v>8.3867993171174467E-5</v>
      </c>
      <c r="U326">
        <v>326</v>
      </c>
      <c r="W326">
        <f t="shared" si="40"/>
        <v>1.3026400801603126</v>
      </c>
      <c r="X326">
        <f>[1]!XLSTAT_PDFWeibull(W326,10,5)</f>
        <v>1.1059086636731227E-5</v>
      </c>
      <c r="Y326">
        <v>326</v>
      </c>
      <c r="AA326">
        <f t="shared" si="41"/>
        <v>1.3026400801603126</v>
      </c>
      <c r="AB326">
        <f>[1]!XLSTAT_PDFWeibull(AA326,10,5)</f>
        <v>1.1059086636731227E-5</v>
      </c>
    </row>
    <row r="327" spans="1:28" x14ac:dyDescent="0.3">
      <c r="A327">
        <v>327</v>
      </c>
      <c r="C327">
        <f t="shared" si="35"/>
        <v>1.2264529058116196</v>
      </c>
      <c r="D327">
        <f>[1]!XLSTAT_PDFNormal(C327,0,1)</f>
        <v>0.18805291400292243</v>
      </c>
      <c r="E327">
        <v>327</v>
      </c>
      <c r="G327">
        <f t="shared" si="36"/>
        <v>1.306647895791575</v>
      </c>
      <c r="H327">
        <f>[1]!XLSTAT_PDFWeibull(G327,1)</f>
        <v>0.27072603895686087</v>
      </c>
      <c r="I327">
        <v>327</v>
      </c>
      <c r="K327">
        <f t="shared" si="37"/>
        <v>1.306647895791575</v>
      </c>
      <c r="L327">
        <f>[1]!XLSTAT_PDFWeibull(K327,1,1)</f>
        <v>0.27072603895686087</v>
      </c>
      <c r="M327">
        <v>327</v>
      </c>
      <c r="O327">
        <f t="shared" si="38"/>
        <v>1.306647895791575</v>
      </c>
      <c r="P327">
        <f>[1]!XLSTAT_PDFWeibull(O327,5,1)</f>
        <v>0.32318082048202806</v>
      </c>
      <c r="Q327">
        <v>327</v>
      </c>
      <c r="S327">
        <f t="shared" si="39"/>
        <v>1.306647895791575</v>
      </c>
      <c r="T327">
        <f>[1]!XLSTAT_PDFWeibull(S327,10,1)</f>
        <v>5.5590332162311133E-5</v>
      </c>
      <c r="U327">
        <v>327</v>
      </c>
      <c r="W327">
        <f t="shared" si="40"/>
        <v>1.306647895791575</v>
      </c>
      <c r="X327">
        <f>[1]!XLSTAT_PDFWeibull(W327,10,5)</f>
        <v>1.1369110098097044E-5</v>
      </c>
      <c r="Y327">
        <v>327</v>
      </c>
      <c r="AA327">
        <f t="shared" si="41"/>
        <v>1.306647895791575</v>
      </c>
      <c r="AB327">
        <f>[1]!XLSTAT_PDFWeibull(AA327,10,5)</f>
        <v>1.1369110098097044E-5</v>
      </c>
    </row>
    <row r="328" spans="1:28" x14ac:dyDescent="0.3">
      <c r="A328">
        <v>328</v>
      </c>
      <c r="C328">
        <f t="shared" si="35"/>
        <v>1.2424849699398761</v>
      </c>
      <c r="D328">
        <f>[1]!XLSTAT_PDFNormal(C328,0,1)</f>
        <v>0.18436772994579775</v>
      </c>
      <c r="E328">
        <v>328</v>
      </c>
      <c r="G328">
        <f t="shared" si="36"/>
        <v>1.3106557114228377</v>
      </c>
      <c r="H328">
        <f>[1]!XLSTAT_PDFWeibull(G328,1)</f>
        <v>0.2696431902845029</v>
      </c>
      <c r="I328">
        <v>328</v>
      </c>
      <c r="K328">
        <f t="shared" si="37"/>
        <v>1.3106557114228377</v>
      </c>
      <c r="L328">
        <f>[1]!XLSTAT_PDFWeibull(K328,1,1)</f>
        <v>0.2696431902845029</v>
      </c>
      <c r="M328">
        <v>328</v>
      </c>
      <c r="O328">
        <f t="shared" si="38"/>
        <v>1.3106557114228377</v>
      </c>
      <c r="P328">
        <f>[1]!XLSTAT_PDFWeibull(O328,5,1)</f>
        <v>0.30848999994982979</v>
      </c>
      <c r="Q328">
        <v>328</v>
      </c>
      <c r="S328">
        <f t="shared" si="39"/>
        <v>1.3106557114228377</v>
      </c>
      <c r="T328">
        <f>[1]!XLSTAT_PDFWeibull(S328,10,1)</f>
        <v>3.6394065225554542E-5</v>
      </c>
      <c r="U328">
        <v>328</v>
      </c>
      <c r="W328">
        <f t="shared" si="40"/>
        <v>1.3106557114228377</v>
      </c>
      <c r="X328">
        <f>[1]!XLSTAT_PDFWeibull(W328,10,5)</f>
        <v>1.1686834950439147E-5</v>
      </c>
      <c r="Y328">
        <v>328</v>
      </c>
      <c r="AA328">
        <f t="shared" si="41"/>
        <v>1.3106557114228377</v>
      </c>
      <c r="AB328">
        <f>[1]!XLSTAT_PDFWeibull(AA328,10,5)</f>
        <v>1.1686834950439147E-5</v>
      </c>
    </row>
    <row r="329" spans="1:28" x14ac:dyDescent="0.3">
      <c r="A329">
        <v>329</v>
      </c>
      <c r="C329">
        <f t="shared" si="35"/>
        <v>1.2585170340681326</v>
      </c>
      <c r="D329">
        <f>[1]!XLSTAT_PDFNormal(C329,0,1)</f>
        <v>0.18070830979972821</v>
      </c>
      <c r="E329">
        <v>329</v>
      </c>
      <c r="G329">
        <f t="shared" si="36"/>
        <v>1.3146635270541001</v>
      </c>
      <c r="H329">
        <f>[1]!XLSTAT_PDFWeibull(G329,1)</f>
        <v>0.26856467278491192</v>
      </c>
      <c r="I329">
        <v>329</v>
      </c>
      <c r="K329">
        <f t="shared" si="37"/>
        <v>1.3146635270541001</v>
      </c>
      <c r="L329">
        <f>[1]!XLSTAT_PDFWeibull(K329,1,1)</f>
        <v>0.26856467278491192</v>
      </c>
      <c r="M329">
        <v>329</v>
      </c>
      <c r="O329">
        <f t="shared" si="38"/>
        <v>1.3146635270541001</v>
      </c>
      <c r="P329">
        <f>[1]!XLSTAT_PDFWeibull(O329,5,1)</f>
        <v>0.29424306550840373</v>
      </c>
      <c r="Q329">
        <v>329</v>
      </c>
      <c r="S329">
        <f t="shared" si="39"/>
        <v>1.3146635270541001</v>
      </c>
      <c r="T329">
        <f>[1]!XLSTAT_PDFWeibull(S329,10,1)</f>
        <v>2.3526539641621148E-5</v>
      </c>
      <c r="U329">
        <v>329</v>
      </c>
      <c r="W329">
        <f t="shared" si="40"/>
        <v>1.3146635270541001</v>
      </c>
      <c r="X329">
        <f>[1]!XLSTAT_PDFWeibull(W329,10,5)</f>
        <v>1.2012428074437715E-5</v>
      </c>
      <c r="Y329">
        <v>329</v>
      </c>
      <c r="AA329">
        <f t="shared" si="41"/>
        <v>1.3146635270541001</v>
      </c>
      <c r="AB329">
        <f>[1]!XLSTAT_PDFWeibull(AA329,10,5)</f>
        <v>1.2012428074437715E-5</v>
      </c>
    </row>
    <row r="330" spans="1:28" x14ac:dyDescent="0.3">
      <c r="A330">
        <v>330</v>
      </c>
      <c r="C330">
        <f t="shared" si="35"/>
        <v>1.2745490981963892</v>
      </c>
      <c r="D330">
        <f>[1]!XLSTAT_PDFNormal(C330,0,1)</f>
        <v>0.17707600442203572</v>
      </c>
      <c r="E330">
        <v>330</v>
      </c>
      <c r="G330">
        <f t="shared" si="36"/>
        <v>1.3186713426853627</v>
      </c>
      <c r="H330">
        <f>[1]!XLSTAT_PDFWeibull(G330,1)</f>
        <v>0.26749046913428431</v>
      </c>
      <c r="I330">
        <v>330</v>
      </c>
      <c r="K330">
        <f t="shared" si="37"/>
        <v>1.3186713426853627</v>
      </c>
      <c r="L330">
        <f>[1]!XLSTAT_PDFWeibull(K330,1,1)</f>
        <v>0.26749046913428431</v>
      </c>
      <c r="M330">
        <v>330</v>
      </c>
      <c r="O330">
        <f t="shared" si="38"/>
        <v>1.3186713426853627</v>
      </c>
      <c r="P330">
        <f>[1]!XLSTAT_PDFWeibull(O330,5,1)</f>
        <v>0.28043888119896238</v>
      </c>
      <c r="Q330">
        <v>330</v>
      </c>
      <c r="S330">
        <f t="shared" si="39"/>
        <v>1.3186713426853627</v>
      </c>
      <c r="T330">
        <f>[1]!XLSTAT_PDFWeibull(S330,10,1)</f>
        <v>1.5012283710955943E-5</v>
      </c>
      <c r="U330">
        <v>330</v>
      </c>
      <c r="W330">
        <f t="shared" si="40"/>
        <v>1.3186713426853627</v>
      </c>
      <c r="X330">
        <f>[1]!XLSTAT_PDFWeibull(W330,10,5)</f>
        <v>1.2346059440704656E-5</v>
      </c>
      <c r="Y330">
        <v>330</v>
      </c>
      <c r="AA330">
        <f t="shared" si="41"/>
        <v>1.3186713426853627</v>
      </c>
      <c r="AB330">
        <f>[1]!XLSTAT_PDFWeibull(AA330,10,5)</f>
        <v>1.2346059440704656E-5</v>
      </c>
    </row>
    <row r="331" spans="1:28" x14ac:dyDescent="0.3">
      <c r="A331">
        <v>331</v>
      </c>
      <c r="C331">
        <f t="shared" si="35"/>
        <v>1.2905811623246457</v>
      </c>
      <c r="D331">
        <f>[1]!XLSTAT_PDFNormal(C331,0,1)</f>
        <v>0.17347211699405266</v>
      </c>
      <c r="E331">
        <v>331</v>
      </c>
      <c r="G331">
        <f t="shared" si="36"/>
        <v>1.3226791583166251</v>
      </c>
      <c r="H331">
        <f>[1]!XLSTAT_PDFWeibull(G331,1)</f>
        <v>0.26642056207810855</v>
      </c>
      <c r="I331">
        <v>331</v>
      </c>
      <c r="K331">
        <f t="shared" si="37"/>
        <v>1.3226791583166251</v>
      </c>
      <c r="L331">
        <f>[1]!XLSTAT_PDFWeibull(K331,1,1)</f>
        <v>0.26642056207810855</v>
      </c>
      <c r="M331">
        <v>331</v>
      </c>
      <c r="O331">
        <f t="shared" si="38"/>
        <v>1.3226791583166251</v>
      </c>
      <c r="P331">
        <f>[1]!XLSTAT_PDFWeibull(O331,5,1)</f>
        <v>0.26707562186095057</v>
      </c>
      <c r="Q331">
        <v>331</v>
      </c>
      <c r="S331">
        <f t="shared" si="39"/>
        <v>1.3226791583166251</v>
      </c>
      <c r="T331">
        <f>[1]!XLSTAT_PDFWeibull(S331,10,1)</f>
        <v>9.4527640204356543E-6</v>
      </c>
      <c r="U331">
        <v>331</v>
      </c>
      <c r="W331">
        <f t="shared" si="40"/>
        <v>1.3226791583166251</v>
      </c>
      <c r="X331">
        <f>[1]!XLSTAT_PDFWeibull(W331,10,5)</f>
        <v>1.2687902157311082E-5</v>
      </c>
      <c r="Y331">
        <v>331</v>
      </c>
      <c r="AA331">
        <f t="shared" si="41"/>
        <v>1.3226791583166251</v>
      </c>
      <c r="AB331">
        <f>[1]!XLSTAT_PDFWeibull(AA331,10,5)</f>
        <v>1.2687902157311082E-5</v>
      </c>
    </row>
    <row r="332" spans="1:28" x14ac:dyDescent="0.3">
      <c r="A332">
        <v>332</v>
      </c>
      <c r="C332">
        <f t="shared" si="35"/>
        <v>1.3066132264529022</v>
      </c>
      <c r="D332">
        <f>[1]!XLSTAT_PDFNormal(C332,0,1)</f>
        <v>0.1698979026532996</v>
      </c>
      <c r="E332">
        <v>332</v>
      </c>
      <c r="G332">
        <f t="shared" si="36"/>
        <v>1.3266869739478875</v>
      </c>
      <c r="H332">
        <f>[1]!XLSTAT_PDFWeibull(G332,1)</f>
        <v>0.26535493443088731</v>
      </c>
      <c r="I332">
        <v>332</v>
      </c>
      <c r="K332">
        <f t="shared" si="37"/>
        <v>1.3266869739478875</v>
      </c>
      <c r="L332">
        <f>[1]!XLSTAT_PDFWeibull(K332,1,1)</f>
        <v>0.26535493443088731</v>
      </c>
      <c r="M332">
        <v>332</v>
      </c>
      <c r="O332">
        <f t="shared" si="38"/>
        <v>1.3266869739478875</v>
      </c>
      <c r="P332">
        <f>[1]!XLSTAT_PDFWeibull(O332,5,1)</f>
        <v>0.25415079649425942</v>
      </c>
      <c r="Q332">
        <v>332</v>
      </c>
      <c r="S332">
        <f t="shared" si="39"/>
        <v>1.3266869739478875</v>
      </c>
      <c r="T332">
        <f>[1]!XLSTAT_PDFWeibull(S332,10,1)</f>
        <v>5.8715580920914438E-6</v>
      </c>
      <c r="U332">
        <v>332</v>
      </c>
      <c r="W332">
        <f t="shared" si="40"/>
        <v>1.3266869739478875</v>
      </c>
      <c r="X332">
        <f>[1]!XLSTAT_PDFWeibull(W332,10,5)</f>
        <v>1.3038132517898227E-5</v>
      </c>
      <c r="Y332">
        <v>332</v>
      </c>
      <c r="AA332">
        <f t="shared" si="41"/>
        <v>1.3266869739478875</v>
      </c>
      <c r="AB332">
        <f>[1]!XLSTAT_PDFWeibull(AA332,10,5)</f>
        <v>1.3038132517898227E-5</v>
      </c>
    </row>
    <row r="333" spans="1:28" x14ac:dyDescent="0.3">
      <c r="A333">
        <v>333</v>
      </c>
      <c r="C333">
        <f t="shared" si="35"/>
        <v>1.3226452905811588</v>
      </c>
      <c r="D333">
        <f>[1]!XLSTAT_PDFNormal(C333,0,1)</f>
        <v>0.16635456819420436</v>
      </c>
      <c r="E333">
        <v>333</v>
      </c>
      <c r="G333">
        <f t="shared" si="36"/>
        <v>1.3306947895791501</v>
      </c>
      <c r="H333">
        <f>[1]!XLSTAT_PDFWeibull(G333,1)</f>
        <v>0.26429356907586171</v>
      </c>
      <c r="I333">
        <v>333</v>
      </c>
      <c r="K333">
        <f t="shared" si="37"/>
        <v>1.3306947895791501</v>
      </c>
      <c r="L333">
        <f>[1]!XLSTAT_PDFWeibull(K333,1,1)</f>
        <v>0.26429356907586171</v>
      </c>
      <c r="M333">
        <v>333</v>
      </c>
      <c r="O333">
        <f t="shared" si="38"/>
        <v>1.3306947895791501</v>
      </c>
      <c r="P333">
        <f>[1]!XLSTAT_PDFWeibull(O333,5,1)</f>
        <v>0.24166127298826742</v>
      </c>
      <c r="Q333">
        <v>333</v>
      </c>
      <c r="S333">
        <f t="shared" si="39"/>
        <v>1.3306947895791501</v>
      </c>
      <c r="T333">
        <f>[1]!XLSTAT_PDFWeibull(S333,10,1)</f>
        <v>3.596553489001413E-6</v>
      </c>
      <c r="U333">
        <v>333</v>
      </c>
      <c r="W333">
        <f t="shared" si="40"/>
        <v>1.3306947895791501</v>
      </c>
      <c r="X333">
        <f>[1]!XLSTAT_PDFWeibull(W333,10,5)</f>
        <v>1.3396930050375849E-5</v>
      </c>
      <c r="Y333">
        <v>333</v>
      </c>
      <c r="AA333">
        <f t="shared" si="41"/>
        <v>1.3306947895791501</v>
      </c>
      <c r="AB333">
        <f>[1]!XLSTAT_PDFWeibull(AA333,10,5)</f>
        <v>1.3396930050375849E-5</v>
      </c>
    </row>
    <row r="334" spans="1:28" x14ac:dyDescent="0.3">
      <c r="A334">
        <v>334</v>
      </c>
      <c r="C334">
        <f t="shared" si="35"/>
        <v>1.3386773547094153</v>
      </c>
      <c r="D334">
        <f>[1]!XLSTAT_PDFNormal(C334,0,1)</f>
        <v>0.16284327183642347</v>
      </c>
      <c r="E334">
        <v>334</v>
      </c>
      <c r="G334">
        <f t="shared" si="36"/>
        <v>1.3347026052104125</v>
      </c>
      <c r="H334">
        <f>[1]!XLSTAT_PDFWeibull(G334,1)</f>
        <v>0.26323644896473658</v>
      </c>
      <c r="I334">
        <v>334</v>
      </c>
      <c r="K334">
        <f t="shared" si="37"/>
        <v>1.3347026052104125</v>
      </c>
      <c r="L334">
        <f>[1]!XLSTAT_PDFWeibull(K334,1,1)</f>
        <v>0.26323644896473658</v>
      </c>
      <c r="M334">
        <v>334</v>
      </c>
      <c r="O334">
        <f t="shared" si="38"/>
        <v>1.3347026052104125</v>
      </c>
      <c r="P334">
        <f>[1]!XLSTAT_PDFWeibull(O334,5,1)</f>
        <v>0.22960330410387181</v>
      </c>
      <c r="Q334">
        <v>334</v>
      </c>
      <c r="S334">
        <f t="shared" si="39"/>
        <v>1.3347026052104125</v>
      </c>
      <c r="T334">
        <f>[1]!XLSTAT_PDFWeibull(S334,10,1)</f>
        <v>2.1717575622003069E-6</v>
      </c>
      <c r="U334">
        <v>334</v>
      </c>
      <c r="W334">
        <f t="shared" si="40"/>
        <v>1.3347026052104125</v>
      </c>
      <c r="X334">
        <f>[1]!XLSTAT_PDFWeibull(W334,10,5)</f>
        <v>1.3764477566214753E-5</v>
      </c>
      <c r="Y334">
        <v>334</v>
      </c>
      <c r="AA334">
        <f t="shared" si="41"/>
        <v>1.3347026052104125</v>
      </c>
      <c r="AB334">
        <f>[1]!XLSTAT_PDFWeibull(AA334,10,5)</f>
        <v>1.3764477566214753E-5</v>
      </c>
    </row>
    <row r="335" spans="1:28" x14ac:dyDescent="0.3">
      <c r="A335">
        <v>335</v>
      </c>
      <c r="C335">
        <f t="shared" si="35"/>
        <v>1.3547094188376718</v>
      </c>
      <c r="D335">
        <f>[1]!XLSTAT_PDFNormal(C335,0,1)</f>
        <v>0.15936512305972722</v>
      </c>
      <c r="E335">
        <v>335</v>
      </c>
      <c r="G335">
        <f t="shared" si="36"/>
        <v>1.3387104208416751</v>
      </c>
      <c r="H335">
        <f>[1]!XLSTAT_PDFWeibull(G335,1)</f>
        <v>0.26218355711740632</v>
      </c>
      <c r="I335">
        <v>335</v>
      </c>
      <c r="K335">
        <f t="shared" si="37"/>
        <v>1.3387104208416751</v>
      </c>
      <c r="L335">
        <f>[1]!XLSTAT_PDFWeibull(K335,1,1)</f>
        <v>0.26218355711740632</v>
      </c>
      <c r="M335">
        <v>335</v>
      </c>
      <c r="O335">
        <f t="shared" si="38"/>
        <v>1.3387104208416751</v>
      </c>
      <c r="P335">
        <f>[1]!XLSTAT_PDFWeibull(O335,5,1)</f>
        <v>0.21797255459103432</v>
      </c>
      <c r="Q335">
        <v>335</v>
      </c>
      <c r="S335">
        <f t="shared" si="39"/>
        <v>1.3387104208416751</v>
      </c>
      <c r="T335">
        <f>[1]!XLSTAT_PDFWeibull(S335,10,1)</f>
        <v>1.2923427840554219E-6</v>
      </c>
      <c r="U335">
        <v>335</v>
      </c>
      <c r="W335">
        <f t="shared" si="40"/>
        <v>1.3387104208416751</v>
      </c>
      <c r="X335">
        <f>[1]!XLSTAT_PDFWeibull(W335,10,5)</f>
        <v>1.4140961210338478E-5</v>
      </c>
      <c r="Y335">
        <v>335</v>
      </c>
      <c r="AA335">
        <f t="shared" si="41"/>
        <v>1.3387104208416751</v>
      </c>
      <c r="AB335">
        <f>[1]!XLSTAT_PDFWeibull(AA335,10,5)</f>
        <v>1.4140961210338478E-5</v>
      </c>
    </row>
    <row r="336" spans="1:28" x14ac:dyDescent="0.3">
      <c r="A336">
        <v>336</v>
      </c>
      <c r="C336">
        <f t="shared" si="35"/>
        <v>1.3707414829659283</v>
      </c>
      <c r="D336">
        <f>[1]!XLSTAT_PDFNormal(C336,0,1)</f>
        <v>0.15592118250431222</v>
      </c>
      <c r="E336">
        <v>336</v>
      </c>
      <c r="G336">
        <f t="shared" si="36"/>
        <v>1.3427182364729375</v>
      </c>
      <c r="H336">
        <f>[1]!XLSTAT_PDFWeibull(G336,1)</f>
        <v>0.26113487662168239</v>
      </c>
      <c r="I336">
        <v>336</v>
      </c>
      <c r="K336">
        <f t="shared" si="37"/>
        <v>1.3427182364729375</v>
      </c>
      <c r="L336">
        <f>[1]!XLSTAT_PDFWeibull(K336,1,1)</f>
        <v>0.26113487662168239</v>
      </c>
      <c r="M336">
        <v>336</v>
      </c>
      <c r="O336">
        <f t="shared" si="38"/>
        <v>1.3427182364729375</v>
      </c>
      <c r="P336">
        <f>[1]!XLSTAT_PDFWeibull(O336,5,1)</f>
        <v>0.20676412932135135</v>
      </c>
      <c r="Q336">
        <v>336</v>
      </c>
      <c r="S336">
        <f t="shared" si="39"/>
        <v>1.3427182364729375</v>
      </c>
      <c r="T336">
        <f>[1]!XLSTAT_PDFWeibull(S336,10,1)</f>
        <v>7.5758675310803532E-7</v>
      </c>
      <c r="U336">
        <v>336</v>
      </c>
      <c r="W336">
        <f t="shared" si="40"/>
        <v>1.3427182364729375</v>
      </c>
      <c r="X336">
        <f>[1]!XLSTAT_PDFWeibull(W336,10,5)</f>
        <v>1.4526570511618646E-5</v>
      </c>
      <c r="Y336">
        <v>336</v>
      </c>
      <c r="AA336">
        <f t="shared" si="41"/>
        <v>1.3427182364729375</v>
      </c>
      <c r="AB336">
        <f>[1]!XLSTAT_PDFWeibull(AA336,10,5)</f>
        <v>1.4526570511618646E-5</v>
      </c>
    </row>
    <row r="337" spans="1:28" x14ac:dyDescent="0.3">
      <c r="A337">
        <v>337</v>
      </c>
      <c r="C337">
        <f t="shared" si="35"/>
        <v>1.3867735470941849</v>
      </c>
      <c r="D337">
        <f>[1]!XLSTAT_PDFNormal(C337,0,1)</f>
        <v>0.15251246193531245</v>
      </c>
      <c r="E337">
        <v>337</v>
      </c>
      <c r="G337">
        <f t="shared" si="36"/>
        <v>1.3467260521042002</v>
      </c>
      <c r="H337">
        <f>[1]!XLSTAT_PDFWeibull(G337,1)</f>
        <v>0.26009039063302131</v>
      </c>
      <c r="I337">
        <v>337</v>
      </c>
      <c r="K337">
        <f t="shared" si="37"/>
        <v>1.3467260521042002</v>
      </c>
      <c r="L337">
        <f>[1]!XLSTAT_PDFWeibull(K337,1,1)</f>
        <v>0.26009039063302131</v>
      </c>
      <c r="M337">
        <v>337</v>
      </c>
      <c r="O337">
        <f t="shared" si="38"/>
        <v>1.3467260521042002</v>
      </c>
      <c r="P337">
        <f>[1]!XLSTAT_PDFWeibull(O337,5,1)</f>
        <v>0.19597260231273866</v>
      </c>
      <c r="Q337">
        <v>337</v>
      </c>
      <c r="S337">
        <f t="shared" si="39"/>
        <v>1.3467260521042002</v>
      </c>
      <c r="T337">
        <f>[1]!XLSTAT_PDFWeibull(S337,10,1)</f>
        <v>4.3733954481750025E-7</v>
      </c>
      <c r="U337">
        <v>337</v>
      </c>
      <c r="W337">
        <f t="shared" si="40"/>
        <v>1.3467260521042002</v>
      </c>
      <c r="X337">
        <f>[1]!XLSTAT_PDFWeibull(W337,10,5)</f>
        <v>1.4921498433981244E-5</v>
      </c>
      <c r="Y337">
        <v>337</v>
      </c>
      <c r="AA337">
        <f t="shared" si="41"/>
        <v>1.3467260521042002</v>
      </c>
      <c r="AB337">
        <f>[1]!XLSTAT_PDFWeibull(AA337,10,5)</f>
        <v>1.4921498433981244E-5</v>
      </c>
    </row>
    <row r="338" spans="1:28" x14ac:dyDescent="0.3">
      <c r="A338">
        <v>338</v>
      </c>
      <c r="C338">
        <f t="shared" si="35"/>
        <v>1.4028056112224405</v>
      </c>
      <c r="D338">
        <f>[1]!XLSTAT_PDFNormal(C338,0,1)</f>
        <v>0.14913992427019224</v>
      </c>
      <c r="E338">
        <v>338</v>
      </c>
      <c r="G338">
        <f t="shared" si="36"/>
        <v>1.3507338677354626</v>
      </c>
      <c r="H338">
        <f>[1]!XLSTAT_PDFWeibull(G338,1)</f>
        <v>0.25905008237425459</v>
      </c>
      <c r="I338">
        <v>338</v>
      </c>
      <c r="K338">
        <f t="shared" si="37"/>
        <v>1.3507338677354626</v>
      </c>
      <c r="L338">
        <f>[1]!XLSTAT_PDFWeibull(K338,1,1)</f>
        <v>0.25905008237425459</v>
      </c>
      <c r="M338">
        <v>338</v>
      </c>
      <c r="O338">
        <f t="shared" si="38"/>
        <v>1.3507338677354626</v>
      </c>
      <c r="P338">
        <f>[1]!XLSTAT_PDFWeibull(O338,5,1)</f>
        <v>0.18559204652161307</v>
      </c>
      <c r="Q338">
        <v>338</v>
      </c>
      <c r="S338">
        <f t="shared" si="39"/>
        <v>1.3507338677354626</v>
      </c>
      <c r="T338">
        <f>[1]!XLSTAT_PDFWeibull(S338,10,1)</f>
        <v>2.4852895663773697E-7</v>
      </c>
      <c r="U338">
        <v>338</v>
      </c>
      <c r="W338">
        <f t="shared" si="40"/>
        <v>1.3507338677354626</v>
      </c>
      <c r="X338">
        <f>[1]!XLSTAT_PDFWeibull(W338,10,5)</f>
        <v>1.5325941428127213E-5</v>
      </c>
      <c r="Y338">
        <v>338</v>
      </c>
      <c r="AA338">
        <f t="shared" si="41"/>
        <v>1.3507338677354626</v>
      </c>
      <c r="AB338">
        <f>[1]!XLSTAT_PDFWeibull(AA338,10,5)</f>
        <v>1.5325941428127213E-5</v>
      </c>
    </row>
    <row r="339" spans="1:28" x14ac:dyDescent="0.3">
      <c r="A339">
        <v>339</v>
      </c>
      <c r="C339">
        <f t="shared" si="35"/>
        <v>1.418837675350697</v>
      </c>
      <c r="D339">
        <f>[1]!XLSTAT_PDFNormal(C339,0,1)</f>
        <v>0.1458044836676195</v>
      </c>
      <c r="E339">
        <v>339</v>
      </c>
      <c r="G339">
        <f t="shared" si="36"/>
        <v>1.3547416833667252</v>
      </c>
      <c r="H339">
        <f>[1]!XLSTAT_PDFWeibull(G339,1)</f>
        <v>0.25801393513531873</v>
      </c>
      <c r="I339">
        <v>339</v>
      </c>
      <c r="K339">
        <f t="shared" si="37"/>
        <v>1.3547416833667252</v>
      </c>
      <c r="L339">
        <f>[1]!XLSTAT_PDFWeibull(K339,1,1)</f>
        <v>0.25801393513531873</v>
      </c>
      <c r="M339">
        <v>339</v>
      </c>
      <c r="O339">
        <f t="shared" si="38"/>
        <v>1.3547416833667252</v>
      </c>
      <c r="P339">
        <f>[1]!XLSTAT_PDFWeibull(O339,5,1)</f>
        <v>0.17561606427683032</v>
      </c>
      <c r="Q339">
        <v>339</v>
      </c>
      <c r="S339">
        <f t="shared" si="39"/>
        <v>1.3547416833667252</v>
      </c>
      <c r="T339">
        <f>[1]!XLSTAT_PDFWeibull(S339,10,1)</f>
        <v>1.3897730635280303E-7</v>
      </c>
      <c r="U339">
        <v>339</v>
      </c>
      <c r="W339">
        <f t="shared" si="40"/>
        <v>1.3547416833667252</v>
      </c>
      <c r="X339">
        <f>[1]!XLSTAT_PDFWeibull(W339,10,5)</f>
        <v>1.5740099483874984E-5</v>
      </c>
      <c r="Y339">
        <v>339</v>
      </c>
      <c r="AA339">
        <f t="shared" si="41"/>
        <v>1.3547416833667252</v>
      </c>
      <c r="AB339">
        <f>[1]!XLSTAT_PDFWeibull(AA339,10,5)</f>
        <v>1.5740099483874984E-5</v>
      </c>
    </row>
    <row r="340" spans="1:28" x14ac:dyDescent="0.3">
      <c r="A340">
        <v>340</v>
      </c>
      <c r="C340">
        <f t="shared" si="35"/>
        <v>1.4348697394789536</v>
      </c>
      <c r="D340">
        <f>[1]!XLSTAT_PDFNormal(C340,0,1)</f>
        <v>0.14250700567634281</v>
      </c>
      <c r="E340">
        <v>340</v>
      </c>
      <c r="G340">
        <f t="shared" si="36"/>
        <v>1.3587494989979876</v>
      </c>
      <c r="H340">
        <f>[1]!XLSTAT_PDFWeibull(G340,1)</f>
        <v>0.25698193227298732</v>
      </c>
      <c r="I340">
        <v>340</v>
      </c>
      <c r="K340">
        <f t="shared" si="37"/>
        <v>1.3587494989979876</v>
      </c>
      <c r="L340">
        <f>[1]!XLSTAT_PDFWeibull(K340,1,1)</f>
        <v>0.25698193227298732</v>
      </c>
      <c r="M340">
        <v>340</v>
      </c>
      <c r="O340">
        <f t="shared" si="38"/>
        <v>1.3587494989979876</v>
      </c>
      <c r="P340">
        <f>[1]!XLSTAT_PDFWeibull(O340,5,1)</f>
        <v>0.1660378182292335</v>
      </c>
      <c r="Q340">
        <v>340</v>
      </c>
      <c r="S340">
        <f t="shared" si="39"/>
        <v>1.3587494989979876</v>
      </c>
      <c r="T340">
        <f>[1]!XLSTAT_PDFWeibull(S340,10,1)</f>
        <v>7.6445648786244624E-8</v>
      </c>
      <c r="U340">
        <v>340</v>
      </c>
      <c r="W340">
        <f t="shared" si="40"/>
        <v>1.3587494989979876</v>
      </c>
      <c r="X340">
        <f>[1]!XLSTAT_PDFWeibull(W340,10,5)</f>
        <v>1.6164176183128643E-5</v>
      </c>
      <c r="Y340">
        <v>340</v>
      </c>
      <c r="AA340">
        <f t="shared" si="41"/>
        <v>1.3587494989979876</v>
      </c>
      <c r="AB340">
        <f>[1]!XLSTAT_PDFWeibull(AA340,10,5)</f>
        <v>1.6164176183128643E-5</v>
      </c>
    </row>
    <row r="341" spans="1:28" x14ac:dyDescent="0.3">
      <c r="A341">
        <v>341</v>
      </c>
      <c r="C341">
        <f t="shared" si="35"/>
        <v>1.4509018036072101</v>
      </c>
      <c r="D341">
        <f>[1]!XLSTAT_PDFNormal(C341,0,1)</f>
        <v>0.13924830744251446</v>
      </c>
      <c r="E341">
        <v>341</v>
      </c>
      <c r="G341">
        <f t="shared" si="36"/>
        <v>1.36275731462925</v>
      </c>
      <c r="H341">
        <f>[1]!XLSTAT_PDFWeibull(G341,1)</f>
        <v>0.25595405721060327</v>
      </c>
      <c r="I341">
        <v>341</v>
      </c>
      <c r="K341">
        <f t="shared" si="37"/>
        <v>1.36275731462925</v>
      </c>
      <c r="L341">
        <f>[1]!XLSTAT_PDFWeibull(K341,1,1)</f>
        <v>0.25595405721060327</v>
      </c>
      <c r="M341">
        <v>341</v>
      </c>
      <c r="O341">
        <f t="shared" si="38"/>
        <v>1.36275731462925</v>
      </c>
      <c r="P341">
        <f>[1]!XLSTAT_PDFWeibull(O341,5,1)</f>
        <v>0.15685006269084337</v>
      </c>
      <c r="Q341">
        <v>341</v>
      </c>
      <c r="S341">
        <f t="shared" si="39"/>
        <v>1.36275731462925</v>
      </c>
      <c r="T341">
        <f>[1]!XLSTAT_PDFWeibull(S341,10,1)</f>
        <v>4.134599883352087E-8</v>
      </c>
      <c r="U341">
        <v>341</v>
      </c>
      <c r="W341">
        <f t="shared" si="40"/>
        <v>1.36275731462925</v>
      </c>
      <c r="X341">
        <f>[1]!XLSTAT_PDFWeibull(W341,10,5)</f>
        <v>1.6598378753479005E-5</v>
      </c>
      <c r="Y341">
        <v>341</v>
      </c>
      <c r="AA341">
        <f t="shared" si="41"/>
        <v>1.36275731462925</v>
      </c>
      <c r="AB341">
        <f>[1]!XLSTAT_PDFWeibull(AA341,10,5)</f>
        <v>1.6598378753479005E-5</v>
      </c>
    </row>
    <row r="342" spans="1:28" x14ac:dyDescent="0.3">
      <c r="A342">
        <v>342</v>
      </c>
      <c r="C342">
        <f t="shared" si="35"/>
        <v>1.4669338677354666</v>
      </c>
      <c r="D342">
        <f>[1]!XLSTAT_PDFNormal(C342,0,1)</f>
        <v>0.13602915797383969</v>
      </c>
      <c r="E342">
        <v>342</v>
      </c>
      <c r="G342">
        <f t="shared" si="36"/>
        <v>1.3667651302605126</v>
      </c>
      <c r="H342">
        <f>[1]!XLSTAT_PDFWeibull(G342,1)</f>
        <v>0.25493029343781259</v>
      </c>
      <c r="I342">
        <v>342</v>
      </c>
      <c r="K342">
        <f t="shared" si="37"/>
        <v>1.3667651302605126</v>
      </c>
      <c r="L342">
        <f>[1]!XLSTAT_PDFWeibull(K342,1,1)</f>
        <v>0.25493029343781259</v>
      </c>
      <c r="M342">
        <v>342</v>
      </c>
      <c r="O342">
        <f t="shared" si="38"/>
        <v>1.3667651302605126</v>
      </c>
      <c r="P342">
        <f>[1]!XLSTAT_PDFWeibull(O342,5,1)</f>
        <v>0.14804517523861224</v>
      </c>
      <c r="Q342">
        <v>342</v>
      </c>
      <c r="S342">
        <f t="shared" si="39"/>
        <v>1.3667651302605126</v>
      </c>
      <c r="T342">
        <f>[1]!XLSTAT_PDFWeibull(S342,10,1)</f>
        <v>2.197922297484682E-8</v>
      </c>
      <c r="U342">
        <v>342</v>
      </c>
      <c r="W342">
        <f t="shared" si="40"/>
        <v>1.3667651302605126</v>
      </c>
      <c r="X342">
        <f>[1]!XLSTAT_PDFWeibull(W342,10,5)</f>
        <v>1.7042918122441802E-5</v>
      </c>
      <c r="Y342">
        <v>342</v>
      </c>
      <c r="AA342">
        <f t="shared" si="41"/>
        <v>1.3667651302605126</v>
      </c>
      <c r="AB342">
        <f>[1]!XLSTAT_PDFWeibull(AA342,10,5)</f>
        <v>1.7042918122441802E-5</v>
      </c>
    </row>
    <row r="343" spans="1:28" x14ac:dyDescent="0.3">
      <c r="A343">
        <v>343</v>
      </c>
      <c r="C343">
        <f t="shared" si="35"/>
        <v>1.4829659318637232</v>
      </c>
      <c r="D343">
        <f>[1]!XLSTAT_PDFNormal(C343,0,1)</f>
        <v>0.13285027845886324</v>
      </c>
      <c r="E343">
        <v>343</v>
      </c>
      <c r="G343">
        <f t="shared" si="36"/>
        <v>1.370772945891775</v>
      </c>
      <c r="H343">
        <f>[1]!XLSTAT_PDFWeibull(G343,1)</f>
        <v>0.25391062451029972</v>
      </c>
      <c r="I343">
        <v>343</v>
      </c>
      <c r="K343">
        <f t="shared" si="37"/>
        <v>1.370772945891775</v>
      </c>
      <c r="L343">
        <f>[1]!XLSTAT_PDFWeibull(K343,1,1)</f>
        <v>0.25391062451029972</v>
      </c>
      <c r="M343">
        <v>343</v>
      </c>
      <c r="O343">
        <f t="shared" si="38"/>
        <v>1.370772945891775</v>
      </c>
      <c r="P343">
        <f>[1]!XLSTAT_PDFWeibull(O343,5,1)</f>
        <v>0.1396151884591188</v>
      </c>
      <c r="Q343">
        <v>343</v>
      </c>
      <c r="S343">
        <f t="shared" si="39"/>
        <v>1.370772945891775</v>
      </c>
      <c r="T343">
        <f>[1]!XLSTAT_PDFWeibull(S343,10,1)</f>
        <v>1.147920959395983E-8</v>
      </c>
      <c r="U343">
        <v>343</v>
      </c>
      <c r="W343">
        <f t="shared" si="40"/>
        <v>1.370772945891775</v>
      </c>
      <c r="X343">
        <f>[1]!XLSTAT_PDFWeibull(W343,10,5)</f>
        <v>1.7498008972339243E-5</v>
      </c>
      <c r="Y343">
        <v>343</v>
      </c>
      <c r="AA343">
        <f t="shared" si="41"/>
        <v>1.370772945891775</v>
      </c>
      <c r="AB343">
        <f>[1]!XLSTAT_PDFWeibull(AA343,10,5)</f>
        <v>1.7498008972339243E-5</v>
      </c>
    </row>
    <row r="344" spans="1:28" x14ac:dyDescent="0.3">
      <c r="A344">
        <v>344</v>
      </c>
      <c r="C344">
        <f t="shared" si="35"/>
        <v>1.4989979959919797</v>
      </c>
      <c r="D344">
        <f>[1]!XLSTAT_PDFNormal(C344,0,1)</f>
        <v>0.12971234263964612</v>
      </c>
      <c r="E344">
        <v>344</v>
      </c>
      <c r="G344">
        <f t="shared" si="36"/>
        <v>1.3747807615230376</v>
      </c>
      <c r="H344">
        <f>[1]!XLSTAT_PDFWeibull(G344,1)</f>
        <v>0.25289503404952263</v>
      </c>
      <c r="I344">
        <v>344</v>
      </c>
      <c r="K344">
        <f t="shared" si="37"/>
        <v>1.3747807615230376</v>
      </c>
      <c r="L344">
        <f>[1]!XLSTAT_PDFWeibull(K344,1,1)</f>
        <v>0.25289503404952263</v>
      </c>
      <c r="M344">
        <v>344</v>
      </c>
      <c r="O344">
        <f t="shared" si="38"/>
        <v>1.3747807615230376</v>
      </c>
      <c r="P344">
        <f>[1]!XLSTAT_PDFWeibull(O344,5,1)</f>
        <v>0.13155182171268448</v>
      </c>
      <c r="Q344">
        <v>344</v>
      </c>
      <c r="S344">
        <f t="shared" si="39"/>
        <v>1.3747807615230376</v>
      </c>
      <c r="T344">
        <f>[1]!XLSTAT_PDFWeibull(S344,10,1)</f>
        <v>5.8877780626722646E-9</v>
      </c>
      <c r="U344">
        <v>344</v>
      </c>
      <c r="W344">
        <f t="shared" si="40"/>
        <v>1.3747807615230376</v>
      </c>
      <c r="X344">
        <f>[1]!XLSTAT_PDFWeibull(W344,10,5)</f>
        <v>1.7963869795831301E-5</v>
      </c>
      <c r="Y344">
        <v>344</v>
      </c>
      <c r="AA344">
        <f t="shared" si="41"/>
        <v>1.3747807615230376</v>
      </c>
      <c r="AB344">
        <f>[1]!XLSTAT_PDFWeibull(AA344,10,5)</f>
        <v>1.7963869795831301E-5</v>
      </c>
    </row>
    <row r="345" spans="1:28" x14ac:dyDescent="0.3">
      <c r="A345">
        <v>345</v>
      </c>
      <c r="C345">
        <f t="shared" si="35"/>
        <v>1.5150300601202362</v>
      </c>
      <c r="D345">
        <f>[1]!XLSTAT_PDFNormal(C345,0,1)</f>
        <v>0.12661597723603035</v>
      </c>
      <c r="E345">
        <v>345</v>
      </c>
      <c r="G345">
        <f t="shared" si="36"/>
        <v>1.3787885771543</v>
      </c>
      <c r="H345">
        <f>[1]!XLSTAT_PDFWeibull(G345,1)</f>
        <v>0.25188350574245028</v>
      </c>
      <c r="I345">
        <v>345</v>
      </c>
      <c r="K345">
        <f t="shared" si="37"/>
        <v>1.3787885771543</v>
      </c>
      <c r="L345">
        <f>[1]!XLSTAT_PDFWeibull(K345,1,1)</f>
        <v>0.25188350574245028</v>
      </c>
      <c r="M345">
        <v>345</v>
      </c>
      <c r="O345">
        <f t="shared" si="38"/>
        <v>1.3787885771543</v>
      </c>
      <c r="P345">
        <f>[1]!XLSTAT_PDFWeibull(O345,5,1)</f>
        <v>0.12384651279809643</v>
      </c>
      <c r="Q345">
        <v>345</v>
      </c>
      <c r="S345">
        <f t="shared" si="39"/>
        <v>1.3787885771543</v>
      </c>
      <c r="T345">
        <f>[1]!XLSTAT_PDFWeibull(S345,10,1)</f>
        <v>2.9644621793946181E-9</v>
      </c>
      <c r="U345">
        <v>345</v>
      </c>
      <c r="W345">
        <f t="shared" si="40"/>
        <v>1.3787885771543</v>
      </c>
      <c r="X345">
        <f>[1]!XLSTAT_PDFWeibull(W345,10,5)</f>
        <v>1.844072295210127E-5</v>
      </c>
      <c r="Y345">
        <v>345</v>
      </c>
      <c r="AA345">
        <f t="shared" si="41"/>
        <v>1.3787885771543</v>
      </c>
      <c r="AB345">
        <f>[1]!XLSTAT_PDFWeibull(AA345,10,5)</f>
        <v>1.844072295210127E-5</v>
      </c>
    </row>
    <row r="346" spans="1:28" x14ac:dyDescent="0.3">
      <c r="A346">
        <v>346</v>
      </c>
      <c r="C346">
        <f t="shared" si="35"/>
        <v>1.5310621242484928</v>
      </c>
      <c r="D346">
        <f>[1]!XLSTAT_PDFNormal(C346,0,1)</f>
        <v>0.12356176241964038</v>
      </c>
      <c r="E346">
        <v>346</v>
      </c>
      <c r="G346">
        <f t="shared" si="36"/>
        <v>1.3827963927855627</v>
      </c>
      <c r="H346">
        <f>[1]!XLSTAT_PDFWeibull(G346,1)</f>
        <v>0.25087602334130027</v>
      </c>
      <c r="I346">
        <v>346</v>
      </c>
      <c r="K346">
        <f t="shared" si="37"/>
        <v>1.3827963927855627</v>
      </c>
      <c r="L346">
        <f>[1]!XLSTAT_PDFWeibull(K346,1,1)</f>
        <v>0.25087602334130027</v>
      </c>
      <c r="M346">
        <v>346</v>
      </c>
      <c r="O346">
        <f t="shared" si="38"/>
        <v>1.3827963927855627</v>
      </c>
      <c r="P346">
        <f>[1]!XLSTAT_PDFWeibull(O346,5,1)</f>
        <v>0.11649044940235069</v>
      </c>
      <c r="Q346">
        <v>346</v>
      </c>
      <c r="S346">
        <f t="shared" si="39"/>
        <v>1.3827963927855627</v>
      </c>
      <c r="T346">
        <f>[1]!XLSTAT_PDFWeibull(S346,10,1)</f>
        <v>1.4645589665640817E-9</v>
      </c>
      <c r="U346">
        <v>346</v>
      </c>
      <c r="W346">
        <f t="shared" si="40"/>
        <v>1.3827963927855627</v>
      </c>
      <c r="X346">
        <f>[1]!XLSTAT_PDFWeibull(W346,10,5)</f>
        <v>1.8928794723701671E-5</v>
      </c>
      <c r="Y346">
        <v>346</v>
      </c>
      <c r="AA346">
        <f t="shared" si="41"/>
        <v>1.3827963927855627</v>
      </c>
      <c r="AB346">
        <f>[1]!XLSTAT_PDFWeibull(AA346,10,5)</f>
        <v>1.8928794723701671E-5</v>
      </c>
    </row>
    <row r="347" spans="1:28" x14ac:dyDescent="0.3">
      <c r="A347">
        <v>347</v>
      </c>
      <c r="C347">
        <f t="shared" si="35"/>
        <v>1.5470941883767493</v>
      </c>
      <c r="D347">
        <f>[1]!XLSTAT_PDFNormal(C347,0,1)</f>
        <v>0.12055023233572391</v>
      </c>
      <c r="E347">
        <v>347</v>
      </c>
      <c r="G347">
        <f t="shared" si="36"/>
        <v>1.3868042084168251</v>
      </c>
      <c r="H347">
        <f>[1]!XLSTAT_PDFWeibull(G347,1)</f>
        <v>0.2498725706632782</v>
      </c>
      <c r="I347">
        <v>347</v>
      </c>
      <c r="K347">
        <f t="shared" si="37"/>
        <v>1.3868042084168251</v>
      </c>
      <c r="L347">
        <f>[1]!XLSTAT_PDFWeibull(K347,1,1)</f>
        <v>0.2498725706632782</v>
      </c>
      <c r="M347">
        <v>347</v>
      </c>
      <c r="O347">
        <f t="shared" si="38"/>
        <v>1.3868042084168251</v>
      </c>
      <c r="P347">
        <f>[1]!XLSTAT_PDFWeibull(O347,5,1)</f>
        <v>0.10947460022365985</v>
      </c>
      <c r="Q347">
        <v>347</v>
      </c>
      <c r="S347">
        <f t="shared" si="39"/>
        <v>1.3868042084168251</v>
      </c>
      <c r="T347">
        <f>[1]!XLSTAT_PDFWeibull(S347,10,1)</f>
        <v>7.0964610162932663E-10</v>
      </c>
      <c r="U347">
        <v>347</v>
      </c>
      <c r="W347">
        <f t="shared" si="40"/>
        <v>1.3868042084168251</v>
      </c>
      <c r="X347">
        <f>[1]!XLSTAT_PDFWeibull(W347,10,5)</f>
        <v>1.942831537406732E-5</v>
      </c>
      <c r="Y347">
        <v>347</v>
      </c>
      <c r="AA347">
        <f t="shared" si="41"/>
        <v>1.3868042084168251</v>
      </c>
      <c r="AB347">
        <f>[1]!XLSTAT_PDFWeibull(AA347,10,5)</f>
        <v>1.942831537406732E-5</v>
      </c>
    </row>
    <row r="348" spans="1:28" x14ac:dyDescent="0.3">
      <c r="A348">
        <v>348</v>
      </c>
      <c r="C348">
        <f t="shared" si="35"/>
        <v>1.5631262525050058</v>
      </c>
      <c r="D348">
        <f>[1]!XLSTAT_PDFNormal(C348,0,1)</f>
        <v>0.11758187567089556</v>
      </c>
      <c r="E348">
        <v>348</v>
      </c>
      <c r="G348">
        <f t="shared" si="36"/>
        <v>1.3908120240480877</v>
      </c>
      <c r="H348">
        <f>[1]!XLSTAT_PDFWeibull(G348,1)</f>
        <v>0.24887313159031735</v>
      </c>
      <c r="I348">
        <v>348</v>
      </c>
      <c r="K348">
        <f t="shared" si="37"/>
        <v>1.3908120240480877</v>
      </c>
      <c r="L348">
        <f>[1]!XLSTAT_PDFWeibull(K348,1,1)</f>
        <v>0.24887313159031735</v>
      </c>
      <c r="M348">
        <v>348</v>
      </c>
      <c r="O348">
        <f t="shared" si="38"/>
        <v>1.3908120240480877</v>
      </c>
      <c r="P348">
        <f>[1]!XLSTAT_PDFWeibull(O348,5,1)</f>
        <v>0.10278974566024796</v>
      </c>
      <c r="Q348">
        <v>348</v>
      </c>
      <c r="S348">
        <f t="shared" si="39"/>
        <v>1.3908120240480877</v>
      </c>
      <c r="T348">
        <f>[1]!XLSTAT_PDFWeibull(S348,10,1)</f>
        <v>3.3709661213508277E-10</v>
      </c>
      <c r="U348">
        <v>348</v>
      </c>
      <c r="W348">
        <f t="shared" si="40"/>
        <v>1.3908120240480877</v>
      </c>
      <c r="X348">
        <f>[1]!XLSTAT_PDFWeibull(W348,10,5)</f>
        <v>1.9939519205700121E-5</v>
      </c>
      <c r="Y348">
        <v>348</v>
      </c>
      <c r="AA348">
        <f t="shared" si="41"/>
        <v>1.3908120240480877</v>
      </c>
      <c r="AB348">
        <f>[1]!XLSTAT_PDFWeibull(AA348,10,5)</f>
        <v>1.9939519205700121E-5</v>
      </c>
    </row>
    <row r="349" spans="1:28" x14ac:dyDescent="0.3">
      <c r="A349">
        <v>349</v>
      </c>
      <c r="C349">
        <f t="shared" si="35"/>
        <v>1.5791583166332623</v>
      </c>
      <c r="D349">
        <f>[1]!XLSTAT_PDFNormal(C349,0,1)</f>
        <v>0.1146571362648116</v>
      </c>
      <c r="E349">
        <v>349</v>
      </c>
      <c r="G349">
        <f t="shared" si="36"/>
        <v>1.3948198396793501</v>
      </c>
      <c r="H349">
        <f>[1]!XLSTAT_PDFWeibull(G349,1)</f>
        <v>0.24787769006882013</v>
      </c>
      <c r="I349">
        <v>349</v>
      </c>
      <c r="K349">
        <f t="shared" si="37"/>
        <v>1.3948198396793501</v>
      </c>
      <c r="L349">
        <f>[1]!XLSTAT_PDFWeibull(K349,1,1)</f>
        <v>0.24787769006882013</v>
      </c>
      <c r="M349">
        <v>349</v>
      </c>
      <c r="O349">
        <f t="shared" si="38"/>
        <v>1.3948198396793501</v>
      </c>
      <c r="P349">
        <f>[1]!XLSTAT_PDFWeibull(O349,5,1)</f>
        <v>9.6426507962264554E-2</v>
      </c>
      <c r="Q349">
        <v>349</v>
      </c>
      <c r="S349">
        <f t="shared" si="39"/>
        <v>1.3948198396793501</v>
      </c>
      <c r="T349">
        <f>[1]!XLSTAT_PDFWeibull(S349,10,1)</f>
        <v>1.5690765734468046E-10</v>
      </c>
      <c r="U349">
        <v>349</v>
      </c>
      <c r="W349">
        <f t="shared" si="40"/>
        <v>1.3948198396793501</v>
      </c>
      <c r="X349">
        <f>[1]!XLSTAT_PDFWeibull(W349,10,5)</f>
        <v>2.046264461903163E-5</v>
      </c>
      <c r="Y349">
        <v>349</v>
      </c>
      <c r="AA349">
        <f t="shared" si="41"/>
        <v>1.3948198396793501</v>
      </c>
      <c r="AB349">
        <f>[1]!XLSTAT_PDFWeibull(AA349,10,5)</f>
        <v>2.046264461903163E-5</v>
      </c>
    </row>
    <row r="350" spans="1:28" x14ac:dyDescent="0.3">
      <c r="A350">
        <v>350</v>
      </c>
      <c r="C350">
        <f t="shared" si="35"/>
        <v>1.5951903807615189</v>
      </c>
      <c r="D350">
        <f>[1]!XLSTAT_PDFNormal(C350,0,1)</f>
        <v>0.1117764137637738</v>
      </c>
      <c r="E350">
        <v>350</v>
      </c>
      <c r="G350">
        <f t="shared" si="36"/>
        <v>1.3988276553106125</v>
      </c>
      <c r="H350">
        <f>[1]!XLSTAT_PDFWeibull(G350,1)</f>
        <v>0.24688623010939989</v>
      </c>
      <c r="I350">
        <v>350</v>
      </c>
      <c r="K350">
        <f t="shared" si="37"/>
        <v>1.3988276553106125</v>
      </c>
      <c r="L350">
        <f>[1]!XLSTAT_PDFWeibull(K350,1,1)</f>
        <v>0.24688623010939989</v>
      </c>
      <c r="M350">
        <v>350</v>
      </c>
      <c r="O350">
        <f t="shared" si="38"/>
        <v>1.3988276553106125</v>
      </c>
      <c r="P350">
        <f>[1]!XLSTAT_PDFWeibull(O350,5,1)</f>
        <v>9.0375380749348158E-2</v>
      </c>
      <c r="Q350">
        <v>350</v>
      </c>
      <c r="S350">
        <f t="shared" si="39"/>
        <v>1.3988276553106125</v>
      </c>
      <c r="T350">
        <f>[1]!XLSTAT_PDFWeibull(S350,10,1)</f>
        <v>7.1533020000194022E-11</v>
      </c>
      <c r="U350">
        <v>350</v>
      </c>
      <c r="W350">
        <f t="shared" si="40"/>
        <v>1.3988276553106125</v>
      </c>
      <c r="X350">
        <f>[1]!XLSTAT_PDFWeibull(W350,10,5)</f>
        <v>2.0997934171970183E-5</v>
      </c>
      <c r="Y350">
        <v>350</v>
      </c>
      <c r="AA350">
        <f t="shared" si="41"/>
        <v>1.3988276553106125</v>
      </c>
      <c r="AB350">
        <f>[1]!XLSTAT_PDFWeibull(AA350,10,5)</f>
        <v>2.0997934171970183E-5</v>
      </c>
    </row>
    <row r="351" spans="1:28" x14ac:dyDescent="0.3">
      <c r="A351">
        <v>351</v>
      </c>
      <c r="C351">
        <f t="shared" si="35"/>
        <v>1.6112224448897754</v>
      </c>
      <c r="D351">
        <f>[1]!XLSTAT_PDFNormal(C351,0,1)</f>
        <v>0.10894006431423431</v>
      </c>
      <c r="E351">
        <v>351</v>
      </c>
      <c r="G351">
        <f t="shared" si="36"/>
        <v>1.4028354709418751</v>
      </c>
      <c r="H351">
        <f>[1]!XLSTAT_PDFWeibull(G351,1)</f>
        <v>0.24589873578662427</v>
      </c>
      <c r="I351">
        <v>351</v>
      </c>
      <c r="K351">
        <f t="shared" si="37"/>
        <v>1.4028354709418751</v>
      </c>
      <c r="L351">
        <f>[1]!XLSTAT_PDFWeibull(K351,1,1)</f>
        <v>0.24589873578662427</v>
      </c>
      <c r="M351">
        <v>351</v>
      </c>
      <c r="O351">
        <f t="shared" si="38"/>
        <v>1.4028354709418751</v>
      </c>
      <c r="P351">
        <f>[1]!XLSTAT_PDFWeibull(O351,5,1)</f>
        <v>8.462675780200779E-2</v>
      </c>
      <c r="Q351">
        <v>351</v>
      </c>
      <c r="S351">
        <f t="shared" si="39"/>
        <v>1.4028354709418751</v>
      </c>
      <c r="T351">
        <f>[1]!XLSTAT_PDFWeibull(S351,10,1)</f>
        <v>3.1925152586997845E-11</v>
      </c>
      <c r="U351">
        <v>351</v>
      </c>
      <c r="W351">
        <f t="shared" si="40"/>
        <v>1.4028354709418751</v>
      </c>
      <c r="X351">
        <f>[1]!XLSTAT_PDFWeibull(W351,10,5)</f>
        <v>2.1545634640137661E-5</v>
      </c>
      <c r="Y351">
        <v>351</v>
      </c>
      <c r="AA351">
        <f t="shared" si="41"/>
        <v>1.4028354709418751</v>
      </c>
      <c r="AB351">
        <f>[1]!XLSTAT_PDFWeibull(AA351,10,5)</f>
        <v>2.1545634640137661E-5</v>
      </c>
    </row>
    <row r="352" spans="1:28" x14ac:dyDescent="0.3">
      <c r="A352">
        <v>352</v>
      </c>
      <c r="C352">
        <f t="shared" si="35"/>
        <v>1.6272545090180319</v>
      </c>
      <c r="D352">
        <f>[1]!XLSTAT_PDFNormal(C352,0,1)</f>
        <v>0.10614840129415405</v>
      </c>
      <c r="E352">
        <v>352</v>
      </c>
      <c r="G352">
        <f t="shared" si="36"/>
        <v>1.4068432865731375</v>
      </c>
      <c r="H352">
        <f>[1]!XLSTAT_PDFWeibull(G352,1)</f>
        <v>0.24491519123875954</v>
      </c>
      <c r="I352">
        <v>352</v>
      </c>
      <c r="K352">
        <f t="shared" si="37"/>
        <v>1.4068432865731375</v>
      </c>
      <c r="L352">
        <f>[1]!XLSTAT_PDFWeibull(K352,1,1)</f>
        <v>0.24491519123875954</v>
      </c>
      <c r="M352">
        <v>352</v>
      </c>
      <c r="O352">
        <f t="shared" si="38"/>
        <v>1.4068432865731375</v>
      </c>
      <c r="P352">
        <f>[1]!XLSTAT_PDFWeibull(O352,5,1)</f>
        <v>7.9170961040956611E-2</v>
      </c>
      <c r="Q352">
        <v>352</v>
      </c>
      <c r="S352">
        <f t="shared" si="39"/>
        <v>1.4068432865731375</v>
      </c>
      <c r="T352">
        <f>[1]!XLSTAT_PDFWeibull(S352,10,1)</f>
        <v>1.3941531877633387E-11</v>
      </c>
      <c r="U352">
        <v>352</v>
      </c>
      <c r="W352">
        <f t="shared" si="40"/>
        <v>1.4068432865731375</v>
      </c>
      <c r="X352">
        <f>[1]!XLSTAT_PDFWeibull(W352,10,5)</f>
        <v>2.2105997077801958E-5</v>
      </c>
      <c r="Y352">
        <v>352</v>
      </c>
      <c r="AA352">
        <f t="shared" si="41"/>
        <v>1.4068432865731375</v>
      </c>
      <c r="AB352">
        <f>[1]!XLSTAT_PDFWeibull(AA352,10,5)</f>
        <v>2.2105997077801958E-5</v>
      </c>
    </row>
    <row r="353" spans="1:28" x14ac:dyDescent="0.3">
      <c r="A353">
        <v>353</v>
      </c>
      <c r="C353">
        <f t="shared" si="35"/>
        <v>1.6432865731462885</v>
      </c>
      <c r="D353">
        <f>[1]!XLSTAT_PDFNormal(C353,0,1)</f>
        <v>0.10340169608015008</v>
      </c>
      <c r="E353">
        <v>353</v>
      </c>
      <c r="G353">
        <f t="shared" si="36"/>
        <v>1.4108511022044001</v>
      </c>
      <c r="H353">
        <f>[1]!XLSTAT_PDFWeibull(G353,1)</f>
        <v>0.24393558066751539</v>
      </c>
      <c r="I353">
        <v>353</v>
      </c>
      <c r="K353">
        <f t="shared" si="37"/>
        <v>1.4108511022044001</v>
      </c>
      <c r="L353">
        <f>[1]!XLSTAT_PDFWeibull(K353,1,1)</f>
        <v>0.24393558066751539</v>
      </c>
      <c r="M353">
        <v>353</v>
      </c>
      <c r="O353">
        <f t="shared" si="38"/>
        <v>1.4108511022044001</v>
      </c>
      <c r="P353">
        <f>[1]!XLSTAT_PDFWeibull(O353,5,1)</f>
        <v>7.399826761481848E-2</v>
      </c>
      <c r="Q353">
        <v>353</v>
      </c>
      <c r="S353">
        <f t="shared" si="39"/>
        <v>1.4108511022044001</v>
      </c>
      <c r="T353">
        <f>[1]!XLSTAT_PDFWeibull(S353,10,1)</f>
        <v>5.9541790810017025E-12</v>
      </c>
      <c r="U353">
        <v>353</v>
      </c>
      <c r="W353">
        <f t="shared" si="40"/>
        <v>1.4108511022044001</v>
      </c>
      <c r="X353">
        <f>[1]!XLSTAT_PDFWeibull(W353,10,5)</f>
        <v>2.2679276879511517E-5</v>
      </c>
      <c r="Y353">
        <v>353</v>
      </c>
      <c r="AA353">
        <f t="shared" si="41"/>
        <v>1.4108511022044001</v>
      </c>
      <c r="AB353">
        <f>[1]!XLSTAT_PDFWeibull(AA353,10,5)</f>
        <v>2.2679276879511517E-5</v>
      </c>
    </row>
    <row r="354" spans="1:28" x14ac:dyDescent="0.3">
      <c r="A354">
        <v>354</v>
      </c>
      <c r="C354">
        <f t="shared" si="35"/>
        <v>1.659318637274545</v>
      </c>
      <c r="D354">
        <f>[1]!XLSTAT_PDFNormal(C354,0,1)</f>
        <v>0.10070017884835569</v>
      </c>
      <c r="E354">
        <v>354</v>
      </c>
      <c r="G354">
        <f t="shared" si="36"/>
        <v>1.4148589178356625</v>
      </c>
      <c r="H354">
        <f>[1]!XLSTAT_PDFWeibull(G354,1)</f>
        <v>0.24295988833779172</v>
      </c>
      <c r="I354">
        <v>354</v>
      </c>
      <c r="K354">
        <f t="shared" si="37"/>
        <v>1.4148589178356625</v>
      </c>
      <c r="L354">
        <f>[1]!XLSTAT_PDFWeibull(K354,1,1)</f>
        <v>0.24295988833779172</v>
      </c>
      <c r="M354">
        <v>354</v>
      </c>
      <c r="O354">
        <f t="shared" si="38"/>
        <v>1.4148589178356625</v>
      </c>
      <c r="P354">
        <f>[1]!XLSTAT_PDFWeibull(O354,5,1)</f>
        <v>6.9098936023195529E-2</v>
      </c>
      <c r="Q354">
        <v>354</v>
      </c>
      <c r="S354">
        <f t="shared" si="39"/>
        <v>1.4148589178356625</v>
      </c>
      <c r="T354">
        <f>[1]!XLSTAT_PDFWeibull(S354,10,1)</f>
        <v>2.4856820696000114E-12</v>
      </c>
      <c r="U354">
        <v>354</v>
      </c>
      <c r="W354">
        <f t="shared" si="40"/>
        <v>1.4148589178356625</v>
      </c>
      <c r="X354">
        <f>[1]!XLSTAT_PDFWeibull(W354,10,5)</f>
        <v>2.3265733842437512E-5</v>
      </c>
      <c r="Y354">
        <v>354</v>
      </c>
      <c r="AA354">
        <f t="shared" si="41"/>
        <v>1.4148589178356625</v>
      </c>
      <c r="AB354">
        <f>[1]!XLSTAT_PDFWeibull(AA354,10,5)</f>
        <v>2.3265733842437512E-5</v>
      </c>
    </row>
    <row r="355" spans="1:28" x14ac:dyDescent="0.3">
      <c r="A355">
        <v>355</v>
      </c>
      <c r="C355">
        <f t="shared" si="35"/>
        <v>1.6753507014028015</v>
      </c>
      <c r="D355">
        <f>[1]!XLSTAT_PDFNormal(C355,0,1)</f>
        <v>9.8044039406911726E-2</v>
      </c>
      <c r="E355">
        <v>355</v>
      </c>
      <c r="G355">
        <f t="shared" si="36"/>
        <v>1.4188667334669252</v>
      </c>
      <c r="H355">
        <f>[1]!XLSTAT_PDFWeibull(G355,1)</f>
        <v>0.24198809857742537</v>
      </c>
      <c r="I355">
        <v>355</v>
      </c>
      <c r="K355">
        <f t="shared" si="37"/>
        <v>1.4188667334669252</v>
      </c>
      <c r="L355">
        <f>[1]!XLSTAT_PDFWeibull(K355,1,1)</f>
        <v>0.24198809857742537</v>
      </c>
      <c r="M355">
        <v>355</v>
      </c>
      <c r="O355">
        <f t="shared" si="38"/>
        <v>1.4188667334669252</v>
      </c>
      <c r="P355">
        <f>[1]!XLSTAT_PDFWeibull(O355,5,1)</f>
        <v>6.446323120884434E-2</v>
      </c>
      <c r="Q355">
        <v>355</v>
      </c>
      <c r="S355">
        <f t="shared" si="39"/>
        <v>1.4188667334669252</v>
      </c>
      <c r="T355">
        <f>[1]!XLSTAT_PDFWeibull(S355,10,1)</f>
        <v>1.0138075239364039E-12</v>
      </c>
      <c r="U355">
        <v>355</v>
      </c>
      <c r="W355">
        <f t="shared" si="40"/>
        <v>1.4188667334669252</v>
      </c>
      <c r="X355">
        <f>[1]!XLSTAT_PDFWeibull(W355,10,5)</f>
        <v>2.3865632229430503E-5</v>
      </c>
      <c r="Y355">
        <v>355</v>
      </c>
      <c r="AA355">
        <f t="shared" si="41"/>
        <v>1.4188667334669252</v>
      </c>
      <c r="AB355">
        <f>[1]!XLSTAT_PDFWeibull(AA355,10,5)</f>
        <v>2.3865632229430503E-5</v>
      </c>
    </row>
    <row r="356" spans="1:28" x14ac:dyDescent="0.3">
      <c r="A356">
        <v>356</v>
      </c>
      <c r="C356">
        <f t="shared" si="35"/>
        <v>1.691382765531058</v>
      </c>
      <c r="D356">
        <f>[1]!XLSTAT_PDFNormal(C356,0,1)</f>
        <v>9.5433428058002812E-2</v>
      </c>
      <c r="E356">
        <v>356</v>
      </c>
      <c r="G356">
        <f t="shared" si="36"/>
        <v>1.4228745490981876</v>
      </c>
      <c r="H356">
        <f>[1]!XLSTAT_PDFWeibull(G356,1)</f>
        <v>0.24102019577693878</v>
      </c>
      <c r="I356">
        <v>356</v>
      </c>
      <c r="K356">
        <f t="shared" si="37"/>
        <v>1.4228745490981876</v>
      </c>
      <c r="L356">
        <f>[1]!XLSTAT_PDFWeibull(K356,1,1)</f>
        <v>0.24102019577693878</v>
      </c>
      <c r="M356">
        <v>356</v>
      </c>
      <c r="O356">
        <f t="shared" si="38"/>
        <v>1.4228745490981876</v>
      </c>
      <c r="P356">
        <f>[1]!XLSTAT_PDFWeibull(O356,5,1)</f>
        <v>6.0081448559675239E-2</v>
      </c>
      <c r="Q356">
        <v>356</v>
      </c>
      <c r="S356">
        <f t="shared" si="39"/>
        <v>1.4228745490981876</v>
      </c>
      <c r="T356">
        <f>[1]!XLSTAT_PDFWeibull(S356,10,1)</f>
        <v>4.0375796692710661E-13</v>
      </c>
      <c r="U356">
        <v>356</v>
      </c>
      <c r="W356">
        <f t="shared" si="40"/>
        <v>1.4228745490981876</v>
      </c>
      <c r="X356">
        <f>[1]!XLSTAT_PDFWeibull(W356,10,5)</f>
        <v>2.4479240832796069E-5</v>
      </c>
      <c r="Y356">
        <v>356</v>
      </c>
      <c r="AA356">
        <f t="shared" si="41"/>
        <v>1.4228745490981876</v>
      </c>
      <c r="AB356">
        <f>[1]!XLSTAT_PDFWeibull(AA356,10,5)</f>
        <v>2.4479240832796069E-5</v>
      </c>
    </row>
    <row r="357" spans="1:28" x14ac:dyDescent="0.3">
      <c r="A357">
        <v>357</v>
      </c>
      <c r="C357">
        <f t="shared" si="35"/>
        <v>1.7074148296593146</v>
      </c>
      <c r="D357">
        <f>[1]!XLSTAT_PDFNormal(C357,0,1)</f>
        <v>9.2868456487355852E-2</v>
      </c>
      <c r="E357">
        <v>357</v>
      </c>
      <c r="G357">
        <f t="shared" si="36"/>
        <v>1.4268823647294502</v>
      </c>
      <c r="H357">
        <f>[1]!XLSTAT_PDFWeibull(G357,1)</f>
        <v>0.24005616438928898</v>
      </c>
      <c r="I357">
        <v>357</v>
      </c>
      <c r="K357">
        <f t="shared" si="37"/>
        <v>1.4268823647294502</v>
      </c>
      <c r="L357">
        <f>[1]!XLSTAT_PDFWeibull(K357,1,1)</f>
        <v>0.24005616438928898</v>
      </c>
      <c r="M357">
        <v>357</v>
      </c>
      <c r="O357">
        <f t="shared" si="38"/>
        <v>1.4268823647294502</v>
      </c>
      <c r="P357">
        <f>[1]!XLSTAT_PDFWeibull(O357,5,1)</f>
        <v>5.5943936768347156E-2</v>
      </c>
      <c r="Q357">
        <v>357</v>
      </c>
      <c r="S357">
        <f t="shared" si="39"/>
        <v>1.4268823647294502</v>
      </c>
      <c r="T357">
        <f>[1]!XLSTAT_PDFWeibull(S357,10,1)</f>
        <v>1.5693043396993456E-13</v>
      </c>
      <c r="U357">
        <v>357</v>
      </c>
      <c r="W357">
        <f t="shared" si="40"/>
        <v>1.4268823647294502</v>
      </c>
      <c r="X357">
        <f>[1]!XLSTAT_PDFWeibull(W357,10,5)</f>
        <v>2.510683303879816E-5</v>
      </c>
      <c r="Y357">
        <v>357</v>
      </c>
      <c r="AA357">
        <f t="shared" si="41"/>
        <v>1.4268823647294502</v>
      </c>
      <c r="AB357">
        <f>[1]!XLSTAT_PDFWeibull(AA357,10,5)</f>
        <v>2.510683303879816E-5</v>
      </c>
    </row>
    <row r="358" spans="1:28" x14ac:dyDescent="0.3">
      <c r="A358">
        <v>358</v>
      </c>
      <c r="C358">
        <f t="shared" si="35"/>
        <v>1.7234468937875711</v>
      </c>
      <c r="D358">
        <f>[1]!XLSTAT_PDFNormal(C358,0,1)</f>
        <v>9.0349198679122875E-2</v>
      </c>
      <c r="E358">
        <v>358</v>
      </c>
      <c r="G358">
        <f t="shared" si="36"/>
        <v>1.4308901803607126</v>
      </c>
      <c r="H358">
        <f>[1]!XLSTAT_PDFWeibull(G358,1)</f>
        <v>0.23909598892961811</v>
      </c>
      <c r="I358">
        <v>358</v>
      </c>
      <c r="K358">
        <f t="shared" si="37"/>
        <v>1.4308901803607126</v>
      </c>
      <c r="L358">
        <f>[1]!XLSTAT_PDFWeibull(K358,1,1)</f>
        <v>0.23909598892961811</v>
      </c>
      <c r="M358">
        <v>358</v>
      </c>
      <c r="O358">
        <f t="shared" si="38"/>
        <v>1.4308901803607126</v>
      </c>
      <c r="P358">
        <f>[1]!XLSTAT_PDFWeibull(O358,5,1)</f>
        <v>5.2041119504401941E-2</v>
      </c>
      <c r="Q358">
        <v>358</v>
      </c>
      <c r="S358">
        <f t="shared" si="39"/>
        <v>1.4308901803607126</v>
      </c>
      <c r="T358">
        <f>[1]!XLSTAT_PDFWeibull(S358,10,1)</f>
        <v>5.9494092708416205E-14</v>
      </c>
      <c r="U358">
        <v>358</v>
      </c>
      <c r="W358">
        <f t="shared" si="40"/>
        <v>1.4308901803607126</v>
      </c>
      <c r="X358">
        <f>[1]!XLSTAT_PDFWeibull(W358,10,5)</f>
        <v>2.5748686892893081E-5</v>
      </c>
      <c r="Y358">
        <v>358</v>
      </c>
      <c r="AA358">
        <f t="shared" si="41"/>
        <v>1.4308901803607126</v>
      </c>
      <c r="AB358">
        <f>[1]!XLSTAT_PDFWeibull(AA358,10,5)</f>
        <v>2.5748686892893081E-5</v>
      </c>
    </row>
    <row r="359" spans="1:28" x14ac:dyDescent="0.3">
      <c r="A359">
        <v>359</v>
      </c>
      <c r="C359">
        <f t="shared" si="35"/>
        <v>1.7394789579158276</v>
      </c>
      <c r="D359">
        <f>[1]!XLSTAT_PDFNormal(C359,0,1)</f>
        <v>8.7875691854081034E-2</v>
      </c>
      <c r="E359">
        <v>359</v>
      </c>
      <c r="G359">
        <f t="shared" si="36"/>
        <v>1.434897995991975</v>
      </c>
      <c r="H359">
        <f>[1]!XLSTAT_PDFWeibull(G359,1)</f>
        <v>0.23813965397500447</v>
      </c>
      <c r="I359">
        <v>359</v>
      </c>
      <c r="K359">
        <f t="shared" si="37"/>
        <v>1.434897995991975</v>
      </c>
      <c r="L359">
        <f>[1]!XLSTAT_PDFWeibull(K359,1,1)</f>
        <v>0.23813965397500447</v>
      </c>
      <c r="M359">
        <v>359</v>
      </c>
      <c r="O359">
        <f t="shared" si="38"/>
        <v>1.434897995991975</v>
      </c>
      <c r="P359">
        <f>[1]!XLSTAT_PDFWeibull(O359,5,1)</f>
        <v>4.8363515861050047E-2</v>
      </c>
      <c r="Q359">
        <v>359</v>
      </c>
      <c r="S359">
        <f t="shared" si="39"/>
        <v>1.434897995991975</v>
      </c>
      <c r="T359">
        <f>[1]!XLSTAT_PDFWeibull(S359,10,1)</f>
        <v>2.1987531305216329E-14</v>
      </c>
      <c r="U359">
        <v>359</v>
      </c>
      <c r="W359">
        <f t="shared" si="40"/>
        <v>1.434897995991975</v>
      </c>
      <c r="X359">
        <f>[1]!XLSTAT_PDFWeibull(W359,10,5)</f>
        <v>2.6405085165703441E-5</v>
      </c>
      <c r="Y359">
        <v>359</v>
      </c>
      <c r="AA359">
        <f t="shared" si="41"/>
        <v>1.434897995991975</v>
      </c>
      <c r="AB359">
        <f>[1]!XLSTAT_PDFWeibull(AA359,10,5)</f>
        <v>2.6405085165703441E-5</v>
      </c>
    </row>
    <row r="360" spans="1:28" x14ac:dyDescent="0.3">
      <c r="A360">
        <v>360</v>
      </c>
      <c r="C360">
        <f t="shared" si="35"/>
        <v>1.7555110220440842</v>
      </c>
      <c r="D360">
        <f>[1]!XLSTAT_PDFNormal(C360,0,1)</f>
        <v>8.5447937429096066E-2</v>
      </c>
      <c r="E360">
        <v>360</v>
      </c>
      <c r="G360">
        <f t="shared" si="36"/>
        <v>1.4389058116232376</v>
      </c>
      <c r="H360">
        <f>[1]!XLSTAT_PDFWeibull(G360,1)</f>
        <v>0.23718714416421482</v>
      </c>
      <c r="I360">
        <v>360</v>
      </c>
      <c r="K360">
        <f t="shared" si="37"/>
        <v>1.4389058116232376</v>
      </c>
      <c r="L360">
        <f>[1]!XLSTAT_PDFWeibull(K360,1,1)</f>
        <v>0.23718714416421482</v>
      </c>
      <c r="M360">
        <v>360</v>
      </c>
      <c r="O360">
        <f t="shared" si="38"/>
        <v>1.4389058116232376</v>
      </c>
      <c r="P360">
        <f>[1]!XLSTAT_PDFWeibull(O360,5,1)</f>
        <v>4.4901759545904786E-2</v>
      </c>
      <c r="Q360">
        <v>360</v>
      </c>
      <c r="S360">
        <f t="shared" si="39"/>
        <v>1.4389058116232376</v>
      </c>
      <c r="T360">
        <f>[1]!XLSTAT_PDFWeibull(S360,10,1)</f>
        <v>7.9170895499476807E-15</v>
      </c>
      <c r="U360">
        <v>360</v>
      </c>
      <c r="W360">
        <f t="shared" si="40"/>
        <v>1.4389058116232376</v>
      </c>
      <c r="X360">
        <f>[1]!XLSTAT_PDFWeibull(W360,10,5)</f>
        <v>2.7076315419736106E-5</v>
      </c>
      <c r="Y360">
        <v>360</v>
      </c>
      <c r="AA360">
        <f t="shared" si="41"/>
        <v>1.4389058116232376</v>
      </c>
      <c r="AB360">
        <f>[1]!XLSTAT_PDFWeibull(AA360,10,5)</f>
        <v>2.7076315419736106E-5</v>
      </c>
    </row>
    <row r="361" spans="1:28" x14ac:dyDescent="0.3">
      <c r="A361">
        <v>361</v>
      </c>
      <c r="C361">
        <f t="shared" si="35"/>
        <v>1.7715430861723407</v>
      </c>
      <c r="D361">
        <f>[1]!XLSTAT_PDFNormal(C361,0,1)</f>
        <v>8.3065901995813457E-2</v>
      </c>
      <c r="E361">
        <v>361</v>
      </c>
      <c r="G361">
        <f t="shared" si="36"/>
        <v>1.4429136272545</v>
      </c>
      <c r="H361">
        <f>[1]!XLSTAT_PDFWeibull(G361,1)</f>
        <v>0.23623844419745799</v>
      </c>
      <c r="I361">
        <v>361</v>
      </c>
      <c r="K361">
        <f t="shared" si="37"/>
        <v>1.4429136272545</v>
      </c>
      <c r="L361">
        <f>[1]!XLSTAT_PDFWeibull(K361,1,1)</f>
        <v>0.23623844419745799</v>
      </c>
      <c r="M361">
        <v>361</v>
      </c>
      <c r="O361">
        <f t="shared" si="38"/>
        <v>1.4429136272545</v>
      </c>
      <c r="P361">
        <f>[1]!XLSTAT_PDFWeibull(O361,5,1)</f>
        <v>4.1646616792060893E-2</v>
      </c>
      <c r="Q361">
        <v>361</v>
      </c>
      <c r="S361">
        <f t="shared" si="39"/>
        <v>1.4429136272545</v>
      </c>
      <c r="T361">
        <f>[1]!XLSTAT_PDFWeibull(S361,10,1)</f>
        <v>2.7757904752502736E-15</v>
      </c>
      <c r="U361">
        <v>361</v>
      </c>
      <c r="W361">
        <f t="shared" si="40"/>
        <v>1.4429136272545</v>
      </c>
      <c r="X361">
        <f>[1]!XLSTAT_PDFWeibull(W361,10,5)</f>
        <v>2.7762670076851427E-5</v>
      </c>
      <c r="Y361">
        <v>361</v>
      </c>
      <c r="AA361">
        <f t="shared" si="41"/>
        <v>1.4429136272545</v>
      </c>
      <c r="AB361">
        <f>[1]!XLSTAT_PDFWeibull(AA361,10,5)</f>
        <v>2.7762670076851427E-5</v>
      </c>
    </row>
    <row r="362" spans="1:28" x14ac:dyDescent="0.3">
      <c r="A362">
        <v>362</v>
      </c>
      <c r="C362">
        <f t="shared" si="35"/>
        <v>1.7875751503005972</v>
      </c>
      <c r="D362">
        <f>[1]!XLSTAT_PDFNormal(C362,0,1)</f>
        <v>8.0729518316562762E-2</v>
      </c>
      <c r="E362">
        <v>362</v>
      </c>
      <c r="G362">
        <f t="shared" si="36"/>
        <v>1.4469214428857626</v>
      </c>
      <c r="H362">
        <f>[1]!XLSTAT_PDFWeibull(G362,1)</f>
        <v>0.23529353883613846</v>
      </c>
      <c r="I362">
        <v>362</v>
      </c>
      <c r="K362">
        <f t="shared" si="37"/>
        <v>1.4469214428857626</v>
      </c>
      <c r="L362">
        <f>[1]!XLSTAT_PDFWeibull(K362,1,1)</f>
        <v>0.23529353883613846</v>
      </c>
      <c r="M362">
        <v>362</v>
      </c>
      <c r="O362">
        <f t="shared" si="38"/>
        <v>1.4469214428857626</v>
      </c>
      <c r="P362">
        <f>[1]!XLSTAT_PDFWeibull(O362,5,1)</f>
        <v>3.8589002972922955E-2</v>
      </c>
      <c r="Q362">
        <v>362</v>
      </c>
      <c r="S362">
        <f t="shared" si="39"/>
        <v>1.4469214428857626</v>
      </c>
      <c r="T362">
        <f>[1]!XLSTAT_PDFWeibull(S362,10,1)</f>
        <v>9.4706634696581386E-16</v>
      </c>
      <c r="U362">
        <v>362</v>
      </c>
      <c r="W362">
        <f t="shared" si="40"/>
        <v>1.4469214428857626</v>
      </c>
      <c r="X362">
        <f>[1]!XLSTAT_PDFWeibull(W362,10,5)</f>
        <v>2.8464446486489589E-5</v>
      </c>
      <c r="Y362">
        <v>362</v>
      </c>
      <c r="AA362">
        <f t="shared" si="41"/>
        <v>1.4469214428857626</v>
      </c>
      <c r="AB362">
        <f>[1]!XLSTAT_PDFWeibull(AA362,10,5)</f>
        <v>2.8464446486489589E-5</v>
      </c>
    </row>
    <row r="363" spans="1:28" x14ac:dyDescent="0.3">
      <c r="A363">
        <v>363</v>
      </c>
      <c r="C363">
        <f t="shared" si="35"/>
        <v>1.8036072144288537</v>
      </c>
      <c r="D363">
        <f>[1]!XLSTAT_PDFNormal(C363,0,1)</f>
        <v>7.8438686335485605E-2</v>
      </c>
      <c r="E363">
        <v>363</v>
      </c>
      <c r="G363">
        <f t="shared" si="36"/>
        <v>1.450929258517025</v>
      </c>
      <c r="H363">
        <f>[1]!XLSTAT_PDFWeibull(G363,1)</f>
        <v>0.23435241290261233</v>
      </c>
      <c r="I363">
        <v>363</v>
      </c>
      <c r="K363">
        <f t="shared" si="37"/>
        <v>1.450929258517025</v>
      </c>
      <c r="L363">
        <f>[1]!XLSTAT_PDFWeibull(K363,1,1)</f>
        <v>0.23435241290261233</v>
      </c>
      <c r="M363">
        <v>363</v>
      </c>
      <c r="O363">
        <f t="shared" si="38"/>
        <v>1.450929258517025</v>
      </c>
      <c r="P363">
        <f>[1]!XLSTAT_PDFWeibull(O363,5,1)</f>
        <v>3.5719997911052521E-2</v>
      </c>
      <c r="Q363">
        <v>363</v>
      </c>
      <c r="S363">
        <f t="shared" si="39"/>
        <v>1.450929258517025</v>
      </c>
      <c r="T363">
        <f>[1]!XLSTAT_PDFWeibull(S363,10,1)</f>
        <v>3.1425499644969503E-16</v>
      </c>
      <c r="U363">
        <v>363</v>
      </c>
      <c r="W363">
        <f t="shared" si="40"/>
        <v>1.450929258517025</v>
      </c>
      <c r="X363">
        <f>[1]!XLSTAT_PDFWeibull(W363,10,5)</f>
        <v>2.9181946994660959E-5</v>
      </c>
      <c r="Y363">
        <v>363</v>
      </c>
      <c r="AA363">
        <f t="shared" si="41"/>
        <v>1.450929258517025</v>
      </c>
      <c r="AB363">
        <f>[1]!XLSTAT_PDFWeibull(AA363,10,5)</f>
        <v>2.9181946994660959E-5</v>
      </c>
    </row>
    <row r="364" spans="1:28" x14ac:dyDescent="0.3">
      <c r="A364">
        <v>364</v>
      </c>
      <c r="C364">
        <f t="shared" si="35"/>
        <v>1.8196392785571103</v>
      </c>
      <c r="D364">
        <f>[1]!XLSTAT_PDFNormal(C364,0,1)</f>
        <v>7.6193274202925779E-2</v>
      </c>
      <c r="E364">
        <v>364</v>
      </c>
      <c r="G364">
        <f t="shared" si="36"/>
        <v>1.4549370741482877</v>
      </c>
      <c r="H364">
        <f>[1]!XLSTAT_PDFWeibull(G364,1)</f>
        <v>0.23341505127994286</v>
      </c>
      <c r="I364">
        <v>364</v>
      </c>
      <c r="K364">
        <f t="shared" si="37"/>
        <v>1.4549370741482877</v>
      </c>
      <c r="L364">
        <f>[1]!XLSTAT_PDFWeibull(K364,1,1)</f>
        <v>0.23341505127994286</v>
      </c>
      <c r="M364">
        <v>364</v>
      </c>
      <c r="O364">
        <f t="shared" si="38"/>
        <v>1.4549370741482877</v>
      </c>
      <c r="P364">
        <f>[1]!XLSTAT_PDFWeibull(O364,5,1)</f>
        <v>3.3030859877968465E-2</v>
      </c>
      <c r="Q364">
        <v>364</v>
      </c>
      <c r="S364">
        <f t="shared" si="39"/>
        <v>1.4549370741482877</v>
      </c>
      <c r="T364">
        <f>[1]!XLSTAT_PDFWeibull(S364,10,1)</f>
        <v>1.0134966589875746E-16</v>
      </c>
      <c r="U364">
        <v>364</v>
      </c>
      <c r="W364">
        <f t="shared" si="40"/>
        <v>1.4549370741482877</v>
      </c>
      <c r="X364">
        <f>[1]!XLSTAT_PDFWeibull(W364,10,5)</f>
        <v>2.9915479013706542E-5</v>
      </c>
      <c r="Y364">
        <v>364</v>
      </c>
      <c r="AA364">
        <f t="shared" si="41"/>
        <v>1.4549370741482877</v>
      </c>
      <c r="AB364">
        <f>[1]!XLSTAT_PDFWeibull(AA364,10,5)</f>
        <v>2.9915479013706542E-5</v>
      </c>
    </row>
    <row r="365" spans="1:28" x14ac:dyDescent="0.3">
      <c r="A365">
        <v>365</v>
      </c>
      <c r="C365">
        <f t="shared" si="35"/>
        <v>1.8356713426853668</v>
      </c>
      <c r="D365">
        <f>[1]!XLSTAT_PDFNormal(C365,0,1)</f>
        <v>7.3993119311151712E-2</v>
      </c>
      <c r="E365">
        <v>365</v>
      </c>
      <c r="G365">
        <f t="shared" si="36"/>
        <v>1.4589448897795501</v>
      </c>
      <c r="H365">
        <f>[1]!XLSTAT_PDFWeibull(G365,1)</f>
        <v>0.23248143891165818</v>
      </c>
      <c r="I365">
        <v>365</v>
      </c>
      <c r="K365">
        <f t="shared" si="37"/>
        <v>1.4589448897795501</v>
      </c>
      <c r="L365">
        <f>[1]!XLSTAT_PDFWeibull(K365,1,1)</f>
        <v>0.23248143891165818</v>
      </c>
      <c r="M365">
        <v>365</v>
      </c>
      <c r="O365">
        <f t="shared" si="38"/>
        <v>1.4589448897795501</v>
      </c>
      <c r="P365">
        <f>[1]!XLSTAT_PDFWeibull(O365,5,1)</f>
        <v>3.0513038288296462E-2</v>
      </c>
      <c r="Q365">
        <v>365</v>
      </c>
      <c r="S365">
        <f t="shared" si="39"/>
        <v>1.4589448897795501</v>
      </c>
      <c r="T365">
        <f>[1]!XLSTAT_PDFWeibull(S365,10,1)</f>
        <v>3.1748689536747313E-17</v>
      </c>
      <c r="U365">
        <v>365</v>
      </c>
      <c r="W365">
        <f t="shared" si="40"/>
        <v>1.4589448897795501</v>
      </c>
      <c r="X365">
        <f>[1]!XLSTAT_PDFWeibull(W365,10,5)</f>
        <v>3.0665355092834408E-5</v>
      </c>
      <c r="Y365">
        <v>365</v>
      </c>
      <c r="AA365">
        <f t="shared" si="41"/>
        <v>1.4589448897795501</v>
      </c>
      <c r="AB365">
        <f>[1]!XLSTAT_PDFWeibull(AA365,10,5)</f>
        <v>3.0665355092834408E-5</v>
      </c>
    </row>
    <row r="366" spans="1:28" x14ac:dyDescent="0.3">
      <c r="A366">
        <v>366</v>
      </c>
      <c r="C366">
        <f t="shared" si="35"/>
        <v>1.8517034068136233</v>
      </c>
      <c r="D366">
        <f>[1]!XLSTAT_PDFNormal(C366,0,1)</f>
        <v>7.18380293395154E-2</v>
      </c>
      <c r="E366">
        <v>366</v>
      </c>
      <c r="G366">
        <f t="shared" si="36"/>
        <v>1.4629527054108127</v>
      </c>
      <c r="H366">
        <f>[1]!XLSTAT_PDFWeibull(G366,1)</f>
        <v>0.23155156080150904</v>
      </c>
      <c r="I366">
        <v>366</v>
      </c>
      <c r="K366">
        <f t="shared" si="37"/>
        <v>1.4629527054108127</v>
      </c>
      <c r="L366">
        <f>[1]!XLSTAT_PDFWeibull(K366,1,1)</f>
        <v>0.23155156080150904</v>
      </c>
      <c r="M366">
        <v>366</v>
      </c>
      <c r="O366">
        <f t="shared" si="38"/>
        <v>1.4629527054108127</v>
      </c>
      <c r="P366">
        <f>[1]!XLSTAT_PDFWeibull(O366,5,1)</f>
        <v>2.8158185097846629E-2</v>
      </c>
      <c r="Q366">
        <v>366</v>
      </c>
      <c r="S366">
        <f t="shared" si="39"/>
        <v>1.4629527054108127</v>
      </c>
      <c r="T366">
        <f>[1]!XLSTAT_PDFWeibull(S366,10,1)</f>
        <v>9.6541110539650541E-18</v>
      </c>
      <c r="U366">
        <v>366</v>
      </c>
      <c r="W366">
        <f t="shared" si="40"/>
        <v>1.4629527054108127</v>
      </c>
      <c r="X366">
        <f>[1]!XLSTAT_PDFWeibull(W366,10,5)</f>
        <v>3.1431892989439404E-5</v>
      </c>
      <c r="Y366">
        <v>366</v>
      </c>
      <c r="AA366">
        <f t="shared" si="41"/>
        <v>1.4629527054108127</v>
      </c>
      <c r="AB366">
        <f>[1]!XLSTAT_PDFWeibull(AA366,10,5)</f>
        <v>3.1431892989439404E-5</v>
      </c>
    </row>
    <row r="367" spans="1:28" x14ac:dyDescent="0.3">
      <c r="A367">
        <v>367</v>
      </c>
      <c r="C367">
        <f t="shared" si="35"/>
        <v>1.8677354709418799</v>
      </c>
      <c r="D367">
        <f>[1]!XLSTAT_PDFNormal(C367,0,1)</f>
        <v>6.9727783307189789E-2</v>
      </c>
      <c r="E367">
        <v>367</v>
      </c>
      <c r="G367">
        <f t="shared" si="36"/>
        <v>1.4669605210420751</v>
      </c>
      <c r="H367">
        <f>[1]!XLSTAT_PDFWeibull(G367,1)</f>
        <v>0.23062540201322834</v>
      </c>
      <c r="I367">
        <v>367</v>
      </c>
      <c r="K367">
        <f t="shared" si="37"/>
        <v>1.4669605210420751</v>
      </c>
      <c r="L367">
        <f>[1]!XLSTAT_PDFWeibull(K367,1,1)</f>
        <v>0.23062540201322834</v>
      </c>
      <c r="M367">
        <v>367</v>
      </c>
      <c r="O367">
        <f t="shared" si="38"/>
        <v>1.4669605210420751</v>
      </c>
      <c r="P367">
        <f>[1]!XLSTAT_PDFWeibull(O367,5,1)</f>
        <v>2.59581649211112E-2</v>
      </c>
      <c r="Q367">
        <v>367</v>
      </c>
      <c r="S367">
        <f t="shared" si="39"/>
        <v>1.4669605210420751</v>
      </c>
      <c r="T367">
        <f>[1]!XLSTAT_PDFWeibull(S367,10,1)</f>
        <v>2.8477114654892475E-18</v>
      </c>
      <c r="U367">
        <v>367</v>
      </c>
      <c r="W367">
        <f t="shared" si="40"/>
        <v>1.4669605210420751</v>
      </c>
      <c r="X367">
        <f>[1]!XLSTAT_PDFWeibull(W367,10,5)</f>
        <v>3.2215415741212326E-5</v>
      </c>
      <c r="Y367">
        <v>367</v>
      </c>
      <c r="AA367">
        <f t="shared" si="41"/>
        <v>1.4669605210420751</v>
      </c>
      <c r="AB367">
        <f>[1]!XLSTAT_PDFWeibull(AA367,10,5)</f>
        <v>3.2215415741212326E-5</v>
      </c>
    </row>
    <row r="368" spans="1:28" x14ac:dyDescent="0.3">
      <c r="A368">
        <v>368</v>
      </c>
      <c r="C368">
        <f t="shared" si="35"/>
        <v>1.8837675350701364</v>
      </c>
      <c r="D368">
        <f>[1]!XLSTAT_PDFNormal(C368,0,1)</f>
        <v>6.7662132631666178E-2</v>
      </c>
      <c r="E368">
        <v>368</v>
      </c>
      <c r="G368">
        <f t="shared" si="36"/>
        <v>1.4709683366733375</v>
      </c>
      <c r="H368">
        <f>[1]!XLSTAT_PDFWeibull(G368,1)</f>
        <v>0.22970294767029081</v>
      </c>
      <c r="I368">
        <v>368</v>
      </c>
      <c r="K368">
        <f t="shared" si="37"/>
        <v>1.4709683366733375</v>
      </c>
      <c r="L368">
        <f>[1]!XLSTAT_PDFWeibull(K368,1,1)</f>
        <v>0.22970294767029081</v>
      </c>
      <c r="M368">
        <v>368</v>
      </c>
      <c r="O368">
        <f t="shared" si="38"/>
        <v>1.4709683366733375</v>
      </c>
      <c r="P368">
        <f>[1]!XLSTAT_PDFWeibull(O368,5,1)</f>
        <v>2.390506388925151E-2</v>
      </c>
      <c r="Q368">
        <v>368</v>
      </c>
      <c r="S368">
        <f t="shared" si="39"/>
        <v>1.4709683366733375</v>
      </c>
      <c r="T368">
        <f>[1]!XLSTAT_PDFWeibull(S368,10,1)</f>
        <v>8.1430209099215437E-19</v>
      </c>
      <c r="U368">
        <v>368</v>
      </c>
      <c r="W368">
        <f t="shared" si="40"/>
        <v>1.4709683366733375</v>
      </c>
      <c r="X368">
        <f>[1]!XLSTAT_PDFWeibull(W368,10,5)</f>
        <v>3.3016251739044599E-5</v>
      </c>
      <c r="Y368">
        <v>368</v>
      </c>
      <c r="AA368">
        <f t="shared" si="41"/>
        <v>1.4709683366733375</v>
      </c>
      <c r="AB368">
        <f>[1]!XLSTAT_PDFWeibull(AA368,10,5)</f>
        <v>3.3016251739044599E-5</v>
      </c>
    </row>
    <row r="369" spans="1:28" x14ac:dyDescent="0.3">
      <c r="A369">
        <v>369</v>
      </c>
      <c r="C369">
        <f t="shared" si="35"/>
        <v>1.899799599198392</v>
      </c>
      <c r="D369">
        <f>[1]!XLSTAT_PDFNormal(C369,0,1)</f>
        <v>6.5640802191236025E-2</v>
      </c>
      <c r="E369">
        <v>369</v>
      </c>
      <c r="G369">
        <f t="shared" si="36"/>
        <v>1.4749761523046001</v>
      </c>
      <c r="H369">
        <f>[1]!XLSTAT_PDFWeibull(G369,1)</f>
        <v>0.22878418295567418</v>
      </c>
      <c r="I369">
        <v>369</v>
      </c>
      <c r="K369">
        <f t="shared" si="37"/>
        <v>1.4749761523046001</v>
      </c>
      <c r="L369">
        <f>[1]!XLSTAT_PDFWeibull(K369,1,1)</f>
        <v>0.22878418295567418</v>
      </c>
      <c r="M369">
        <v>369</v>
      </c>
      <c r="O369">
        <f t="shared" si="38"/>
        <v>1.4749761523046001</v>
      </c>
      <c r="P369">
        <f>[1]!XLSTAT_PDFWeibull(O369,5,1)</f>
        <v>2.1991197274891447E-2</v>
      </c>
      <c r="Q369">
        <v>369</v>
      </c>
      <c r="S369">
        <f t="shared" si="39"/>
        <v>1.4749761523046001</v>
      </c>
      <c r="T369">
        <f>[1]!XLSTAT_PDFWeibull(S369,10,1)</f>
        <v>2.2557139474073863E-19</v>
      </c>
      <c r="U369">
        <v>369</v>
      </c>
      <c r="W369">
        <f t="shared" si="40"/>
        <v>1.4749761523046001</v>
      </c>
      <c r="X369">
        <f>[1]!XLSTAT_PDFWeibull(W369,10,5)</f>
        <v>3.3834734800735756E-5</v>
      </c>
      <c r="Y369">
        <v>369</v>
      </c>
      <c r="AA369">
        <f t="shared" si="41"/>
        <v>1.4749761523046001</v>
      </c>
      <c r="AB369">
        <f>[1]!XLSTAT_PDFWeibull(AA369,10,5)</f>
        <v>3.3834734800735756E-5</v>
      </c>
    </row>
    <row r="370" spans="1:28" x14ac:dyDescent="0.3">
      <c r="A370">
        <v>370</v>
      </c>
      <c r="C370">
        <f t="shared" si="35"/>
        <v>1.9158316633266486</v>
      </c>
      <c r="D370">
        <f>[1]!XLSTAT_PDFNormal(C370,0,1)</f>
        <v>6.3663491389725435E-2</v>
      </c>
      <c r="E370">
        <v>370</v>
      </c>
      <c r="G370">
        <f t="shared" si="36"/>
        <v>1.4789839679358625</v>
      </c>
      <c r="H370">
        <f>[1]!XLSTAT_PDFWeibull(G370,1)</f>
        <v>0.22786909311162146</v>
      </c>
      <c r="I370">
        <v>370</v>
      </c>
      <c r="K370">
        <f t="shared" si="37"/>
        <v>1.4789839679358625</v>
      </c>
      <c r="L370">
        <f>[1]!XLSTAT_PDFWeibull(K370,1,1)</f>
        <v>0.22786909311162146</v>
      </c>
      <c r="M370">
        <v>370</v>
      </c>
      <c r="O370">
        <f t="shared" si="38"/>
        <v>1.4789839679358625</v>
      </c>
      <c r="P370">
        <f>[1]!XLSTAT_PDFWeibull(O370,5,1)</f>
        <v>2.0209115914905755E-2</v>
      </c>
      <c r="Q370">
        <v>370</v>
      </c>
      <c r="S370">
        <f t="shared" si="39"/>
        <v>1.4789839679358625</v>
      </c>
      <c r="T370">
        <f>[1]!XLSTAT_PDFWeibull(S370,10,1)</f>
        <v>6.0490715569288085E-20</v>
      </c>
      <c r="U370">
        <v>370</v>
      </c>
      <c r="W370">
        <f t="shared" si="40"/>
        <v>1.4789839679358625</v>
      </c>
      <c r="X370">
        <f>[1]!XLSTAT_PDFWeibull(W370,10,5)</f>
        <v>3.4671204245509598E-5</v>
      </c>
      <c r="Y370">
        <v>370</v>
      </c>
      <c r="AA370">
        <f t="shared" si="41"/>
        <v>1.4789839679358625</v>
      </c>
      <c r="AB370">
        <f>[1]!XLSTAT_PDFWeibull(AA370,10,5)</f>
        <v>3.4671204245509598E-5</v>
      </c>
    </row>
    <row r="371" spans="1:28" x14ac:dyDescent="0.3">
      <c r="A371">
        <v>371</v>
      </c>
      <c r="C371">
        <f t="shared" si="35"/>
        <v>1.9318637274549051</v>
      </c>
      <c r="D371">
        <f>[1]!XLSTAT_PDFNormal(C371,0,1)</f>
        <v>6.1729875221800484E-2</v>
      </c>
      <c r="E371">
        <v>371</v>
      </c>
      <c r="G371">
        <f t="shared" si="36"/>
        <v>1.4829917835671251</v>
      </c>
      <c r="H371">
        <f>[1]!XLSTAT_PDFWeibull(G371,1)</f>
        <v>0.22695766343940343</v>
      </c>
      <c r="I371">
        <v>371</v>
      </c>
      <c r="K371">
        <f t="shared" si="37"/>
        <v>1.4829917835671251</v>
      </c>
      <c r="L371">
        <f>[1]!XLSTAT_PDFWeibull(K371,1,1)</f>
        <v>0.22695766343940343</v>
      </c>
      <c r="M371">
        <v>371</v>
      </c>
      <c r="O371">
        <f t="shared" si="38"/>
        <v>1.4829917835671251</v>
      </c>
      <c r="P371">
        <f>[1]!XLSTAT_PDFWeibull(O371,5,1)</f>
        <v>1.8551611466882056E-2</v>
      </c>
      <c r="Q371">
        <v>371</v>
      </c>
      <c r="S371">
        <f t="shared" si="39"/>
        <v>1.4829917835671251</v>
      </c>
      <c r="T371">
        <f>[1]!XLSTAT_PDFWeibull(S371,10,1)</f>
        <v>1.5692463904073143E-20</v>
      </c>
      <c r="U371">
        <v>371</v>
      </c>
      <c r="W371">
        <f t="shared" si="40"/>
        <v>1.4829917835671251</v>
      </c>
      <c r="X371">
        <f>[1]!XLSTAT_PDFWeibull(W371,10,5)</f>
        <v>3.5526004969346628E-5</v>
      </c>
      <c r="Y371">
        <v>371</v>
      </c>
      <c r="AA371">
        <f t="shared" si="41"/>
        <v>1.4829917835671251</v>
      </c>
      <c r="AB371">
        <f>[1]!XLSTAT_PDFWeibull(AA371,10,5)</f>
        <v>3.5526004969346628E-5</v>
      </c>
    </row>
    <row r="372" spans="1:28" x14ac:dyDescent="0.3">
      <c r="A372">
        <v>372</v>
      </c>
      <c r="C372">
        <f t="shared" si="35"/>
        <v>1.9478957915831616</v>
      </c>
      <c r="D372">
        <f>[1]!XLSTAT_PDFNormal(C372,0,1)</f>
        <v>5.9839605337205864E-2</v>
      </c>
      <c r="E372">
        <v>372</v>
      </c>
      <c r="G372">
        <f t="shared" si="36"/>
        <v>1.4869995991983875</v>
      </c>
      <c r="H372">
        <f>[1]!XLSTAT_PDFWeibull(G372,1)</f>
        <v>0.22604987929908296</v>
      </c>
      <c r="I372">
        <v>372</v>
      </c>
      <c r="K372">
        <f t="shared" si="37"/>
        <v>1.4869995991983875</v>
      </c>
      <c r="L372">
        <f>[1]!XLSTAT_PDFWeibull(K372,1,1)</f>
        <v>0.22604987929908296</v>
      </c>
      <c r="M372">
        <v>372</v>
      </c>
      <c r="O372">
        <f t="shared" si="38"/>
        <v>1.4869995991983875</v>
      </c>
      <c r="P372">
        <f>[1]!XLSTAT_PDFWeibull(O372,5,1)</f>
        <v>1.7011720539030169E-2</v>
      </c>
      <c r="Q372">
        <v>372</v>
      </c>
      <c r="S372">
        <f t="shared" si="39"/>
        <v>1.4869995991983875</v>
      </c>
      <c r="T372">
        <f>[1]!XLSTAT_PDFWeibull(S372,10,1)</f>
        <v>3.9352910600493594E-21</v>
      </c>
      <c r="U372">
        <v>372</v>
      </c>
      <c r="W372">
        <f t="shared" si="40"/>
        <v>1.4869995991983875</v>
      </c>
      <c r="X372">
        <f>[1]!XLSTAT_PDFWeibull(W372,10,5)</f>
        <v>3.6399487521137448E-5</v>
      </c>
      <c r="Y372">
        <v>372</v>
      </c>
      <c r="AA372">
        <f t="shared" si="41"/>
        <v>1.4869995991983875</v>
      </c>
      <c r="AB372">
        <f>[1]!XLSTAT_PDFWeibull(AA372,10,5)</f>
        <v>3.6399487521137448E-5</v>
      </c>
    </row>
    <row r="373" spans="1:28" x14ac:dyDescent="0.3">
      <c r="A373">
        <v>373</v>
      </c>
      <c r="C373">
        <f t="shared" si="35"/>
        <v>1.9639278557114181</v>
      </c>
      <c r="D373">
        <f>[1]!XLSTAT_PDFNormal(C373,0,1)</f>
        <v>5.7992311102355268E-2</v>
      </c>
      <c r="E373">
        <v>373</v>
      </c>
      <c r="G373">
        <f t="shared" si="36"/>
        <v>1.4910074148296502</v>
      </c>
      <c r="H373">
        <f>[1]!XLSTAT_PDFWeibull(G373,1)</f>
        <v>0.22514572610927955</v>
      </c>
      <c r="I373">
        <v>373</v>
      </c>
      <c r="K373">
        <f t="shared" si="37"/>
        <v>1.4910074148296502</v>
      </c>
      <c r="L373">
        <f>[1]!XLSTAT_PDFWeibull(K373,1,1)</f>
        <v>0.22514572610927955</v>
      </c>
      <c r="M373">
        <v>373</v>
      </c>
      <c r="O373">
        <f t="shared" si="38"/>
        <v>1.4910074148296502</v>
      </c>
      <c r="P373">
        <f>[1]!XLSTAT_PDFWeibull(O373,5,1)</f>
        <v>1.5582727736984296E-2</v>
      </c>
      <c r="Q373">
        <v>373</v>
      </c>
      <c r="S373">
        <f t="shared" si="39"/>
        <v>1.4910074148296502</v>
      </c>
      <c r="T373">
        <f>[1]!XLSTAT_PDFWeibull(S373,10,1)</f>
        <v>9.5329092785221419E-22</v>
      </c>
      <c r="U373">
        <v>373</v>
      </c>
      <c r="W373">
        <f t="shared" si="40"/>
        <v>1.4910074148296502</v>
      </c>
      <c r="X373">
        <f>[1]!XLSTAT_PDFWeibull(W373,10,5)</f>
        <v>3.7292008179667015E-5</v>
      </c>
      <c r="Y373">
        <v>373</v>
      </c>
      <c r="AA373">
        <f t="shared" si="41"/>
        <v>1.4910074148296502</v>
      </c>
      <c r="AB373">
        <f>[1]!XLSTAT_PDFWeibull(AA373,10,5)</f>
        <v>3.7292008179667015E-5</v>
      </c>
    </row>
    <row r="374" spans="1:28" x14ac:dyDescent="0.3">
      <c r="A374">
        <v>374</v>
      </c>
      <c r="C374">
        <f t="shared" si="35"/>
        <v>1.9799599198396747</v>
      </c>
      <c r="D374">
        <f>[1]!XLSTAT_PDFNormal(C374,0,1)</f>
        <v>5.6187600657741039E-2</v>
      </c>
      <c r="E374">
        <v>374</v>
      </c>
      <c r="G374">
        <f t="shared" si="36"/>
        <v>1.4950152304609126</v>
      </c>
      <c r="H374">
        <f>[1]!XLSTAT_PDFWeibull(G374,1)</f>
        <v>0.2242451893469353</v>
      </c>
      <c r="I374">
        <v>374</v>
      </c>
      <c r="K374">
        <f t="shared" si="37"/>
        <v>1.4950152304609126</v>
      </c>
      <c r="L374">
        <f>[1]!XLSTAT_PDFWeibull(K374,1,1)</f>
        <v>0.2242451893469353</v>
      </c>
      <c r="M374">
        <v>374</v>
      </c>
      <c r="O374">
        <f t="shared" si="38"/>
        <v>1.4950152304609126</v>
      </c>
      <c r="P374">
        <f>[1]!XLSTAT_PDFWeibull(O374,5,1)</f>
        <v>1.4258167674210157E-2</v>
      </c>
      <c r="Q374">
        <v>374</v>
      </c>
      <c r="S374">
        <f t="shared" si="39"/>
        <v>1.4950152304609126</v>
      </c>
      <c r="T374">
        <f>[1]!XLSTAT_PDFWeibull(S374,10,1)</f>
        <v>2.2290017575623656E-22</v>
      </c>
      <c r="U374">
        <v>374</v>
      </c>
      <c r="W374">
        <f t="shared" si="40"/>
        <v>1.4950152304609126</v>
      </c>
      <c r="X374">
        <f>[1]!XLSTAT_PDFWeibull(W374,10,5)</f>
        <v>3.8203929031432594E-5</v>
      </c>
      <c r="Y374">
        <v>374</v>
      </c>
      <c r="AA374">
        <f t="shared" si="41"/>
        <v>1.4950152304609126</v>
      </c>
      <c r="AB374">
        <f>[1]!XLSTAT_PDFWeibull(AA374,10,5)</f>
        <v>3.8203929031432594E-5</v>
      </c>
    </row>
    <row r="375" spans="1:28" x14ac:dyDescent="0.3">
      <c r="A375">
        <v>375</v>
      </c>
      <c r="C375">
        <f t="shared" si="35"/>
        <v>1.9959919839679312</v>
      </c>
      <c r="D375">
        <f>[1]!XLSTAT_PDFNormal(C375,0,1)</f>
        <v>5.4425061969686453E-2</v>
      </c>
      <c r="E375">
        <v>375</v>
      </c>
      <c r="G375">
        <f t="shared" si="36"/>
        <v>1.4990230460921752</v>
      </c>
      <c r="H375">
        <f>[1]!XLSTAT_PDFWeibull(G375,1)</f>
        <v>0.22334825454708146</v>
      </c>
      <c r="I375">
        <v>375</v>
      </c>
      <c r="K375">
        <f t="shared" si="37"/>
        <v>1.4990230460921752</v>
      </c>
      <c r="L375">
        <f>[1]!XLSTAT_PDFWeibull(K375,1,1)</f>
        <v>0.22334825454708146</v>
      </c>
      <c r="M375">
        <v>375</v>
      </c>
      <c r="O375">
        <f t="shared" si="38"/>
        <v>1.4990230460921752</v>
      </c>
      <c r="P375">
        <f>[1]!XLSTAT_PDFWeibull(O375,5,1)</f>
        <v>1.3031825995556554E-2</v>
      </c>
      <c r="Q375">
        <v>375</v>
      </c>
      <c r="S375">
        <f t="shared" si="39"/>
        <v>1.4990230460921752</v>
      </c>
      <c r="T375">
        <f>[1]!XLSTAT_PDFWeibull(S375,10,1)</f>
        <v>5.0268852883273357E-23</v>
      </c>
      <c r="U375">
        <v>375</v>
      </c>
      <c r="W375">
        <f t="shared" si="40"/>
        <v>1.4990230460921752</v>
      </c>
      <c r="X375">
        <f>[1]!XLSTAT_PDFWeibull(W375,10,5)</f>
        <v>3.9135618049305565E-5</v>
      </c>
      <c r="Y375">
        <v>375</v>
      </c>
      <c r="AA375">
        <f t="shared" si="41"/>
        <v>1.4990230460921752</v>
      </c>
      <c r="AB375">
        <f>[1]!XLSTAT_PDFWeibull(AA375,10,5)</f>
        <v>3.9135618049305565E-5</v>
      </c>
    </row>
    <row r="376" spans="1:28" x14ac:dyDescent="0.3">
      <c r="A376">
        <v>376</v>
      </c>
      <c r="C376">
        <f t="shared" si="35"/>
        <v>2.0120240480961877</v>
      </c>
      <c r="D376">
        <f>[1]!XLSTAT_PDFNormal(C376,0,1)</f>
        <v>5.2704263875018517E-2</v>
      </c>
      <c r="E376">
        <v>376</v>
      </c>
      <c r="G376">
        <f t="shared" si="36"/>
        <v>1.5030308617234376</v>
      </c>
      <c r="H376">
        <f>[1]!XLSTAT_PDFWeibull(G376,1)</f>
        <v>0.22245490730260636</v>
      </c>
      <c r="I376">
        <v>376</v>
      </c>
      <c r="K376">
        <f t="shared" si="37"/>
        <v>1.5030308617234376</v>
      </c>
      <c r="L376">
        <f>[1]!XLSTAT_PDFWeibull(K376,1,1)</f>
        <v>0.22245490730260636</v>
      </c>
      <c r="M376">
        <v>376</v>
      </c>
      <c r="O376">
        <f t="shared" si="38"/>
        <v>1.5030308617234376</v>
      </c>
      <c r="P376">
        <f>[1]!XLSTAT_PDFWeibull(O376,5,1)</f>
        <v>1.1897739465906781E-2</v>
      </c>
      <c r="Q376">
        <v>376</v>
      </c>
      <c r="S376">
        <f t="shared" si="39"/>
        <v>1.5030308617234376</v>
      </c>
      <c r="T376">
        <f>[1]!XLSTAT_PDFWeibull(S376,10,1)</f>
        <v>1.0925771367088668E-23</v>
      </c>
      <c r="U376">
        <v>376</v>
      </c>
      <c r="W376">
        <f t="shared" si="40"/>
        <v>1.5030308617234376</v>
      </c>
      <c r="X376">
        <f>[1]!XLSTAT_PDFWeibull(W376,10,5)</f>
        <v>4.0087449172041701E-5</v>
      </c>
      <c r="Y376">
        <v>376</v>
      </c>
      <c r="AA376">
        <f t="shared" si="41"/>
        <v>1.5030308617234376</v>
      </c>
      <c r="AB376">
        <f>[1]!XLSTAT_PDFWeibull(AA376,10,5)</f>
        <v>4.0087449172041701E-5</v>
      </c>
    </row>
    <row r="377" spans="1:28" x14ac:dyDescent="0.3">
      <c r="A377">
        <v>377</v>
      </c>
      <c r="C377">
        <f t="shared" si="35"/>
        <v>2.0280561122244443</v>
      </c>
      <c r="D377">
        <f>[1]!XLSTAT_PDFNormal(C377,0,1)</f>
        <v>5.1024757117296669E-2</v>
      </c>
      <c r="E377">
        <v>377</v>
      </c>
      <c r="G377">
        <f t="shared" si="36"/>
        <v>1.5070386773547</v>
      </c>
      <c r="H377">
        <f>[1]!XLSTAT_PDFWeibull(G377,1)</f>
        <v>0.22156513326402369</v>
      </c>
      <c r="I377">
        <v>377</v>
      </c>
      <c r="K377">
        <f t="shared" si="37"/>
        <v>1.5070386773547</v>
      </c>
      <c r="L377">
        <f>[1]!XLSTAT_PDFWeibull(K377,1,1)</f>
        <v>0.22156513326402369</v>
      </c>
      <c r="M377">
        <v>377</v>
      </c>
      <c r="O377">
        <f t="shared" si="38"/>
        <v>1.5070386773547</v>
      </c>
      <c r="P377">
        <f>[1]!XLSTAT_PDFWeibull(O377,5,1)</f>
        <v>1.0850195177864622E-2</v>
      </c>
      <c r="Q377">
        <v>377</v>
      </c>
      <c r="S377">
        <f t="shared" si="39"/>
        <v>1.5070386773547</v>
      </c>
      <c r="T377">
        <f>[1]!XLSTAT_PDFWeibull(S377,10,1)</f>
        <v>2.2867798570884969E-24</v>
      </c>
      <c r="U377">
        <v>377</v>
      </c>
      <c r="W377">
        <f t="shared" si="40"/>
        <v>1.5070386773547</v>
      </c>
      <c r="X377">
        <f>[1]!XLSTAT_PDFWeibull(W377,10,5)</f>
        <v>4.1059802384648248E-5</v>
      </c>
      <c r="Y377">
        <v>377</v>
      </c>
      <c r="AA377">
        <f t="shared" si="41"/>
        <v>1.5070386773547</v>
      </c>
      <c r="AB377">
        <f>[1]!XLSTAT_PDFWeibull(AA377,10,5)</f>
        <v>4.1059802384648248E-5</v>
      </c>
    </row>
    <row r="378" spans="1:28" x14ac:dyDescent="0.3">
      <c r="A378">
        <v>378</v>
      </c>
      <c r="C378">
        <f t="shared" si="35"/>
        <v>2.0440881763527008</v>
      </c>
      <c r="D378">
        <f>[1]!XLSTAT_PDFNormal(C378,0,1)</f>
        <v>4.938607537328913E-2</v>
      </c>
      <c r="E378">
        <v>378</v>
      </c>
      <c r="G378">
        <f t="shared" si="36"/>
        <v>1.5110464929859626</v>
      </c>
      <c r="H378">
        <f>[1]!XLSTAT_PDFWeibull(G378,1)</f>
        <v>0.22067891813924215</v>
      </c>
      <c r="I378">
        <v>378</v>
      </c>
      <c r="K378">
        <f t="shared" si="37"/>
        <v>1.5110464929859626</v>
      </c>
      <c r="L378">
        <f>[1]!XLSTAT_PDFWeibull(K378,1,1)</f>
        <v>0.22067891813924215</v>
      </c>
      <c r="M378">
        <v>378</v>
      </c>
      <c r="O378">
        <f t="shared" si="38"/>
        <v>1.5110464929859626</v>
      </c>
      <c r="P378">
        <f>[1]!XLSTAT_PDFWeibull(O378,5,1)</f>
        <v>9.883728933981822E-3</v>
      </c>
      <c r="Q378">
        <v>378</v>
      </c>
      <c r="S378">
        <f t="shared" si="39"/>
        <v>1.5110464929859626</v>
      </c>
      <c r="T378">
        <f>[1]!XLSTAT_PDFWeibull(S378,10,1)</f>
        <v>4.6053618531347025E-25</v>
      </c>
      <c r="U378">
        <v>378</v>
      </c>
      <c r="W378">
        <f t="shared" si="40"/>
        <v>1.5110464929859626</v>
      </c>
      <c r="X378">
        <f>[1]!XLSTAT_PDFWeibull(W378,10,5)</f>
        <v>4.2053063799612774E-5</v>
      </c>
      <c r="Y378">
        <v>378</v>
      </c>
      <c r="AA378">
        <f t="shared" si="41"/>
        <v>1.5110464929859626</v>
      </c>
      <c r="AB378">
        <f>[1]!XLSTAT_PDFWeibull(AA378,10,5)</f>
        <v>4.2053063799612774E-5</v>
      </c>
    </row>
    <row r="379" spans="1:28" x14ac:dyDescent="0.3">
      <c r="A379">
        <v>379</v>
      </c>
      <c r="C379">
        <f t="shared" si="35"/>
        <v>2.0601202404809573</v>
      </c>
      <c r="D379">
        <f>[1]!XLSTAT_PDFNormal(C379,0,1)</f>
        <v>4.7787736268448504E-2</v>
      </c>
      <c r="E379">
        <v>379</v>
      </c>
      <c r="G379">
        <f t="shared" si="36"/>
        <v>1.515054308617225</v>
      </c>
      <c r="H379">
        <f>[1]!XLSTAT_PDFWeibull(G379,1)</f>
        <v>0.219796247693336</v>
      </c>
      <c r="I379">
        <v>379</v>
      </c>
      <c r="K379">
        <f t="shared" si="37"/>
        <v>1.515054308617225</v>
      </c>
      <c r="L379">
        <f>[1]!XLSTAT_PDFWeibull(K379,1,1)</f>
        <v>0.219796247693336</v>
      </c>
      <c r="M379">
        <v>379</v>
      </c>
      <c r="O379">
        <f t="shared" si="38"/>
        <v>1.515054308617225</v>
      </c>
      <c r="P379">
        <f>[1]!XLSTAT_PDFWeibull(O379,5,1)</f>
        <v>8.9931228601888083E-3</v>
      </c>
      <c r="Q379">
        <v>379</v>
      </c>
      <c r="S379">
        <f t="shared" si="39"/>
        <v>1.515054308617225</v>
      </c>
      <c r="T379">
        <f>[1]!XLSTAT_PDFWeibull(S379,10,1)</f>
        <v>8.916855507881877E-26</v>
      </c>
      <c r="U379">
        <v>379</v>
      </c>
      <c r="W379">
        <f t="shared" si="40"/>
        <v>1.515054308617225</v>
      </c>
      <c r="X379">
        <f>[1]!XLSTAT_PDFWeibull(W379,10,5)</f>
        <v>4.306762573900274E-5</v>
      </c>
      <c r="Y379">
        <v>379</v>
      </c>
      <c r="AA379">
        <f t="shared" si="41"/>
        <v>1.515054308617225</v>
      </c>
      <c r="AB379">
        <f>[1]!XLSTAT_PDFWeibull(AA379,10,5)</f>
        <v>4.306762573900274E-5</v>
      </c>
    </row>
    <row r="380" spans="1:28" x14ac:dyDescent="0.3">
      <c r="A380">
        <v>380</v>
      </c>
      <c r="C380">
        <f t="shared" si="35"/>
        <v>2.0761523046092139</v>
      </c>
      <c r="D380">
        <f>[1]!XLSTAT_PDFNormal(C380,0,1)</f>
        <v>4.6229242380196135E-2</v>
      </c>
      <c r="E380">
        <v>380</v>
      </c>
      <c r="G380">
        <f t="shared" si="36"/>
        <v>1.5190621242484876</v>
      </c>
      <c r="H380">
        <f>[1]!XLSTAT_PDFWeibull(G380,1)</f>
        <v>0.21891710774831608</v>
      </c>
      <c r="I380">
        <v>380</v>
      </c>
      <c r="K380">
        <f t="shared" si="37"/>
        <v>1.5190621242484876</v>
      </c>
      <c r="L380">
        <f>[1]!XLSTAT_PDFWeibull(K380,1,1)</f>
        <v>0.21891710774831608</v>
      </c>
      <c r="M380">
        <v>380</v>
      </c>
      <c r="O380">
        <f t="shared" si="38"/>
        <v>1.5190621242484876</v>
      </c>
      <c r="P380">
        <f>[1]!XLSTAT_PDFWeibull(O380,5,1)</f>
        <v>8.1734023078489752E-3</v>
      </c>
      <c r="Q380">
        <v>380</v>
      </c>
      <c r="S380">
        <f t="shared" si="39"/>
        <v>1.5190621242484876</v>
      </c>
      <c r="T380">
        <f>[1]!XLSTAT_PDFWeibull(S380,10,1)</f>
        <v>1.6584522107596424E-26</v>
      </c>
      <c r="U380">
        <v>380</v>
      </c>
      <c r="W380">
        <f t="shared" si="40"/>
        <v>1.5190621242484876</v>
      </c>
      <c r="X380">
        <f>[1]!XLSTAT_PDFWeibull(W380,10,5)</f>
        <v>4.4103886817441524E-5</v>
      </c>
      <c r="Y380">
        <v>380</v>
      </c>
      <c r="AA380">
        <f t="shared" si="41"/>
        <v>1.5190621242484876</v>
      </c>
      <c r="AB380">
        <f>[1]!XLSTAT_PDFWeibull(AA380,10,5)</f>
        <v>4.4103886817441524E-5</v>
      </c>
    </row>
    <row r="381" spans="1:28" x14ac:dyDescent="0.3">
      <c r="A381">
        <v>381</v>
      </c>
      <c r="C381">
        <f t="shared" si="35"/>
        <v>2.0921843687374704</v>
      </c>
      <c r="D381">
        <f>[1]!XLSTAT_PDFNormal(C381,0,1)</f>
        <v>4.4710082227885133E-2</v>
      </c>
      <c r="E381">
        <v>381</v>
      </c>
      <c r="G381">
        <f t="shared" si="36"/>
        <v>1.52306993987975</v>
      </c>
      <c r="H381">
        <f>[1]!XLSTAT_PDFWeibull(G381,1)</f>
        <v>0.21804148418290251</v>
      </c>
      <c r="I381">
        <v>381</v>
      </c>
      <c r="K381">
        <f t="shared" si="37"/>
        <v>1.52306993987975</v>
      </c>
      <c r="L381">
        <f>[1]!XLSTAT_PDFWeibull(K381,1,1)</f>
        <v>0.21804148418290251</v>
      </c>
      <c r="M381">
        <v>381</v>
      </c>
      <c r="O381">
        <f t="shared" si="38"/>
        <v>1.52306993987975</v>
      </c>
      <c r="P381">
        <f>[1]!XLSTAT_PDFWeibull(O381,5,1)</f>
        <v>7.4198321022327339E-3</v>
      </c>
      <c r="Q381">
        <v>381</v>
      </c>
      <c r="S381">
        <f t="shared" si="39"/>
        <v>1.52306993987975</v>
      </c>
      <c r="T381">
        <f>[1]!XLSTAT_PDFWeibull(S381,10,1)</f>
        <v>2.9605017278868028E-27</v>
      </c>
      <c r="U381">
        <v>381</v>
      </c>
      <c r="W381">
        <f t="shared" si="40"/>
        <v>1.52306993987975</v>
      </c>
      <c r="X381">
        <f>[1]!XLSTAT_PDFWeibull(W381,10,5)</f>
        <v>4.5162252025968372E-5</v>
      </c>
      <c r="Y381">
        <v>381</v>
      </c>
      <c r="AA381">
        <f t="shared" si="41"/>
        <v>1.52306993987975</v>
      </c>
      <c r="AB381">
        <f>[1]!XLSTAT_PDFWeibull(AA381,10,5)</f>
        <v>4.5162252025968372E-5</v>
      </c>
    </row>
    <row r="382" spans="1:28" x14ac:dyDescent="0.3">
      <c r="A382">
        <v>382</v>
      </c>
      <c r="C382">
        <f t="shared" si="35"/>
        <v>2.1082164328657269</v>
      </c>
      <c r="D382">
        <f>[1]!XLSTAT_PDFNormal(C382,0,1)</f>
        <v>4.3229731248371622E-2</v>
      </c>
      <c r="E382">
        <v>382</v>
      </c>
      <c r="G382">
        <f t="shared" si="36"/>
        <v>1.5270777555110127</v>
      </c>
      <c r="H382">
        <f>[1]!XLSTAT_PDFWeibull(G382,1)</f>
        <v>0.21716936293229741</v>
      </c>
      <c r="I382">
        <v>382</v>
      </c>
      <c r="K382">
        <f t="shared" si="37"/>
        <v>1.5270777555110127</v>
      </c>
      <c r="L382">
        <f>[1]!XLSTAT_PDFWeibull(K382,1,1)</f>
        <v>0.21716936293229741</v>
      </c>
      <c r="M382">
        <v>382</v>
      </c>
      <c r="O382">
        <f t="shared" si="38"/>
        <v>1.5270777555110127</v>
      </c>
      <c r="P382">
        <f>[1]!XLSTAT_PDFWeibull(O382,5,1)</f>
        <v>6.7279121952092229E-3</v>
      </c>
      <c r="Q382">
        <v>382</v>
      </c>
      <c r="S382">
        <f t="shared" si="39"/>
        <v>1.5270777555110127</v>
      </c>
      <c r="T382">
        <f>[1]!XLSTAT_PDFWeibull(S382,10,1)</f>
        <v>5.0678029872384719E-28</v>
      </c>
      <c r="U382">
        <v>382</v>
      </c>
      <c r="W382">
        <f t="shared" si="40"/>
        <v>1.5270777555110127</v>
      </c>
      <c r="X382">
        <f>[1]!XLSTAT_PDFWeibull(W382,10,5)</f>
        <v>4.6243132816788361E-5</v>
      </c>
      <c r="Y382">
        <v>382</v>
      </c>
      <c r="AA382">
        <f t="shared" si="41"/>
        <v>1.5270777555110127</v>
      </c>
      <c r="AB382">
        <f>[1]!XLSTAT_PDFWeibull(AA382,10,5)</f>
        <v>4.6243132816788361E-5</v>
      </c>
    </row>
    <row r="383" spans="1:28" x14ac:dyDescent="0.3">
      <c r="A383">
        <v>383</v>
      </c>
      <c r="C383">
        <f t="shared" si="35"/>
        <v>2.1242484969939834</v>
      </c>
      <c r="D383">
        <f>[1]!XLSTAT_PDFNormal(C383,0,1)</f>
        <v>4.1787652756184054E-2</v>
      </c>
      <c r="E383">
        <v>383</v>
      </c>
      <c r="G383">
        <f t="shared" si="36"/>
        <v>1.5310855711422751</v>
      </c>
      <c r="H383">
        <f>[1]!XLSTAT_PDFWeibull(G383,1)</f>
        <v>0.21630072998795943</v>
      </c>
      <c r="I383">
        <v>383</v>
      </c>
      <c r="K383">
        <f t="shared" si="37"/>
        <v>1.5310855711422751</v>
      </c>
      <c r="L383">
        <f>[1]!XLSTAT_PDFWeibull(K383,1,1)</f>
        <v>0.21630072998795943</v>
      </c>
      <c r="M383">
        <v>383</v>
      </c>
      <c r="O383">
        <f t="shared" si="38"/>
        <v>1.5310855711422751</v>
      </c>
      <c r="P383">
        <f>[1]!XLSTAT_PDFWeibull(O383,5,1)</f>
        <v>6.0933727796110325E-3</v>
      </c>
      <c r="Q383">
        <v>383</v>
      </c>
      <c r="S383">
        <f t="shared" si="39"/>
        <v>1.5310855711422751</v>
      </c>
      <c r="T383">
        <f>[1]!XLSTAT_PDFWeibull(S383,10,1)</f>
        <v>8.311512177725712E-29</v>
      </c>
      <c r="U383">
        <v>383</v>
      </c>
      <c r="W383">
        <f t="shared" si="40"/>
        <v>1.5310855711422751</v>
      </c>
      <c r="X383">
        <f>[1]!XLSTAT_PDFWeibull(W383,10,5)</f>
        <v>4.7346947188920712E-5</v>
      </c>
      <c r="Y383">
        <v>383</v>
      </c>
      <c r="AA383">
        <f t="shared" si="41"/>
        <v>1.5310855711422751</v>
      </c>
      <c r="AB383">
        <f>[1]!XLSTAT_PDFWeibull(AA383,10,5)</f>
        <v>4.7346947188920712E-5</v>
      </c>
    </row>
    <row r="384" spans="1:28" x14ac:dyDescent="0.3">
      <c r="A384">
        <v>384</v>
      </c>
      <c r="C384">
        <f t="shared" si="35"/>
        <v>2.14028056112224</v>
      </c>
      <c r="D384">
        <f>[1]!XLSTAT_PDFNormal(C384,0,1)</f>
        <v>4.0383298887340921E-2</v>
      </c>
      <c r="E384">
        <v>384</v>
      </c>
      <c r="G384">
        <f t="shared" si="36"/>
        <v>1.5350933867735377</v>
      </c>
      <c r="H384">
        <f>[1]!XLSTAT_PDFWeibull(G384,1)</f>
        <v>0.21543557139737832</v>
      </c>
      <c r="I384">
        <v>384</v>
      </c>
      <c r="K384">
        <f t="shared" si="37"/>
        <v>1.5350933867735377</v>
      </c>
      <c r="L384">
        <f>[1]!XLSTAT_PDFWeibull(K384,1,1)</f>
        <v>0.21543557139737832</v>
      </c>
      <c r="M384">
        <v>384</v>
      </c>
      <c r="O384">
        <f t="shared" si="38"/>
        <v>1.5350933867735377</v>
      </c>
      <c r="P384">
        <f>[1]!XLSTAT_PDFWeibull(O384,5,1)</f>
        <v>5.5121689220489238E-3</v>
      </c>
      <c r="Q384">
        <v>384</v>
      </c>
      <c r="S384">
        <f t="shared" si="39"/>
        <v>1.5350933867735377</v>
      </c>
      <c r="T384">
        <f>[1]!XLSTAT_PDFWeibull(S384,10,1)</f>
        <v>1.3048271781828792E-29</v>
      </c>
      <c r="U384">
        <v>384</v>
      </c>
      <c r="W384">
        <f t="shared" si="40"/>
        <v>1.5350933867735377</v>
      </c>
      <c r="X384">
        <f>[1]!XLSTAT_PDFWeibull(W384,10,5)</f>
        <v>4.8474119774752132E-5</v>
      </c>
      <c r="Y384">
        <v>384</v>
      </c>
      <c r="AA384">
        <f t="shared" si="41"/>
        <v>1.5350933867735377</v>
      </c>
      <c r="AB384">
        <f>[1]!XLSTAT_PDFWeibull(AA384,10,5)</f>
        <v>4.8474119774752132E-5</v>
      </c>
    </row>
    <row r="385" spans="1:28" x14ac:dyDescent="0.3">
      <c r="A385">
        <v>385</v>
      </c>
      <c r="C385">
        <f t="shared" ref="C385:C448" si="42">-4+(A385-1)*0.0160320641282565</f>
        <v>2.1563126252504965</v>
      </c>
      <c r="D385">
        <f>[1]!XLSTAT_PDFNormal(C385,0,1)</f>
        <v>3.9016111525927183E-2</v>
      </c>
      <c r="E385">
        <v>385</v>
      </c>
      <c r="G385">
        <f t="shared" ref="G385:G448" si="43">0.0001+(E385-1)*0.0040078156312625</f>
        <v>1.5391012024048001</v>
      </c>
      <c r="H385">
        <f>[1]!XLSTAT_PDFWeibull(G385,1)</f>
        <v>0.21457387326385119</v>
      </c>
      <c r="I385">
        <v>385</v>
      </c>
      <c r="K385">
        <f t="shared" ref="K385:K448" si="44">0.0001+(I385-1)*0.0040078156312625</f>
        <v>1.5391012024048001</v>
      </c>
      <c r="L385">
        <f>[1]!XLSTAT_PDFWeibull(K385,1,1)</f>
        <v>0.21457387326385119</v>
      </c>
      <c r="M385">
        <v>385</v>
      </c>
      <c r="O385">
        <f t="shared" ref="O385:O448" si="45">0.0001+(M385-1)*0.0040078156312625</f>
        <v>1.5391012024048001</v>
      </c>
      <c r="P385">
        <f>[1]!XLSTAT_PDFWeibull(O385,5,1)</f>
        <v>4.9804747699714333E-3</v>
      </c>
      <c r="Q385">
        <v>385</v>
      </c>
      <c r="S385">
        <f t="shared" ref="S385:S448" si="46">0.0001+(Q385-1)*0.0040078156312625</f>
        <v>1.5391012024048001</v>
      </c>
      <c r="T385">
        <f>[1]!XLSTAT_PDFWeibull(S385,10,1)</f>
        <v>1.9590160775148199E-30</v>
      </c>
      <c r="U385">
        <v>385</v>
      </c>
      <c r="W385">
        <f t="shared" ref="W385:W448" si="47">0.0001+(U385-1)*0.0040078156312625</f>
        <v>1.5391012024048001</v>
      </c>
      <c r="X385">
        <f>[1]!XLSTAT_PDFWeibull(W385,10,5)</f>
        <v>4.9625081927500937E-5</v>
      </c>
      <c r="Y385">
        <v>385</v>
      </c>
      <c r="AA385">
        <f t="shared" ref="AA385:AA448" si="48">0.0001+(Y385-1)*0.0040078156312625</f>
        <v>1.5391012024048001</v>
      </c>
      <c r="AB385">
        <f>[1]!XLSTAT_PDFWeibull(AA385,10,5)</f>
        <v>4.9625081927500937E-5</v>
      </c>
    </row>
    <row r="386" spans="1:28" x14ac:dyDescent="0.3">
      <c r="A386">
        <v>386</v>
      </c>
      <c r="C386">
        <f t="shared" si="42"/>
        <v>2.172344689378753</v>
      </c>
      <c r="D386">
        <f>[1]!XLSTAT_PDFNormal(C386,0,1)</f>
        <v>3.7685523212599908E-2</v>
      </c>
      <c r="E386">
        <v>386</v>
      </c>
      <c r="G386">
        <f t="shared" si="43"/>
        <v>1.5431090180360625</v>
      </c>
      <c r="H386">
        <f>[1]!XLSTAT_PDFWeibull(G386,1)</f>
        <v>0.21371562174625894</v>
      </c>
      <c r="I386">
        <v>386</v>
      </c>
      <c r="K386">
        <f t="shared" si="44"/>
        <v>1.5431090180360625</v>
      </c>
      <c r="L386">
        <f>[1]!XLSTAT_PDFWeibull(K386,1,1)</f>
        <v>0.21371562174625894</v>
      </c>
      <c r="M386">
        <v>386</v>
      </c>
      <c r="O386">
        <f t="shared" si="45"/>
        <v>1.5431090180360625</v>
      </c>
      <c r="P386">
        <f>[1]!XLSTAT_PDFWeibull(O386,5,1)</f>
        <v>4.4946773874935883E-3</v>
      </c>
      <c r="Q386">
        <v>386</v>
      </c>
      <c r="S386">
        <f t="shared" si="46"/>
        <v>1.5431090180360625</v>
      </c>
      <c r="T386">
        <f>[1]!XLSTAT_PDFWeibull(S386,10,1)</f>
        <v>2.8101344831706012E-31</v>
      </c>
      <c r="U386">
        <v>386</v>
      </c>
      <c r="W386">
        <f t="shared" si="47"/>
        <v>1.5431090180360625</v>
      </c>
      <c r="X386">
        <f>[1]!XLSTAT_PDFWeibull(W386,10,5)</f>
        <v>5.08002718096019E-5</v>
      </c>
      <c r="Y386">
        <v>386</v>
      </c>
      <c r="AA386">
        <f t="shared" si="48"/>
        <v>1.5431090180360625</v>
      </c>
      <c r="AB386">
        <f>[1]!XLSTAT_PDFWeibull(AA386,10,5)</f>
        <v>5.08002718096019E-5</v>
      </c>
    </row>
    <row r="387" spans="1:28" x14ac:dyDescent="0.3">
      <c r="A387">
        <v>387</v>
      </c>
      <c r="C387">
        <f t="shared" si="42"/>
        <v>2.1883767535070096</v>
      </c>
      <c r="D387">
        <f>[1]!XLSTAT_PDFNormal(C387,0,1)</f>
        <v>3.6390958034253532E-2</v>
      </c>
      <c r="E387">
        <v>387</v>
      </c>
      <c r="G387">
        <f t="shared" si="43"/>
        <v>1.5471168336673251</v>
      </c>
      <c r="H387">
        <f>[1]!XLSTAT_PDFWeibull(G387,1)</f>
        <v>0.21286080305884419</v>
      </c>
      <c r="I387">
        <v>387</v>
      </c>
      <c r="K387">
        <f t="shared" si="44"/>
        <v>1.5471168336673251</v>
      </c>
      <c r="L387">
        <f>[1]!XLSTAT_PDFWeibull(K387,1,1)</f>
        <v>0.21286080305884419</v>
      </c>
      <c r="M387">
        <v>387</v>
      </c>
      <c r="O387">
        <f t="shared" si="45"/>
        <v>1.5471168336673251</v>
      </c>
      <c r="P387">
        <f>[1]!XLSTAT_PDFWeibull(O387,5,1)</f>
        <v>4.0513702729906868E-3</v>
      </c>
      <c r="Q387">
        <v>387</v>
      </c>
      <c r="S387">
        <f t="shared" si="46"/>
        <v>1.5471168336673251</v>
      </c>
      <c r="T387">
        <f>[1]!XLSTAT_PDFWeibull(S387,10,1)</f>
        <v>3.8477322018847943E-32</v>
      </c>
      <c r="U387">
        <v>387</v>
      </c>
      <c r="W387">
        <f t="shared" si="47"/>
        <v>1.5471168336673251</v>
      </c>
      <c r="X387">
        <f>[1]!XLSTAT_PDFWeibull(W387,10,5)</f>
        <v>5.2000134482015574E-5</v>
      </c>
      <c r="Y387">
        <v>387</v>
      </c>
      <c r="AA387">
        <f t="shared" si="48"/>
        <v>1.5471168336673251</v>
      </c>
      <c r="AB387">
        <f>[1]!XLSTAT_PDFWeibull(AA387,10,5)</f>
        <v>5.2000134482015574E-5</v>
      </c>
    </row>
    <row r="388" spans="1:28" x14ac:dyDescent="0.3">
      <c r="A388">
        <v>388</v>
      </c>
      <c r="C388">
        <f t="shared" si="42"/>
        <v>2.2044088176352661</v>
      </c>
      <c r="D388">
        <f>[1]!XLSTAT_PDFNormal(C388,0,1)</f>
        <v>3.5131832494133833E-2</v>
      </c>
      <c r="E388">
        <v>388</v>
      </c>
      <c r="G388">
        <f t="shared" si="43"/>
        <v>1.5511246492985875</v>
      </c>
      <c r="H388">
        <f>[1]!XLSTAT_PDFWeibull(G388,1)</f>
        <v>0.21200940347098984</v>
      </c>
      <c r="I388">
        <v>388</v>
      </c>
      <c r="K388">
        <f t="shared" si="44"/>
        <v>1.5511246492985875</v>
      </c>
      <c r="L388">
        <f>[1]!XLSTAT_PDFWeibull(K388,1,1)</f>
        <v>0.21200940347098984</v>
      </c>
      <c r="M388">
        <v>388</v>
      </c>
      <c r="O388">
        <f t="shared" si="45"/>
        <v>1.5511246492985875</v>
      </c>
      <c r="P388">
        <f>[1]!XLSTAT_PDFWeibull(O388,5,1)</f>
        <v>3.6473466096873697E-3</v>
      </c>
      <c r="Q388">
        <v>388</v>
      </c>
      <c r="S388">
        <f t="shared" si="46"/>
        <v>1.5511246492985875</v>
      </c>
      <c r="T388">
        <f>[1]!XLSTAT_PDFWeibull(S388,10,1)</f>
        <v>5.0239823788950259E-33</v>
      </c>
      <c r="U388">
        <v>388</v>
      </c>
      <c r="W388">
        <f t="shared" si="47"/>
        <v>1.5511246492985875</v>
      </c>
      <c r="X388">
        <f>[1]!XLSTAT_PDFWeibull(W388,10,5)</f>
        <v>5.3225121994472425E-5</v>
      </c>
      <c r="Y388">
        <v>388</v>
      </c>
      <c r="AA388">
        <f t="shared" si="48"/>
        <v>1.5511246492985875</v>
      </c>
      <c r="AB388">
        <f>[1]!XLSTAT_PDFWeibull(AA388,10,5)</f>
        <v>5.3225121994472425E-5</v>
      </c>
    </row>
    <row r="389" spans="1:28" x14ac:dyDescent="0.3">
      <c r="A389">
        <v>389</v>
      </c>
      <c r="C389">
        <f t="shared" si="42"/>
        <v>2.2204408817635226</v>
      </c>
      <c r="D389">
        <f>[1]!XLSTAT_PDFNormal(C389,0,1)</f>
        <v>3.3907556361749337E-2</v>
      </c>
      <c r="E389">
        <v>389</v>
      </c>
      <c r="G389">
        <f t="shared" si="43"/>
        <v>1.5551324649298501</v>
      </c>
      <c r="H389">
        <f>[1]!XLSTAT_PDFWeibull(G389,1)</f>
        <v>0.21116140930699828</v>
      </c>
      <c r="I389">
        <v>389</v>
      </c>
      <c r="K389">
        <f t="shared" si="44"/>
        <v>1.5551324649298501</v>
      </c>
      <c r="L389">
        <f>[1]!XLSTAT_PDFWeibull(K389,1,1)</f>
        <v>0.21116140930699828</v>
      </c>
      <c r="M389">
        <v>389</v>
      </c>
      <c r="O389">
        <f t="shared" si="45"/>
        <v>1.5551324649298501</v>
      </c>
      <c r="P389">
        <f>[1]!XLSTAT_PDFWeibull(O389,5,1)</f>
        <v>3.2795922984980488E-3</v>
      </c>
      <c r="Q389">
        <v>389</v>
      </c>
      <c r="S389">
        <f t="shared" si="46"/>
        <v>1.5551324649298501</v>
      </c>
      <c r="T389">
        <f>[1]!XLSTAT_PDFWeibull(S389,10,1)</f>
        <v>6.2492237272327983E-34</v>
      </c>
      <c r="U389">
        <v>389</v>
      </c>
      <c r="W389">
        <f t="shared" si="47"/>
        <v>1.5551324649298501</v>
      </c>
      <c r="X389">
        <f>[1]!XLSTAT_PDFWeibull(W389,10,5)</f>
        <v>5.4475693476657049E-5</v>
      </c>
      <c r="Y389">
        <v>389</v>
      </c>
      <c r="AA389">
        <f t="shared" si="48"/>
        <v>1.5551324649298501</v>
      </c>
      <c r="AB389">
        <f>[1]!XLSTAT_PDFWeibull(AA389,10,5)</f>
        <v>5.4475693476657049E-5</v>
      </c>
    </row>
    <row r="390" spans="1:28" x14ac:dyDescent="0.3">
      <c r="A390">
        <v>390</v>
      </c>
      <c r="C390">
        <f t="shared" si="42"/>
        <v>2.2364729458917791</v>
      </c>
      <c r="D390">
        <f>[1]!XLSTAT_PDFNormal(C390,0,1)</f>
        <v>3.2717533501985932E-2</v>
      </c>
      <c r="E390">
        <v>390</v>
      </c>
      <c r="G390">
        <f t="shared" si="43"/>
        <v>1.5591402805611125</v>
      </c>
      <c r="H390">
        <f>[1]!XLSTAT_PDFWeibull(G390,1)</f>
        <v>0.21031680694587207</v>
      </c>
      <c r="I390">
        <v>390</v>
      </c>
      <c r="K390">
        <f t="shared" si="44"/>
        <v>1.5591402805611125</v>
      </c>
      <c r="L390">
        <f>[1]!XLSTAT_PDFWeibull(K390,1,1)</f>
        <v>0.21031680694587207</v>
      </c>
      <c r="M390">
        <v>390</v>
      </c>
      <c r="O390">
        <f t="shared" si="45"/>
        <v>1.5591402805611125</v>
      </c>
      <c r="P390">
        <f>[1]!XLSTAT_PDFWeibull(O390,5,1)</f>
        <v>2.9452788202180818E-3</v>
      </c>
      <c r="Q390">
        <v>390</v>
      </c>
      <c r="S390">
        <f t="shared" si="46"/>
        <v>1.5591402805611125</v>
      </c>
      <c r="T390">
        <f>[1]!XLSTAT_PDFWeibull(S390,10,1)</f>
        <v>7.3977564297370409E-35</v>
      </c>
      <c r="U390">
        <v>390</v>
      </c>
      <c r="W390">
        <f t="shared" si="47"/>
        <v>1.5591402805611125</v>
      </c>
      <c r="X390">
        <f>[1]!XLSTAT_PDFWeibull(W390,10,5)</f>
        <v>5.5752315230340275E-5</v>
      </c>
      <c r="Y390">
        <v>390</v>
      </c>
      <c r="AA390">
        <f t="shared" si="48"/>
        <v>1.5591402805611125</v>
      </c>
      <c r="AB390">
        <f>[1]!XLSTAT_PDFWeibull(AA390,10,5)</f>
        <v>5.5752315230340275E-5</v>
      </c>
    </row>
    <row r="391" spans="1:28" x14ac:dyDescent="0.3">
      <c r="A391">
        <v>391</v>
      </c>
      <c r="C391">
        <f t="shared" si="42"/>
        <v>2.2525050100200357</v>
      </c>
      <c r="D391">
        <f>[1]!XLSTAT_PDFNormal(C391,0,1)</f>
        <v>3.1561162682888326E-2</v>
      </c>
      <c r="E391">
        <v>391</v>
      </c>
      <c r="G391">
        <f t="shared" si="43"/>
        <v>1.5631480961923752</v>
      </c>
      <c r="H391">
        <f>[1]!XLSTAT_PDFWeibull(G391,1)</f>
        <v>0.2094755828210948</v>
      </c>
      <c r="I391">
        <v>391</v>
      </c>
      <c r="K391">
        <f t="shared" si="44"/>
        <v>1.5631480961923752</v>
      </c>
      <c r="L391">
        <f>[1]!XLSTAT_PDFWeibull(K391,1,1)</f>
        <v>0.2094755828210948</v>
      </c>
      <c r="M391">
        <v>391</v>
      </c>
      <c r="O391">
        <f t="shared" si="45"/>
        <v>1.5631480961923752</v>
      </c>
      <c r="P391">
        <f>[1]!XLSTAT_PDFWeibull(O391,5,1)</f>
        <v>2.6417559718493713E-3</v>
      </c>
      <c r="Q391">
        <v>391</v>
      </c>
      <c r="S391">
        <f t="shared" si="46"/>
        <v>1.5631480961923752</v>
      </c>
      <c r="T391">
        <f>[1]!XLSTAT_PDFWeibull(S391,10,1)</f>
        <v>8.3257482873577474E-36</v>
      </c>
      <c r="U391">
        <v>391</v>
      </c>
      <c r="W391">
        <f t="shared" si="47"/>
        <v>1.5631480961923752</v>
      </c>
      <c r="X391">
        <f>[1]!XLSTAT_PDFWeibull(W391,10,5)</f>
        <v>5.7055460822467061E-5</v>
      </c>
      <c r="Y391">
        <v>391</v>
      </c>
      <c r="AA391">
        <f t="shared" si="48"/>
        <v>1.5631480961923752</v>
      </c>
      <c r="AB391">
        <f>[1]!XLSTAT_PDFWeibull(AA391,10,5)</f>
        <v>5.7055460822467061E-5</v>
      </c>
    </row>
    <row r="392" spans="1:28" x14ac:dyDescent="0.3">
      <c r="A392">
        <v>392</v>
      </c>
      <c r="C392">
        <f t="shared" si="42"/>
        <v>2.2685370741482922</v>
      </c>
      <c r="D392">
        <f>[1]!XLSTAT_PDFNormal(C392,0,1)</f>
        <v>3.0437838361628101E-2</v>
      </c>
      <c r="E392">
        <v>392</v>
      </c>
      <c r="G392">
        <f t="shared" si="43"/>
        <v>1.5671559118236376</v>
      </c>
      <c r="H392">
        <f>[1]!XLSTAT_PDFWeibull(G392,1)</f>
        <v>0.20863772342041345</v>
      </c>
      <c r="I392">
        <v>392</v>
      </c>
      <c r="K392">
        <f t="shared" si="44"/>
        <v>1.5671559118236376</v>
      </c>
      <c r="L392">
        <f>[1]!XLSTAT_PDFWeibull(K392,1,1)</f>
        <v>0.20863772342041345</v>
      </c>
      <c r="M392">
        <v>392</v>
      </c>
      <c r="O392">
        <f t="shared" si="45"/>
        <v>1.5671559118236376</v>
      </c>
      <c r="P392">
        <f>[1]!XLSTAT_PDFWeibull(O392,5,1)</f>
        <v>2.3665445194000806E-3</v>
      </c>
      <c r="Q392">
        <v>392</v>
      </c>
      <c r="S392">
        <f t="shared" si="46"/>
        <v>1.5671559118236376</v>
      </c>
      <c r="T392">
        <f>[1]!XLSTAT_PDFWeibull(S392,10,1)</f>
        <v>8.8989959463855053E-37</v>
      </c>
      <c r="U392">
        <v>392</v>
      </c>
      <c r="W392">
        <f t="shared" si="47"/>
        <v>1.5671559118236376</v>
      </c>
      <c r="X392">
        <f>[1]!XLSTAT_PDFWeibull(W392,10,5)</f>
        <v>5.8385611179206539E-5</v>
      </c>
      <c r="Y392">
        <v>392</v>
      </c>
      <c r="AA392">
        <f t="shared" si="48"/>
        <v>1.5671559118236376</v>
      </c>
      <c r="AB392">
        <f>[1]!XLSTAT_PDFWeibull(AA392,10,5)</f>
        <v>5.8385611179206539E-5</v>
      </c>
    </row>
    <row r="393" spans="1:28" x14ac:dyDescent="0.3">
      <c r="A393">
        <v>393</v>
      </c>
      <c r="C393">
        <f t="shared" si="42"/>
        <v>2.2845691382765487</v>
      </c>
      <c r="D393">
        <f>[1]!XLSTAT_PDFNormal(C393,0,1)</f>
        <v>2.9346951448233433E-2</v>
      </c>
      <c r="E393">
        <v>393</v>
      </c>
      <c r="G393">
        <f t="shared" si="43"/>
        <v>1.5711637274549002</v>
      </c>
      <c r="H393">
        <f>[1]!XLSTAT_PDFWeibull(G393,1)</f>
        <v>0.20780321528562121</v>
      </c>
      <c r="I393">
        <v>393</v>
      </c>
      <c r="K393">
        <f t="shared" si="44"/>
        <v>1.5711637274549002</v>
      </c>
      <c r="L393">
        <f>[1]!XLSTAT_PDFWeibull(K393,1,1)</f>
        <v>0.20780321528562121</v>
      </c>
      <c r="M393">
        <v>393</v>
      </c>
      <c r="O393">
        <f t="shared" si="45"/>
        <v>1.5711637274549002</v>
      </c>
      <c r="P393">
        <f>[1]!XLSTAT_PDFWeibull(O393,5,1)</f>
        <v>2.1173288069464349E-3</v>
      </c>
      <c r="Q393">
        <v>393</v>
      </c>
      <c r="S393">
        <f t="shared" si="46"/>
        <v>1.5711637274549002</v>
      </c>
      <c r="T393">
        <f>[1]!XLSTAT_PDFWeibull(S393,10,1)</f>
        <v>9.0238148354997894E-38</v>
      </c>
      <c r="U393">
        <v>393</v>
      </c>
      <c r="W393">
        <f t="shared" si="47"/>
        <v>1.5711637274549002</v>
      </c>
      <c r="X393">
        <f>[1]!XLSTAT_PDFWeibull(W393,10,5)</f>
        <v>5.9743254680972838E-5</v>
      </c>
      <c r="Y393">
        <v>393</v>
      </c>
      <c r="AA393">
        <f t="shared" si="48"/>
        <v>1.5711637274549002</v>
      </c>
      <c r="AB393">
        <f>[1]!XLSTAT_PDFWeibull(AA393,10,5)</f>
        <v>5.9743254680972838E-5</v>
      </c>
    </row>
    <row r="394" spans="1:28" x14ac:dyDescent="0.3">
      <c r="A394">
        <v>394</v>
      </c>
      <c r="C394">
        <f t="shared" si="42"/>
        <v>2.3006012024048053</v>
      </c>
      <c r="D394">
        <f>[1]!XLSTAT_PDFNormal(C394,0,1)</f>
        <v>2.8287890046709941E-2</v>
      </c>
      <c r="E394">
        <v>394</v>
      </c>
      <c r="G394">
        <f t="shared" si="43"/>
        <v>1.5751715430861626</v>
      </c>
      <c r="H394">
        <f>[1]!XLSTAT_PDFWeibull(G394,1)</f>
        <v>0.20697204501234134</v>
      </c>
      <c r="I394">
        <v>394</v>
      </c>
      <c r="K394">
        <f t="shared" si="44"/>
        <v>1.5751715430861626</v>
      </c>
      <c r="L394">
        <f>[1]!XLSTAT_PDFWeibull(K394,1,1)</f>
        <v>0.20697204501234134</v>
      </c>
      <c r="M394">
        <v>394</v>
      </c>
      <c r="O394">
        <f t="shared" si="45"/>
        <v>1.5751715430861626</v>
      </c>
      <c r="P394">
        <f>[1]!XLSTAT_PDFWeibull(O394,5,1)</f>
        <v>1.8919493591148507E-3</v>
      </c>
      <c r="Q394">
        <v>394</v>
      </c>
      <c r="S394">
        <f t="shared" si="46"/>
        <v>1.5751715430861626</v>
      </c>
      <c r="T394">
        <f>[1]!XLSTAT_PDFWeibull(S394,10,1)</f>
        <v>8.6716024338541606E-39</v>
      </c>
      <c r="U394">
        <v>394</v>
      </c>
      <c r="W394">
        <f t="shared" si="47"/>
        <v>1.5751715430861626</v>
      </c>
      <c r="X394">
        <f>[1]!XLSTAT_PDFWeibull(W394,10,5)</f>
        <v>6.1128887258422022E-5</v>
      </c>
      <c r="Y394">
        <v>394</v>
      </c>
      <c r="AA394">
        <f t="shared" si="48"/>
        <v>1.5751715430861626</v>
      </c>
      <c r="AB394">
        <f>[1]!XLSTAT_PDFWeibull(AA394,10,5)</f>
        <v>6.1128887258422022E-5</v>
      </c>
    </row>
    <row r="395" spans="1:28" x14ac:dyDescent="0.3">
      <c r="A395">
        <v>395</v>
      </c>
      <c r="C395">
        <f t="shared" si="42"/>
        <v>2.3166332665330618</v>
      </c>
      <c r="D395">
        <f>[1]!XLSTAT_PDFNormal(C395,0,1)</f>
        <v>2.7260040173234877E-2</v>
      </c>
      <c r="E395">
        <v>395</v>
      </c>
      <c r="G395">
        <f t="shared" si="43"/>
        <v>1.579179358717425</v>
      </c>
      <c r="H395">
        <f>[1]!XLSTAT_PDFWeibull(G395,1)</f>
        <v>0.20614419924981192</v>
      </c>
      <c r="I395">
        <v>395</v>
      </c>
      <c r="K395">
        <f t="shared" si="44"/>
        <v>1.579179358717425</v>
      </c>
      <c r="L395">
        <f>[1]!XLSTAT_PDFWeibull(K395,1,1)</f>
        <v>0.20614419924981192</v>
      </c>
      <c r="M395">
        <v>395</v>
      </c>
      <c r="O395">
        <f t="shared" si="45"/>
        <v>1.579179358717425</v>
      </c>
      <c r="P395">
        <f>[1]!XLSTAT_PDFWeibull(O395,5,1)</f>
        <v>1.6883955114550772E-3</v>
      </c>
      <c r="Q395">
        <v>395</v>
      </c>
      <c r="S395">
        <f t="shared" si="46"/>
        <v>1.579179358717425</v>
      </c>
      <c r="T395">
        <f>[1]!XLSTAT_PDFWeibull(S395,10,1)</f>
        <v>7.8883949372611415E-40</v>
      </c>
      <c r="U395">
        <v>395</v>
      </c>
      <c r="W395">
        <f t="shared" si="47"/>
        <v>1.579179358717425</v>
      </c>
      <c r="X395">
        <f>[1]!XLSTAT_PDFWeibull(W395,10,5)</f>
        <v>6.2543012489435173E-5</v>
      </c>
      <c r="Y395">
        <v>395</v>
      </c>
      <c r="AA395">
        <f t="shared" si="48"/>
        <v>1.579179358717425</v>
      </c>
      <c r="AB395">
        <f>[1]!XLSTAT_PDFWeibull(AA395,10,5)</f>
        <v>6.2543012489435173E-5</v>
      </c>
    </row>
    <row r="396" spans="1:28" x14ac:dyDescent="0.3">
      <c r="A396">
        <v>396</v>
      </c>
      <c r="C396">
        <f t="shared" si="42"/>
        <v>2.3326653306613183</v>
      </c>
      <c r="D396">
        <f>[1]!XLSTAT_PDFNormal(C396,0,1)</f>
        <v>2.6262786451159131E-2</v>
      </c>
      <c r="E396">
        <v>396</v>
      </c>
      <c r="G396">
        <f t="shared" si="43"/>
        <v>1.5831871743486876</v>
      </c>
      <c r="H396">
        <f>[1]!XLSTAT_PDFWeibull(G396,1)</f>
        <v>0.20531966470067115</v>
      </c>
      <c r="I396">
        <v>396</v>
      </c>
      <c r="K396">
        <f t="shared" si="44"/>
        <v>1.5831871743486876</v>
      </c>
      <c r="L396">
        <f>[1]!XLSTAT_PDFWeibull(K396,1,1)</f>
        <v>0.20531966470067115</v>
      </c>
      <c r="M396">
        <v>396</v>
      </c>
      <c r="O396">
        <f t="shared" si="45"/>
        <v>1.5831871743486876</v>
      </c>
      <c r="P396">
        <f>[1]!XLSTAT_PDFWeibull(O396,5,1)</f>
        <v>1.5047981004564462E-3</v>
      </c>
      <c r="Q396">
        <v>396</v>
      </c>
      <c r="S396">
        <f t="shared" si="46"/>
        <v>1.5831871743486876</v>
      </c>
      <c r="T396">
        <f>[1]!XLSTAT_PDFWeibull(S396,10,1)</f>
        <v>6.7853069025864609E-41</v>
      </c>
      <c r="U396">
        <v>396</v>
      </c>
      <c r="W396">
        <f t="shared" si="47"/>
        <v>1.5831871743486876</v>
      </c>
      <c r="X396">
        <f>[1]!XLSTAT_PDFWeibull(W396,10,5)</f>
        <v>6.3986141697094752E-5</v>
      </c>
      <c r="Y396">
        <v>396</v>
      </c>
      <c r="AA396">
        <f t="shared" si="48"/>
        <v>1.5831871743486876</v>
      </c>
      <c r="AB396">
        <f>[1]!XLSTAT_PDFWeibull(AA396,10,5)</f>
        <v>6.3986141697094752E-5</v>
      </c>
    </row>
    <row r="397" spans="1:28" x14ac:dyDescent="0.3">
      <c r="A397">
        <v>397</v>
      </c>
      <c r="C397">
        <f t="shared" si="42"/>
        <v>2.3486973947895748</v>
      </c>
      <c r="D397">
        <f>[1]!XLSTAT_PDFNormal(C397,0,1)</f>
        <v>2.5295512782601878E-2</v>
      </c>
      <c r="E397">
        <v>397</v>
      </c>
      <c r="G397">
        <f t="shared" si="43"/>
        <v>1.58719498997995</v>
      </c>
      <c r="H397">
        <f>[1]!XLSTAT_PDFWeibull(G397,1)</f>
        <v>0.20449842812074423</v>
      </c>
      <c r="I397">
        <v>397</v>
      </c>
      <c r="K397">
        <f t="shared" si="44"/>
        <v>1.58719498997995</v>
      </c>
      <c r="L397">
        <f>[1]!XLSTAT_PDFWeibull(K397,1,1)</f>
        <v>0.20449842812074423</v>
      </c>
      <c r="M397">
        <v>397</v>
      </c>
      <c r="O397">
        <f t="shared" si="45"/>
        <v>1.58719498997995</v>
      </c>
      <c r="P397">
        <f>[1]!XLSTAT_PDFWeibull(O397,5,1)</f>
        <v>1.3394222422288033E-3</v>
      </c>
      <c r="Q397">
        <v>397</v>
      </c>
      <c r="S397">
        <f t="shared" si="46"/>
        <v>1.58719498997995</v>
      </c>
      <c r="T397">
        <f>[1]!XLSTAT_PDFWeibull(S397,10,1)</f>
        <v>5.5124493018291267E-42</v>
      </c>
      <c r="U397">
        <v>397</v>
      </c>
      <c r="W397">
        <f t="shared" si="47"/>
        <v>1.58719498997995</v>
      </c>
      <c r="X397">
        <f>[1]!XLSTAT_PDFWeibull(W397,10,5)</f>
        <v>6.5458794048657795E-5</v>
      </c>
      <c r="Y397">
        <v>397</v>
      </c>
      <c r="AA397">
        <f t="shared" si="48"/>
        <v>1.58719498997995</v>
      </c>
      <c r="AB397">
        <f>[1]!XLSTAT_PDFWeibull(AA397,10,5)</f>
        <v>6.5458794048657795E-5</v>
      </c>
    </row>
    <row r="398" spans="1:28" x14ac:dyDescent="0.3">
      <c r="A398">
        <v>398</v>
      </c>
      <c r="C398">
        <f t="shared" si="42"/>
        <v>2.3647294589178314</v>
      </c>
      <c r="D398">
        <f>[1]!XLSTAT_PDFNormal(C398,0,1)</f>
        <v>2.4357602996471495E-2</v>
      </c>
      <c r="E398">
        <v>398</v>
      </c>
      <c r="G398">
        <f t="shared" si="43"/>
        <v>1.5912028056112126</v>
      </c>
      <c r="H398">
        <f>[1]!XLSTAT_PDFWeibull(G398,1)</f>
        <v>0.20368047631883007</v>
      </c>
      <c r="I398">
        <v>398</v>
      </c>
      <c r="K398">
        <f t="shared" si="44"/>
        <v>1.5912028056112126</v>
      </c>
      <c r="L398">
        <f>[1]!XLSTAT_PDFWeibull(K398,1,1)</f>
        <v>0.20368047631883007</v>
      </c>
      <c r="M398">
        <v>398</v>
      </c>
      <c r="O398">
        <f t="shared" si="45"/>
        <v>1.5912028056112126</v>
      </c>
      <c r="P398">
        <f>[1]!XLSTAT_PDFWeibull(O398,5,1)</f>
        <v>1.1906602261500094E-3</v>
      </c>
      <c r="Q398">
        <v>398</v>
      </c>
      <c r="S398">
        <f t="shared" si="46"/>
        <v>1.5912028056112126</v>
      </c>
      <c r="T398">
        <f>[1]!XLSTAT_PDFWeibull(S398,10,1)</f>
        <v>4.2248158959383482E-43</v>
      </c>
      <c r="U398">
        <v>398</v>
      </c>
      <c r="W398">
        <f t="shared" si="47"/>
        <v>1.5912028056112126</v>
      </c>
      <c r="X398">
        <f>[1]!XLSTAT_PDFWeibull(W398,10,5)</f>
        <v>6.6961496655540124E-5</v>
      </c>
      <c r="Y398">
        <v>398</v>
      </c>
      <c r="AA398">
        <f t="shared" si="48"/>
        <v>1.5912028056112126</v>
      </c>
      <c r="AB398">
        <f>[1]!XLSTAT_PDFWeibull(AA398,10,5)</f>
        <v>6.6961496655540124E-5</v>
      </c>
    </row>
    <row r="399" spans="1:28" x14ac:dyDescent="0.3">
      <c r="A399">
        <v>399</v>
      </c>
      <c r="C399">
        <f t="shared" si="42"/>
        <v>2.3807615230460879</v>
      </c>
      <c r="D399">
        <f>[1]!XLSTAT_PDFNormal(C399,0,1)</f>
        <v>2.3448441472794731E-2</v>
      </c>
      <c r="E399">
        <v>399</v>
      </c>
      <c r="G399">
        <f t="shared" si="43"/>
        <v>1.595210621242475</v>
      </c>
      <c r="H399">
        <f>[1]!XLSTAT_PDFWeibull(G399,1)</f>
        <v>0.20286579615648995</v>
      </c>
      <c r="I399">
        <v>399</v>
      </c>
      <c r="K399">
        <f t="shared" si="44"/>
        <v>1.595210621242475</v>
      </c>
      <c r="L399">
        <f>[1]!XLSTAT_PDFWeibull(K399,1,1)</f>
        <v>0.20286579615648995</v>
      </c>
      <c r="M399">
        <v>399</v>
      </c>
      <c r="O399">
        <f t="shared" si="45"/>
        <v>1.595210621242475</v>
      </c>
      <c r="P399">
        <f>[1]!XLSTAT_PDFWeibull(O399,5,1)</f>
        <v>1.0570245470919698E-3</v>
      </c>
      <c r="Q399">
        <v>399</v>
      </c>
      <c r="S399">
        <f t="shared" si="46"/>
        <v>1.595210621242475</v>
      </c>
      <c r="T399">
        <f>[1]!XLSTAT_PDFWeibull(S399,10,1)</f>
        <v>3.0510112701838674E-44</v>
      </c>
      <c r="U399">
        <v>399</v>
      </c>
      <c r="W399">
        <f t="shared" si="47"/>
        <v>1.595210621242475</v>
      </c>
      <c r="X399">
        <f>[1]!XLSTAT_PDFWeibull(W399,10,5)</f>
        <v>6.849478467431371E-5</v>
      </c>
      <c r="Y399">
        <v>399</v>
      </c>
      <c r="AA399">
        <f t="shared" si="48"/>
        <v>1.595210621242475</v>
      </c>
      <c r="AB399">
        <f>[1]!XLSTAT_PDFWeibull(AA399,10,5)</f>
        <v>6.849478467431371E-5</v>
      </c>
    </row>
    <row r="400" spans="1:28" x14ac:dyDescent="0.3">
      <c r="A400">
        <v>400</v>
      </c>
      <c r="C400">
        <f t="shared" si="42"/>
        <v>2.3967935871743444</v>
      </c>
      <c r="D400">
        <f>[1]!XLSTAT_PDFNormal(C400,0,1)</f>
        <v>2.2567413743281545E-2</v>
      </c>
      <c r="E400">
        <v>400</v>
      </c>
      <c r="G400">
        <f t="shared" si="43"/>
        <v>1.5992184368737377</v>
      </c>
      <c r="H400">
        <f>[1]!XLSTAT_PDFWeibull(G400,1)</f>
        <v>0.20205437454783595</v>
      </c>
      <c r="I400">
        <v>400</v>
      </c>
      <c r="K400">
        <f t="shared" si="44"/>
        <v>1.5992184368737377</v>
      </c>
      <c r="L400">
        <f>[1]!XLSTAT_PDFWeibull(K400,1,1)</f>
        <v>0.20205437454783595</v>
      </c>
      <c r="M400">
        <v>400</v>
      </c>
      <c r="O400">
        <f t="shared" si="45"/>
        <v>1.5992184368737377</v>
      </c>
      <c r="P400">
        <f>[1]!XLSTAT_PDFWeibull(O400,5,1)</f>
        <v>9.3714109719388321E-4</v>
      </c>
      <c r="Q400">
        <v>400</v>
      </c>
      <c r="S400">
        <f t="shared" si="46"/>
        <v>1.5992184368737377</v>
      </c>
      <c r="T400">
        <f>[1]!XLSTAT_PDFWeibull(S400,10,1)</f>
        <v>2.0736157655302681E-45</v>
      </c>
      <c r="U400">
        <v>400</v>
      </c>
      <c r="W400">
        <f t="shared" si="47"/>
        <v>1.5992184368737377</v>
      </c>
      <c r="X400">
        <f>[1]!XLSTAT_PDFWeibull(W400,10,5)</f>
        <v>7.0059201408727859E-5</v>
      </c>
      <c r="Y400">
        <v>400</v>
      </c>
      <c r="AA400">
        <f t="shared" si="48"/>
        <v>1.5992184368737377</v>
      </c>
      <c r="AB400">
        <f>[1]!XLSTAT_PDFWeibull(AA400,10,5)</f>
        <v>7.0059201408727859E-5</v>
      </c>
    </row>
    <row r="401" spans="1:28" x14ac:dyDescent="0.3">
      <c r="A401">
        <v>401</v>
      </c>
      <c r="C401">
        <f t="shared" si="42"/>
        <v>2.412825651302601</v>
      </c>
      <c r="D401">
        <f>[1]!XLSTAT_PDFNormal(C401,0,1)</f>
        <v>2.1713907068098226E-2</v>
      </c>
      <c r="E401">
        <v>401</v>
      </c>
      <c r="G401">
        <f t="shared" si="43"/>
        <v>1.6032262525050001</v>
      </c>
      <c r="H401">
        <f>[1]!XLSTAT_PDFWeibull(G401,1)</f>
        <v>0.20124619845932126</v>
      </c>
      <c r="I401">
        <v>401</v>
      </c>
      <c r="K401">
        <f t="shared" si="44"/>
        <v>1.6032262525050001</v>
      </c>
      <c r="L401">
        <f>[1]!XLSTAT_PDFWeibull(K401,1,1)</f>
        <v>0.20124619845932126</v>
      </c>
      <c r="M401">
        <v>401</v>
      </c>
      <c r="O401">
        <f t="shared" si="45"/>
        <v>1.6032262525050001</v>
      </c>
      <c r="P401">
        <f>[1]!XLSTAT_PDFWeibull(O401,5,1)</f>
        <v>8.2974253557286477E-4</v>
      </c>
      <c r="Q401">
        <v>401</v>
      </c>
      <c r="S401">
        <f t="shared" si="46"/>
        <v>1.6032262525050001</v>
      </c>
      <c r="T401">
        <f>[1]!XLSTAT_PDFWeibull(S401,10,1)</f>
        <v>1.3247304281046526E-46</v>
      </c>
      <c r="U401">
        <v>401</v>
      </c>
      <c r="W401">
        <f t="shared" si="47"/>
        <v>1.6032262525050001</v>
      </c>
      <c r="X401">
        <f>[1]!XLSTAT_PDFWeibull(W401,10,5)</f>
        <v>7.1655298412759039E-5</v>
      </c>
      <c r="Y401">
        <v>401</v>
      </c>
      <c r="AA401">
        <f t="shared" si="48"/>
        <v>1.6032262525050001</v>
      </c>
      <c r="AB401">
        <f>[1]!XLSTAT_PDFWeibull(AA401,10,5)</f>
        <v>7.1655298412759039E-5</v>
      </c>
    </row>
    <row r="402" spans="1:28" x14ac:dyDescent="0.3">
      <c r="A402">
        <v>402</v>
      </c>
      <c r="C402">
        <f t="shared" si="42"/>
        <v>2.4288577154308566</v>
      </c>
      <c r="D402">
        <f>[1]!XLSTAT_PDFNormal(C402,0,1)</f>
        <v>2.0887310988864087E-2</v>
      </c>
      <c r="E402">
        <v>402</v>
      </c>
      <c r="G402">
        <f t="shared" si="43"/>
        <v>1.6072340681362627</v>
      </c>
      <c r="H402">
        <f>[1]!XLSTAT_PDFWeibull(G402,1)</f>
        <v>0.20044125490953035</v>
      </c>
      <c r="I402">
        <v>402</v>
      </c>
      <c r="K402">
        <f t="shared" si="44"/>
        <v>1.6072340681362627</v>
      </c>
      <c r="L402">
        <f>[1]!XLSTAT_PDFWeibull(K402,1,1)</f>
        <v>0.20044125490953035</v>
      </c>
      <c r="M402">
        <v>402</v>
      </c>
      <c r="O402">
        <f t="shared" si="45"/>
        <v>1.6072340681362627</v>
      </c>
      <c r="P402">
        <f>[1]!XLSTAT_PDFWeibull(O402,5,1)</f>
        <v>7.3366185186105244E-4</v>
      </c>
      <c r="Q402">
        <v>402</v>
      </c>
      <c r="S402">
        <f t="shared" si="46"/>
        <v>1.6072340681362627</v>
      </c>
      <c r="T402">
        <f>[1]!XLSTAT_PDFWeibull(S402,10,1)</f>
        <v>7.9450812278355361E-48</v>
      </c>
      <c r="U402">
        <v>402</v>
      </c>
      <c r="W402">
        <f t="shared" si="47"/>
        <v>1.6072340681362627</v>
      </c>
      <c r="X402">
        <f>[1]!XLSTAT_PDFWeibull(W402,10,5)</f>
        <v>7.3283635594702489E-5</v>
      </c>
      <c r="Y402">
        <v>402</v>
      </c>
      <c r="AA402">
        <f t="shared" si="48"/>
        <v>1.6072340681362627</v>
      </c>
      <c r="AB402">
        <f>[1]!XLSTAT_PDFWeibull(AA402,10,5)</f>
        <v>7.3283635594702489E-5</v>
      </c>
    </row>
    <row r="403" spans="1:28" x14ac:dyDescent="0.3">
      <c r="A403">
        <v>403</v>
      </c>
      <c r="C403">
        <f t="shared" si="42"/>
        <v>2.4448897795591131</v>
      </c>
      <c r="D403">
        <f>[1]!XLSTAT_PDFNormal(C403,0,1)</f>
        <v>2.0087017857928418E-2</v>
      </c>
      <c r="E403">
        <v>403</v>
      </c>
      <c r="G403">
        <f t="shared" si="43"/>
        <v>1.6112418837675251</v>
      </c>
      <c r="H403">
        <f>[1]!XLSTAT_PDFWeibull(G403,1)</f>
        <v>0.19963953096897091</v>
      </c>
      <c r="I403">
        <v>403</v>
      </c>
      <c r="K403">
        <f t="shared" si="44"/>
        <v>1.6112418837675251</v>
      </c>
      <c r="L403">
        <f>[1]!XLSTAT_PDFWeibull(K403,1,1)</f>
        <v>0.19963953096897091</v>
      </c>
      <c r="M403">
        <v>403</v>
      </c>
      <c r="O403">
        <f t="shared" si="45"/>
        <v>1.6112418837675251</v>
      </c>
      <c r="P403">
        <f>[1]!XLSTAT_PDFWeibull(O403,5,1)</f>
        <v>6.4782613704948472E-4</v>
      </c>
      <c r="Q403">
        <v>403</v>
      </c>
      <c r="S403">
        <f t="shared" si="46"/>
        <v>1.6112418837675251</v>
      </c>
      <c r="T403">
        <f>[1]!XLSTAT_PDFWeibull(S403,10,1)</f>
        <v>4.4677414959508052E-49</v>
      </c>
      <c r="U403">
        <v>403</v>
      </c>
      <c r="W403">
        <f t="shared" si="47"/>
        <v>1.6112418837675251</v>
      </c>
      <c r="X403">
        <f>[1]!XLSTAT_PDFWeibull(W403,10,5)</f>
        <v>7.4944781322305824E-5</v>
      </c>
      <c r="Y403">
        <v>403</v>
      </c>
      <c r="AA403">
        <f t="shared" si="48"/>
        <v>1.6112418837675251</v>
      </c>
      <c r="AB403">
        <f>[1]!XLSTAT_PDFWeibull(AA403,10,5)</f>
        <v>7.4944781322305824E-5</v>
      </c>
    </row>
    <row r="404" spans="1:28" x14ac:dyDescent="0.3">
      <c r="A404">
        <v>404</v>
      </c>
      <c r="C404">
        <f t="shared" si="42"/>
        <v>2.4609218436873697</v>
      </c>
      <c r="D404">
        <f>[1]!XLSTAT_PDFNormal(C404,0,1)</f>
        <v>1.9312423344024613E-2</v>
      </c>
      <c r="E404">
        <v>404</v>
      </c>
      <c r="G404">
        <f t="shared" si="43"/>
        <v>1.6152496993987875</v>
      </c>
      <c r="H404">
        <f>[1]!XLSTAT_PDFWeibull(G404,1)</f>
        <v>0.19884101375986582</v>
      </c>
      <c r="I404">
        <v>404</v>
      </c>
      <c r="K404">
        <f t="shared" si="44"/>
        <v>1.6152496993987875</v>
      </c>
      <c r="L404">
        <f>[1]!XLSTAT_PDFWeibull(K404,1,1)</f>
        <v>0.19884101375986582</v>
      </c>
      <c r="M404">
        <v>404</v>
      </c>
      <c r="O404">
        <f t="shared" si="45"/>
        <v>1.6152496993987875</v>
      </c>
      <c r="P404">
        <f>[1]!XLSTAT_PDFWeibull(O404,5,1)</f>
        <v>5.7125057281219767E-4</v>
      </c>
      <c r="Q404">
        <v>404</v>
      </c>
      <c r="S404">
        <f t="shared" si="46"/>
        <v>1.6152496993987875</v>
      </c>
      <c r="T404">
        <f>[1]!XLSTAT_PDFWeibull(S404,10,1)</f>
        <v>2.3525243262953548E-50</v>
      </c>
      <c r="U404">
        <v>404</v>
      </c>
      <c r="W404">
        <f t="shared" si="47"/>
        <v>1.6152496993987875</v>
      </c>
      <c r="X404">
        <f>[1]!XLSTAT_PDFWeibull(W404,10,5)</f>
        <v>7.6639312528958289E-5</v>
      </c>
      <c r="Y404">
        <v>404</v>
      </c>
      <c r="AA404">
        <f t="shared" si="48"/>
        <v>1.6152496993987875</v>
      </c>
      <c r="AB404">
        <f>[1]!XLSTAT_PDFWeibull(AA404,10,5)</f>
        <v>7.6639312528958289E-5</v>
      </c>
    </row>
    <row r="405" spans="1:28" x14ac:dyDescent="0.3">
      <c r="A405">
        <v>405</v>
      </c>
      <c r="C405">
        <f t="shared" si="42"/>
        <v>2.4769539078156262</v>
      </c>
      <c r="D405">
        <f>[1]!XLSTAT_PDFNormal(C405,0,1)</f>
        <v>1.8562926914435403E-2</v>
      </c>
      <c r="E405">
        <v>405</v>
      </c>
      <c r="G405">
        <f t="shared" si="43"/>
        <v>1.6192575150300501</v>
      </c>
      <c r="H405">
        <f>[1]!XLSTAT_PDFWeibull(G405,1)</f>
        <v>0.19804569045594642</v>
      </c>
      <c r="I405">
        <v>405</v>
      </c>
      <c r="K405">
        <f t="shared" si="44"/>
        <v>1.6192575150300501</v>
      </c>
      <c r="L405">
        <f>[1]!XLSTAT_PDFWeibull(K405,1,1)</f>
        <v>0.19804569045594642</v>
      </c>
      <c r="M405">
        <v>405</v>
      </c>
      <c r="O405">
        <f t="shared" si="45"/>
        <v>1.6192575150300501</v>
      </c>
      <c r="P405">
        <f>[1]!XLSTAT_PDFWeibull(O405,5,1)</f>
        <v>5.0303264829009136E-4</v>
      </c>
      <c r="Q405">
        <v>405</v>
      </c>
      <c r="S405">
        <f t="shared" si="46"/>
        <v>1.6192575150300501</v>
      </c>
      <c r="T405">
        <f>[1]!XLSTAT_PDFWeibull(S405,10,1)</f>
        <v>1.158415188336995E-51</v>
      </c>
      <c r="U405">
        <v>405</v>
      </c>
      <c r="W405">
        <f t="shared" si="47"/>
        <v>1.6192575150300501</v>
      </c>
      <c r="X405">
        <f>[1]!XLSTAT_PDFWeibull(W405,10,5)</f>
        <v>7.8367814820942845E-5</v>
      </c>
      <c r="Y405">
        <v>405</v>
      </c>
      <c r="AA405">
        <f t="shared" si="48"/>
        <v>1.6192575150300501</v>
      </c>
      <c r="AB405">
        <f>[1]!XLSTAT_PDFWeibull(AA405,10,5)</f>
        <v>7.8367814820942845E-5</v>
      </c>
    </row>
    <row r="406" spans="1:28" x14ac:dyDescent="0.3">
      <c r="A406">
        <v>406</v>
      </c>
      <c r="C406">
        <f t="shared" si="42"/>
        <v>2.4929859719438827</v>
      </c>
      <c r="D406">
        <f>[1]!XLSTAT_PDFNormal(C406,0,1)</f>
        <v>1.7837932293840311E-2</v>
      </c>
      <c r="E406">
        <v>406</v>
      </c>
      <c r="G406">
        <f t="shared" si="43"/>
        <v>1.6232653306613125</v>
      </c>
      <c r="H406">
        <f>[1]!XLSTAT_PDFWeibull(G406,1)</f>
        <v>0.19725354828224659</v>
      </c>
      <c r="I406">
        <v>406</v>
      </c>
      <c r="K406">
        <f t="shared" si="44"/>
        <v>1.6232653306613125</v>
      </c>
      <c r="L406">
        <f>[1]!XLSTAT_PDFWeibull(K406,1,1)</f>
        <v>0.19725354828224659</v>
      </c>
      <c r="M406">
        <v>406</v>
      </c>
      <c r="O406">
        <f t="shared" si="45"/>
        <v>1.6232653306613125</v>
      </c>
      <c r="P406">
        <f>[1]!XLSTAT_PDFWeibull(O406,5,1)</f>
        <v>4.4234661124010783E-4</v>
      </c>
      <c r="Q406">
        <v>406</v>
      </c>
      <c r="S406">
        <f t="shared" si="46"/>
        <v>1.6232653306613125</v>
      </c>
      <c r="T406">
        <f>[1]!XLSTAT_PDFWeibull(S406,10,1)</f>
        <v>5.3271632940746895E-53</v>
      </c>
      <c r="U406">
        <v>406</v>
      </c>
      <c r="W406">
        <f t="shared" si="47"/>
        <v>1.6232653306613125</v>
      </c>
      <c r="X406">
        <f>[1]!XLSTAT_PDFWeibull(W406,10,5)</f>
        <v>8.0130882585753932E-5</v>
      </c>
      <c r="Y406">
        <v>406</v>
      </c>
      <c r="AA406">
        <f t="shared" si="48"/>
        <v>1.6232653306613125</v>
      </c>
      <c r="AB406">
        <f>[1]!XLSTAT_PDFWeibull(AA406,10,5)</f>
        <v>8.0130882585753932E-5</v>
      </c>
    </row>
    <row r="407" spans="1:28" x14ac:dyDescent="0.3">
      <c r="A407">
        <v>407</v>
      </c>
      <c r="C407">
        <f t="shared" si="42"/>
        <v>2.5090180360721392</v>
      </c>
      <c r="D407">
        <f>[1]!XLSTAT_PDFNormal(C407,0,1)</f>
        <v>1.7136847900050836E-2</v>
      </c>
      <c r="E407">
        <v>407</v>
      </c>
      <c r="G407">
        <f t="shared" si="43"/>
        <v>1.6272731462925751</v>
      </c>
      <c r="H407">
        <f>[1]!XLSTAT_PDFWeibull(G407,1)</f>
        <v>0.19646457451489735</v>
      </c>
      <c r="I407">
        <v>407</v>
      </c>
      <c r="K407">
        <f t="shared" si="44"/>
        <v>1.6272731462925751</v>
      </c>
      <c r="L407">
        <f>[1]!XLSTAT_PDFWeibull(K407,1,1)</f>
        <v>0.19646457451489735</v>
      </c>
      <c r="M407">
        <v>407</v>
      </c>
      <c r="O407">
        <f t="shared" si="45"/>
        <v>1.6272731462925751</v>
      </c>
      <c r="P407">
        <f>[1]!XLSTAT_PDFWeibull(O407,5,1)</f>
        <v>3.8843815850801537E-4</v>
      </c>
      <c r="Q407">
        <v>407</v>
      </c>
      <c r="S407">
        <f t="shared" si="46"/>
        <v>1.6272731462925751</v>
      </c>
      <c r="T407">
        <f>[1]!XLSTAT_PDFWeibull(S407,10,1)</f>
        <v>2.284740359050312E-54</v>
      </c>
      <c r="U407">
        <v>407</v>
      </c>
      <c r="W407">
        <f t="shared" si="47"/>
        <v>1.6272731462925751</v>
      </c>
      <c r="X407">
        <f>[1]!XLSTAT_PDFWeibull(W407,10,5)</f>
        <v>8.1929119101497295E-5</v>
      </c>
      <c r="Y407">
        <v>407</v>
      </c>
      <c r="AA407">
        <f t="shared" si="48"/>
        <v>1.6272731462925751</v>
      </c>
      <c r="AB407">
        <f>[1]!XLSTAT_PDFWeibull(AA407,10,5)</f>
        <v>8.1929119101497295E-5</v>
      </c>
    </row>
    <row r="408" spans="1:28" x14ac:dyDescent="0.3">
      <c r="A408">
        <v>408</v>
      </c>
      <c r="C408">
        <f t="shared" si="42"/>
        <v>2.5250501002003958</v>
      </c>
      <c r="D408">
        <f>[1]!XLSTAT_PDFNormal(C408,0,1)</f>
        <v>1.6459087256871226E-2</v>
      </c>
      <c r="E408">
        <v>408</v>
      </c>
      <c r="G408">
        <f t="shared" si="43"/>
        <v>1.6312809619238375</v>
      </c>
      <c r="H408">
        <f>[1]!XLSTAT_PDFWeibull(G408,1)</f>
        <v>0.1956787564809227</v>
      </c>
      <c r="I408">
        <v>408</v>
      </c>
      <c r="K408">
        <f t="shared" si="44"/>
        <v>1.6312809619238375</v>
      </c>
      <c r="L408">
        <f>[1]!XLSTAT_PDFWeibull(K408,1,1)</f>
        <v>0.1956787564809227</v>
      </c>
      <c r="M408">
        <v>408</v>
      </c>
      <c r="O408">
        <f t="shared" si="45"/>
        <v>1.6312809619238375</v>
      </c>
      <c r="P408">
        <f>[1]!XLSTAT_PDFWeibull(O408,5,1)</f>
        <v>3.4061936896743778E-4</v>
      </c>
      <c r="Q408">
        <v>408</v>
      </c>
      <c r="S408">
        <f t="shared" si="46"/>
        <v>1.6312809619238375</v>
      </c>
      <c r="T408">
        <f>[1]!XLSTAT_PDFWeibull(S408,10,1)</f>
        <v>9.126071625444701E-56</v>
      </c>
      <c r="U408">
        <v>408</v>
      </c>
      <c r="W408">
        <f t="shared" si="47"/>
        <v>1.6312809619238375</v>
      </c>
      <c r="X408">
        <f>[1]!XLSTAT_PDFWeibull(W408,10,5)</f>
        <v>8.3763136647370073E-5</v>
      </c>
      <c r="Y408">
        <v>408</v>
      </c>
      <c r="AA408">
        <f t="shared" si="48"/>
        <v>1.6312809619238375</v>
      </c>
      <c r="AB408">
        <f>[1]!XLSTAT_PDFWeibull(AA408,10,5)</f>
        <v>8.3763136647370073E-5</v>
      </c>
    </row>
    <row r="409" spans="1:28" x14ac:dyDescent="0.3">
      <c r="A409">
        <v>409</v>
      </c>
      <c r="C409">
        <f t="shared" si="42"/>
        <v>2.5410821643286523</v>
      </c>
      <c r="D409">
        <f>[1]!XLSTAT_PDFNormal(C409,0,1)</f>
        <v>1.5804069384354354E-2</v>
      </c>
      <c r="E409">
        <v>409</v>
      </c>
      <c r="G409">
        <f t="shared" si="43"/>
        <v>1.6352887775551002</v>
      </c>
      <c r="H409">
        <f>[1]!XLSTAT_PDFWeibull(G409,1)</f>
        <v>0.19489608155803584</v>
      </c>
      <c r="I409">
        <v>409</v>
      </c>
      <c r="K409">
        <f t="shared" si="44"/>
        <v>1.6352887775551002</v>
      </c>
      <c r="L409">
        <f>[1]!XLSTAT_PDFWeibull(K409,1,1)</f>
        <v>0.19489608155803584</v>
      </c>
      <c r="M409">
        <v>409</v>
      </c>
      <c r="O409">
        <f t="shared" si="45"/>
        <v>1.6352887775551002</v>
      </c>
      <c r="P409">
        <f>[1]!XLSTAT_PDFWeibull(O409,5,1)</f>
        <v>2.9826388038644322E-4</v>
      </c>
      <c r="Q409">
        <v>409</v>
      </c>
      <c r="S409">
        <f t="shared" si="46"/>
        <v>1.6352887775551002</v>
      </c>
      <c r="T409">
        <f>[1]!XLSTAT_PDFWeibull(S409,10,1)</f>
        <v>3.3901871947889579E-57</v>
      </c>
      <c r="U409">
        <v>409</v>
      </c>
      <c r="W409">
        <f t="shared" si="47"/>
        <v>1.6352887775551002</v>
      </c>
      <c r="X409">
        <f>[1]!XLSTAT_PDFWeibull(W409,10,5)</f>
        <v>8.5633556615238979E-5</v>
      </c>
      <c r="Y409">
        <v>409</v>
      </c>
      <c r="AA409">
        <f t="shared" si="48"/>
        <v>1.6352887775551002</v>
      </c>
      <c r="AB409">
        <f>[1]!XLSTAT_PDFWeibull(AA409,10,5)</f>
        <v>8.5633556615238979E-5</v>
      </c>
    </row>
    <row r="410" spans="1:28" x14ac:dyDescent="0.3">
      <c r="A410">
        <v>410</v>
      </c>
      <c r="C410">
        <f t="shared" si="42"/>
        <v>2.5571142284569088</v>
      </c>
      <c r="D410">
        <f>[1]!XLSTAT_PDFNormal(C410,0,1)</f>
        <v>1.5171219166751166E-2</v>
      </c>
      <c r="E410">
        <v>410</v>
      </c>
      <c r="G410">
        <f t="shared" si="43"/>
        <v>1.6392965931863626</v>
      </c>
      <c r="H410">
        <f>[1]!XLSTAT_PDFWeibull(G410,1)</f>
        <v>0.19411653717443664</v>
      </c>
      <c r="I410">
        <v>410</v>
      </c>
      <c r="K410">
        <f t="shared" si="44"/>
        <v>1.6392965931863626</v>
      </c>
      <c r="L410">
        <f>[1]!XLSTAT_PDFWeibull(K410,1,1)</f>
        <v>0.19411653717443664</v>
      </c>
      <c r="M410">
        <v>410</v>
      </c>
      <c r="O410">
        <f t="shared" si="45"/>
        <v>1.6392965931863626</v>
      </c>
      <c r="P410">
        <f>[1]!XLSTAT_PDFWeibull(O410,5,1)</f>
        <v>2.6080231013862114E-4</v>
      </c>
      <c r="Q410">
        <v>410</v>
      </c>
      <c r="S410">
        <f t="shared" si="46"/>
        <v>1.6392965931863626</v>
      </c>
      <c r="T410">
        <f>[1]!XLSTAT_PDFWeibull(S410,10,1)</f>
        <v>1.1695862118918046E-58</v>
      </c>
      <c r="U410">
        <v>410</v>
      </c>
      <c r="W410">
        <f t="shared" si="47"/>
        <v>1.6392965931863626</v>
      </c>
      <c r="X410">
        <f>[1]!XLSTAT_PDFWeibull(W410,10,5)</f>
        <v>8.7541009622315715E-5</v>
      </c>
      <c r="Y410">
        <v>410</v>
      </c>
      <c r="AA410">
        <f t="shared" si="48"/>
        <v>1.6392965931863626</v>
      </c>
      <c r="AB410">
        <f>[1]!XLSTAT_PDFWeibull(AA410,10,5)</f>
        <v>8.7541009622315715E-5</v>
      </c>
    </row>
    <row r="411" spans="1:28" x14ac:dyDescent="0.3">
      <c r="A411">
        <v>411</v>
      </c>
      <c r="C411">
        <f t="shared" si="42"/>
        <v>2.5731462925851654</v>
      </c>
      <c r="D411">
        <f>[1]!XLSTAT_PDFNormal(C411,0,1)</f>
        <v>1.455996769847976E-2</v>
      </c>
      <c r="E411">
        <v>411</v>
      </c>
      <c r="G411">
        <f t="shared" si="43"/>
        <v>1.6433044088176252</v>
      </c>
      <c r="H411">
        <f>[1]!XLSTAT_PDFWeibull(G411,1)</f>
        <v>0.19334011080860941</v>
      </c>
      <c r="I411">
        <v>411</v>
      </c>
      <c r="K411">
        <f t="shared" si="44"/>
        <v>1.6433044088176252</v>
      </c>
      <c r="L411">
        <f>[1]!XLSTAT_PDFWeibull(K411,1,1)</f>
        <v>0.19334011080860941</v>
      </c>
      <c r="M411">
        <v>411</v>
      </c>
      <c r="O411">
        <f t="shared" si="45"/>
        <v>1.6433044088176252</v>
      </c>
      <c r="P411">
        <f>[1]!XLSTAT_PDFWeibull(O411,5,1)</f>
        <v>2.2771791826785011E-4</v>
      </c>
      <c r="Q411">
        <v>411</v>
      </c>
      <c r="S411">
        <f t="shared" si="46"/>
        <v>1.6433044088176252</v>
      </c>
      <c r="T411">
        <f>[1]!XLSTAT_PDFWeibull(S411,10,1)</f>
        <v>3.7417496088130344E-60</v>
      </c>
      <c r="U411">
        <v>411</v>
      </c>
      <c r="W411">
        <f t="shared" si="47"/>
        <v>1.6433044088176252</v>
      </c>
      <c r="X411">
        <f>[1]!XLSTAT_PDFWeibull(W411,10,5)</f>
        <v>8.9486135624944127E-5</v>
      </c>
      <c r="Y411">
        <v>411</v>
      </c>
      <c r="AA411">
        <f t="shared" si="48"/>
        <v>1.6433044088176252</v>
      </c>
      <c r="AB411">
        <f>[1]!XLSTAT_PDFWeibull(AA411,10,5)</f>
        <v>8.9486135624944127E-5</v>
      </c>
    </row>
    <row r="412" spans="1:28" x14ac:dyDescent="0.3">
      <c r="A412">
        <v>412</v>
      </c>
      <c r="C412">
        <f t="shared" si="42"/>
        <v>2.5891783567134219</v>
      </c>
      <c r="D412">
        <f>[1]!XLSTAT_PDFNormal(C412,0,1)</f>
        <v>1.3969752608466173E-2</v>
      </c>
      <c r="E412">
        <v>412</v>
      </c>
      <c r="G412">
        <f t="shared" si="43"/>
        <v>1.6473122244488876</v>
      </c>
      <c r="H412">
        <f>[1]!XLSTAT_PDFWeibull(G412,1)</f>
        <v>0.19256678998912224</v>
      </c>
      <c r="I412">
        <v>412</v>
      </c>
      <c r="K412">
        <f t="shared" si="44"/>
        <v>1.6473122244488876</v>
      </c>
      <c r="L412">
        <f>[1]!XLSTAT_PDFWeibull(K412,1,1)</f>
        <v>0.19256678998912224</v>
      </c>
      <c r="M412">
        <v>412</v>
      </c>
      <c r="O412">
        <f t="shared" si="45"/>
        <v>1.6473122244488876</v>
      </c>
      <c r="P412">
        <f>[1]!XLSTAT_PDFWeibull(O412,5,1)</f>
        <v>1.9854251014491122E-4</v>
      </c>
      <c r="Q412">
        <v>412</v>
      </c>
      <c r="S412">
        <f t="shared" si="46"/>
        <v>1.6473122244488876</v>
      </c>
      <c r="T412">
        <f>[1]!XLSTAT_PDFWeibull(S412,10,1)</f>
        <v>1.108422497112774E-61</v>
      </c>
      <c r="U412">
        <v>412</v>
      </c>
      <c r="W412">
        <f t="shared" si="47"/>
        <v>1.6473122244488876</v>
      </c>
      <c r="X412">
        <f>[1]!XLSTAT_PDFWeibull(W412,10,5)</f>
        <v>9.1469584033503079E-5</v>
      </c>
      <c r="Y412">
        <v>412</v>
      </c>
      <c r="AA412">
        <f t="shared" si="48"/>
        <v>1.6473122244488876</v>
      </c>
      <c r="AB412">
        <f>[1]!XLSTAT_PDFWeibull(AA412,10,5)</f>
        <v>9.1469584033503079E-5</v>
      </c>
    </row>
    <row r="413" spans="1:28" x14ac:dyDescent="0.3">
      <c r="A413">
        <v>413</v>
      </c>
      <c r="C413">
        <f t="shared" si="42"/>
        <v>2.6052104208416784</v>
      </c>
      <c r="D413">
        <f>[1]!XLSTAT_PDFNormal(C413,0,1)</f>
        <v>1.3400018363232702E-2</v>
      </c>
      <c r="E413">
        <v>413</v>
      </c>
      <c r="G413">
        <f t="shared" si="43"/>
        <v>1.65132004008015</v>
      </c>
      <c r="H413">
        <f>[1]!XLSTAT_PDFWeibull(G413,1)</f>
        <v>0.19179656229442615</v>
      </c>
      <c r="I413">
        <v>413</v>
      </c>
      <c r="K413">
        <f t="shared" si="44"/>
        <v>1.65132004008015</v>
      </c>
      <c r="L413">
        <f>[1]!XLSTAT_PDFWeibull(K413,1,1)</f>
        <v>0.19179656229442615</v>
      </c>
      <c r="M413">
        <v>413</v>
      </c>
      <c r="O413">
        <f t="shared" si="45"/>
        <v>1.65132004008015</v>
      </c>
      <c r="P413">
        <f>[1]!XLSTAT_PDFWeibull(O413,5,1)</f>
        <v>1.7285257481715368E-4</v>
      </c>
      <c r="Q413">
        <v>413</v>
      </c>
      <c r="S413">
        <f t="shared" si="46"/>
        <v>1.65132004008015</v>
      </c>
      <c r="T413">
        <f>[1]!XLSTAT_PDFWeibull(S413,10,1)</f>
        <v>3.0357580374187233E-63</v>
      </c>
      <c r="U413">
        <v>413</v>
      </c>
      <c r="W413">
        <f t="shared" si="47"/>
        <v>1.65132004008015</v>
      </c>
      <c r="X413">
        <f>[1]!XLSTAT_PDFWeibull(W413,10,5)</f>
        <v>9.3492013828436746E-5</v>
      </c>
      <c r="Y413">
        <v>413</v>
      </c>
      <c r="AA413">
        <f t="shared" si="48"/>
        <v>1.65132004008015</v>
      </c>
      <c r="AB413">
        <f>[1]!XLSTAT_PDFWeibull(AA413,10,5)</f>
        <v>9.3492013828436746E-5</v>
      </c>
    </row>
    <row r="414" spans="1:28" x14ac:dyDescent="0.3">
      <c r="A414">
        <v>414</v>
      </c>
      <c r="C414">
        <f t="shared" si="42"/>
        <v>2.6212424849699349</v>
      </c>
      <c r="D414">
        <f>[1]!XLSTAT_PDFNormal(C414,0,1)</f>
        <v>1.2850216549132272E-2</v>
      </c>
      <c r="E414">
        <v>414</v>
      </c>
      <c r="G414">
        <f t="shared" si="43"/>
        <v>1.6553278557114126</v>
      </c>
      <c r="H414">
        <f>[1]!XLSTAT_PDFWeibull(G414,1)</f>
        <v>0.19102941535265586</v>
      </c>
      <c r="I414">
        <v>414</v>
      </c>
      <c r="K414">
        <f t="shared" si="44"/>
        <v>1.6553278557114126</v>
      </c>
      <c r="L414">
        <f>[1]!XLSTAT_PDFWeibull(K414,1,1)</f>
        <v>0.19102941535265586</v>
      </c>
      <c r="M414">
        <v>414</v>
      </c>
      <c r="O414">
        <f t="shared" si="45"/>
        <v>1.6553278557114126</v>
      </c>
      <c r="P414">
        <f>[1]!XLSTAT_PDFWeibull(O414,5,1)</f>
        <v>1.5026565414733565E-4</v>
      </c>
      <c r="Q414">
        <v>414</v>
      </c>
      <c r="S414">
        <f t="shared" si="46"/>
        <v>1.6553278557114126</v>
      </c>
      <c r="T414">
        <f>[1]!XLSTAT_PDFWeibull(S414,10,1)</f>
        <v>7.6752403566101235E-65</v>
      </c>
      <c r="U414">
        <v>414</v>
      </c>
      <c r="W414">
        <f t="shared" si="47"/>
        <v>1.6553278557114126</v>
      </c>
      <c r="X414">
        <f>[1]!XLSTAT_PDFWeibull(W414,10,5)</f>
        <v>9.5554093677414974E-5</v>
      </c>
      <c r="Y414">
        <v>414</v>
      </c>
      <c r="AA414">
        <f t="shared" si="48"/>
        <v>1.6553278557114126</v>
      </c>
      <c r="AB414">
        <f>[1]!XLSTAT_PDFWeibull(AA414,10,5)</f>
        <v>9.5554093677414974E-5</v>
      </c>
    </row>
    <row r="415" spans="1:28" x14ac:dyDescent="0.3">
      <c r="A415">
        <v>415</v>
      </c>
      <c r="C415">
        <f t="shared" si="42"/>
        <v>2.6372745490981915</v>
      </c>
      <c r="D415">
        <f>[1]!XLSTAT_PDFNormal(C415,0,1)</f>
        <v>1.2319806134147711E-2</v>
      </c>
      <c r="E415">
        <v>415</v>
      </c>
      <c r="G415">
        <f t="shared" si="43"/>
        <v>1.659335671342675</v>
      </c>
      <c r="H415">
        <f>[1]!XLSTAT_PDFWeibull(G415,1)</f>
        <v>0.1902653368414311</v>
      </c>
      <c r="I415">
        <v>415</v>
      </c>
      <c r="K415">
        <f t="shared" si="44"/>
        <v>1.659335671342675</v>
      </c>
      <c r="L415">
        <f>[1]!XLSTAT_PDFWeibull(K415,1,1)</f>
        <v>0.1902653368414311</v>
      </c>
      <c r="M415">
        <v>415</v>
      </c>
      <c r="O415">
        <f t="shared" si="45"/>
        <v>1.659335671342675</v>
      </c>
      <c r="P415">
        <f>[1]!XLSTAT_PDFWeibull(O415,5,1)</f>
        <v>1.3043693696015247E-4</v>
      </c>
      <c r="Q415">
        <v>415</v>
      </c>
      <c r="S415">
        <f t="shared" si="46"/>
        <v>1.659335671342675</v>
      </c>
      <c r="T415">
        <f>[1]!XLSTAT_PDFWeibull(S415,10,1)</f>
        <v>1.7885462339804544E-66</v>
      </c>
      <c r="U415">
        <v>415</v>
      </c>
      <c r="W415">
        <f t="shared" si="47"/>
        <v>1.659335671342675</v>
      </c>
      <c r="X415">
        <f>[1]!XLSTAT_PDFWeibull(W415,10,5)</f>
        <v>9.7656502053639942E-5</v>
      </c>
      <c r="Y415">
        <v>415</v>
      </c>
      <c r="AA415">
        <f t="shared" si="48"/>
        <v>1.659335671342675</v>
      </c>
      <c r="AB415">
        <f>[1]!XLSTAT_PDFWeibull(AA415,10,5)</f>
        <v>9.7656502053639942E-5</v>
      </c>
    </row>
    <row r="416" spans="1:28" x14ac:dyDescent="0.3">
      <c r="A416">
        <v>416</v>
      </c>
      <c r="C416">
        <f t="shared" si="42"/>
        <v>2.653306613226448</v>
      </c>
      <c r="D416">
        <f>[1]!XLSTAT_PDFNormal(C416,0,1)</f>
        <v>1.1808253709693989E-2</v>
      </c>
      <c r="E416">
        <v>416</v>
      </c>
      <c r="G416">
        <f t="shared" si="43"/>
        <v>1.6633434869739376</v>
      </c>
      <c r="H416">
        <f>[1]!XLSTAT_PDFWeibull(G416,1)</f>
        <v>0.18950431448765848</v>
      </c>
      <c r="I416">
        <v>416</v>
      </c>
      <c r="K416">
        <f t="shared" si="44"/>
        <v>1.6633434869739376</v>
      </c>
      <c r="L416">
        <f>[1]!XLSTAT_PDFWeibull(K416,1,1)</f>
        <v>0.18950431448765848</v>
      </c>
      <c r="M416">
        <v>416</v>
      </c>
      <c r="O416">
        <f t="shared" si="45"/>
        <v>1.6633434869739376</v>
      </c>
      <c r="P416">
        <f>[1]!XLSTAT_PDFWeibull(O416,5,1)</f>
        <v>1.1305607166059006E-4</v>
      </c>
      <c r="Q416">
        <v>416</v>
      </c>
      <c r="S416">
        <f t="shared" si="46"/>
        <v>1.6633434869739376</v>
      </c>
      <c r="T416">
        <f>[1]!XLSTAT_PDFWeibull(S416,10,1)</f>
        <v>3.8353097036240397E-68</v>
      </c>
      <c r="U416">
        <v>416</v>
      </c>
      <c r="W416">
        <f t="shared" si="47"/>
        <v>1.6633434869739376</v>
      </c>
      <c r="X416">
        <f>[1]!XLSTAT_PDFWeibull(W416,10,5)</f>
        <v>9.979992735529928E-5</v>
      </c>
      <c r="Y416">
        <v>416</v>
      </c>
      <c r="AA416">
        <f t="shared" si="48"/>
        <v>1.6633434869739376</v>
      </c>
      <c r="AB416">
        <f>[1]!XLSTAT_PDFWeibull(AA416,10,5)</f>
        <v>9.979992735529928E-5</v>
      </c>
    </row>
    <row r="417" spans="1:28" x14ac:dyDescent="0.3">
      <c r="A417">
        <v>417</v>
      </c>
      <c r="C417">
        <f t="shared" si="42"/>
        <v>2.6693386773547045</v>
      </c>
      <c r="D417">
        <f>[1]!XLSTAT_PDFNormal(C417,0,1)</f>
        <v>1.1315033712878666E-2</v>
      </c>
      <c r="E417">
        <v>417</v>
      </c>
      <c r="G417">
        <f t="shared" si="43"/>
        <v>1.6673513026052</v>
      </c>
      <c r="H417">
        <f>[1]!XLSTAT_PDFWeibull(G417,1)</f>
        <v>0.1887463360673346</v>
      </c>
      <c r="I417">
        <v>417</v>
      </c>
      <c r="K417">
        <f t="shared" si="44"/>
        <v>1.6673513026052</v>
      </c>
      <c r="L417">
        <f>[1]!XLSTAT_PDFWeibull(K417,1,1)</f>
        <v>0.1887463360673346</v>
      </c>
      <c r="M417">
        <v>417</v>
      </c>
      <c r="O417">
        <f t="shared" si="45"/>
        <v>1.6673513026052</v>
      </c>
      <c r="P417">
        <f>[1]!XLSTAT_PDFWeibull(O417,5,1)</f>
        <v>9.7844190151640046E-5</v>
      </c>
      <c r="Q417">
        <v>417</v>
      </c>
      <c r="S417">
        <f t="shared" si="46"/>
        <v>1.6673513026052</v>
      </c>
      <c r="T417">
        <f>[1]!XLSTAT_PDFWeibull(S417,10,1)</f>
        <v>7.5559613144358055E-70</v>
      </c>
      <c r="U417">
        <v>417</v>
      </c>
      <c r="W417">
        <f t="shared" si="47"/>
        <v>1.6673513026052</v>
      </c>
      <c r="X417">
        <f>[1]!XLSTAT_PDFWeibull(W417,10,5)</f>
        <v>1.0198506802617824E-4</v>
      </c>
      <c r="Y417">
        <v>417</v>
      </c>
      <c r="AA417">
        <f t="shared" si="48"/>
        <v>1.6673513026052</v>
      </c>
      <c r="AB417">
        <f>[1]!XLSTAT_PDFWeibull(AA417,10,5)</f>
        <v>1.0198506802617824E-4</v>
      </c>
    </row>
    <row r="418" spans="1:28" x14ac:dyDescent="0.3">
      <c r="A418">
        <v>418</v>
      </c>
      <c r="C418">
        <f t="shared" si="42"/>
        <v>2.6853707414829611</v>
      </c>
      <c r="D418">
        <f>[1]!XLSTAT_PDFNormal(C418,0,1)</f>
        <v>1.0839628629691537E-2</v>
      </c>
      <c r="E418">
        <v>418</v>
      </c>
      <c r="G418">
        <f t="shared" si="43"/>
        <v>1.6713591182364627</v>
      </c>
      <c r="H418">
        <f>[1]!XLSTAT_PDFWeibull(G418,1)</f>
        <v>0.18799138940534943</v>
      </c>
      <c r="I418">
        <v>418</v>
      </c>
      <c r="K418">
        <f t="shared" si="44"/>
        <v>1.6713591182364627</v>
      </c>
      <c r="L418">
        <f>[1]!XLSTAT_PDFWeibull(K418,1,1)</f>
        <v>0.18799138940534943</v>
      </c>
      <c r="M418">
        <v>418</v>
      </c>
      <c r="O418">
        <f t="shared" si="45"/>
        <v>1.6713591182364627</v>
      </c>
      <c r="P418">
        <f>[1]!XLSTAT_PDFWeibull(O418,5,1)</f>
        <v>8.4551135354084112E-5</v>
      </c>
      <c r="Q418">
        <v>418</v>
      </c>
      <c r="S418">
        <f t="shared" si="46"/>
        <v>1.6713591182364627</v>
      </c>
      <c r="T418">
        <f>[1]!XLSTAT_PDFWeibull(S418,10,1)</f>
        <v>1.3653783306382958E-71</v>
      </c>
      <c r="U418">
        <v>418</v>
      </c>
      <c r="W418">
        <f t="shared" si="47"/>
        <v>1.6713591182364627</v>
      </c>
      <c r="X418">
        <f>[1]!XLSTAT_PDFWeibull(W418,10,5)</f>
        <v>1.0421263267743991E-4</v>
      </c>
      <c r="Y418">
        <v>418</v>
      </c>
      <c r="AA418">
        <f t="shared" si="48"/>
        <v>1.6713591182364627</v>
      </c>
      <c r="AB418">
        <f>[1]!XLSTAT_PDFWeibull(AA418,10,5)</f>
        <v>1.0421263267743991E-4</v>
      </c>
    </row>
    <row r="419" spans="1:28" x14ac:dyDescent="0.3">
      <c r="A419">
        <v>419</v>
      </c>
      <c r="C419">
        <f t="shared" si="42"/>
        <v>2.7014028056112176</v>
      </c>
      <c r="D419">
        <f>[1]!XLSTAT_PDFNormal(C419,0,1)</f>
        <v>1.0381529179608495E-2</v>
      </c>
      <c r="E419">
        <v>419</v>
      </c>
      <c r="G419">
        <f t="shared" si="43"/>
        <v>1.6753669338677251</v>
      </c>
      <c r="H419">
        <f>[1]!XLSTAT_PDFWeibull(G419,1)</f>
        <v>0.18723946237529104</v>
      </c>
      <c r="I419">
        <v>419</v>
      </c>
      <c r="K419">
        <f t="shared" si="44"/>
        <v>1.6753669338677251</v>
      </c>
      <c r="L419">
        <f>[1]!XLSTAT_PDFWeibull(K419,1,1)</f>
        <v>0.18723946237529104</v>
      </c>
      <c r="M419">
        <v>419</v>
      </c>
      <c r="O419">
        <f t="shared" si="45"/>
        <v>1.6753669338677251</v>
      </c>
      <c r="P419">
        <f>[1]!XLSTAT_PDFWeibull(O419,5,1)</f>
        <v>7.2952884211848937E-5</v>
      </c>
      <c r="Q419">
        <v>419</v>
      </c>
      <c r="S419">
        <f t="shared" si="46"/>
        <v>1.6753669338677251</v>
      </c>
      <c r="T419">
        <f>[1]!XLSTAT_PDFWeibull(S419,10,1)</f>
        <v>2.2592439110813356E-73</v>
      </c>
      <c r="U419">
        <v>419</v>
      </c>
      <c r="W419">
        <f t="shared" si="47"/>
        <v>1.6753669338677251</v>
      </c>
      <c r="X419">
        <f>[1]!XLSTAT_PDFWeibull(W419,10,5)</f>
        <v>1.0648334021057777E-4</v>
      </c>
      <c r="Y419">
        <v>419</v>
      </c>
      <c r="AA419">
        <f t="shared" si="48"/>
        <v>1.6753669338677251</v>
      </c>
      <c r="AB419">
        <f>[1]!XLSTAT_PDFWeibull(AA419,10,5)</f>
        <v>1.0648334021057777E-4</v>
      </c>
    </row>
    <row r="420" spans="1:28" x14ac:dyDescent="0.3">
      <c r="A420">
        <v>420</v>
      </c>
      <c r="C420">
        <f t="shared" si="42"/>
        <v>2.7174348697394741</v>
      </c>
      <c r="D420">
        <f>[1]!XLSTAT_PDFNormal(C420,0,1)</f>
        <v>9.9402344821072405E-3</v>
      </c>
      <c r="E420">
        <v>420</v>
      </c>
      <c r="G420">
        <f t="shared" si="43"/>
        <v>1.6793747494989877</v>
      </c>
      <c r="H420">
        <f>[1]!XLSTAT_PDFWeibull(G420,1)</f>
        <v>0.18649054289925049</v>
      </c>
      <c r="I420">
        <v>420</v>
      </c>
      <c r="K420">
        <f t="shared" si="44"/>
        <v>1.6793747494989877</v>
      </c>
      <c r="L420">
        <f>[1]!XLSTAT_PDFWeibull(K420,1,1)</f>
        <v>0.18649054289925049</v>
      </c>
      <c r="M420">
        <v>420</v>
      </c>
      <c r="O420">
        <f t="shared" si="45"/>
        <v>1.6793747494989877</v>
      </c>
      <c r="P420">
        <f>[1]!XLSTAT_PDFWeibull(O420,5,1)</f>
        <v>6.2849157745838087E-5</v>
      </c>
      <c r="Q420">
        <v>420</v>
      </c>
      <c r="S420">
        <f t="shared" si="46"/>
        <v>1.6793747494989877</v>
      </c>
      <c r="T420">
        <f>[1]!XLSTAT_PDFWeibull(S420,10,1)</f>
        <v>3.4172802601843299E-75</v>
      </c>
      <c r="U420">
        <v>420</v>
      </c>
      <c r="W420">
        <f t="shared" si="47"/>
        <v>1.6793747494989877</v>
      </c>
      <c r="X420">
        <f>[1]!XLSTAT_PDFWeibull(W420,10,5)</f>
        <v>1.0879791994155405E-4</v>
      </c>
      <c r="Y420">
        <v>420</v>
      </c>
      <c r="AA420">
        <f t="shared" si="48"/>
        <v>1.6793747494989877</v>
      </c>
      <c r="AB420">
        <f>[1]!XLSTAT_PDFWeibull(AA420,10,5)</f>
        <v>1.0879791994155405E-4</v>
      </c>
    </row>
    <row r="421" spans="1:28" x14ac:dyDescent="0.3">
      <c r="A421">
        <v>421</v>
      </c>
      <c r="C421">
        <f t="shared" si="42"/>
        <v>2.7334669338677307</v>
      </c>
      <c r="D421">
        <f>[1]!XLSTAT_PDFNormal(C421,0,1)</f>
        <v>9.5152522056034024E-3</v>
      </c>
      <c r="E421">
        <v>421</v>
      </c>
      <c r="G421">
        <f t="shared" si="43"/>
        <v>1.6833825651302501</v>
      </c>
      <c r="H421">
        <f>[1]!XLSTAT_PDFWeibull(G421,1)</f>
        <v>0.18574461894762817</v>
      </c>
      <c r="I421">
        <v>421</v>
      </c>
      <c r="K421">
        <f t="shared" si="44"/>
        <v>1.6833825651302501</v>
      </c>
      <c r="L421">
        <f>[1]!XLSTAT_PDFWeibull(K421,1,1)</f>
        <v>0.18574461894762817</v>
      </c>
      <c r="M421">
        <v>421</v>
      </c>
      <c r="O421">
        <f t="shared" si="45"/>
        <v>1.6833825651302501</v>
      </c>
      <c r="P421">
        <f>[1]!XLSTAT_PDFWeibull(O421,5,1)</f>
        <v>5.4061209490372135E-5</v>
      </c>
      <c r="Q421">
        <v>421</v>
      </c>
      <c r="S421">
        <f t="shared" si="46"/>
        <v>1.6833825651302501</v>
      </c>
      <c r="T421">
        <f>[1]!XLSTAT_PDFWeibull(S421,10,1)</f>
        <v>4.7168653380381356E-77</v>
      </c>
      <c r="U421">
        <v>421</v>
      </c>
      <c r="W421">
        <f t="shared" si="47"/>
        <v>1.6833825651302501</v>
      </c>
      <c r="X421">
        <f>[1]!XLSTAT_PDFWeibull(W421,10,5)</f>
        <v>1.1115711172612668E-4</v>
      </c>
      <c r="Y421">
        <v>421</v>
      </c>
      <c r="AA421">
        <f t="shared" si="48"/>
        <v>1.6833825651302501</v>
      </c>
      <c r="AB421">
        <f>[1]!XLSTAT_PDFWeibull(AA421,10,5)</f>
        <v>1.1115711172612668E-4</v>
      </c>
    </row>
    <row r="422" spans="1:28" x14ac:dyDescent="0.3">
      <c r="A422">
        <v>422</v>
      </c>
      <c r="C422">
        <f t="shared" si="42"/>
        <v>2.7494989979959872</v>
      </c>
      <c r="D422">
        <f>[1]!XLSTAT_PDFNormal(C422,0,1)</f>
        <v>9.1060986993252296E-3</v>
      </c>
      <c r="E422">
        <v>422</v>
      </c>
      <c r="G422">
        <f t="shared" si="43"/>
        <v>1.6873903807615125</v>
      </c>
      <c r="H422">
        <f>[1]!XLSTAT_PDFWeibull(G422,1)</f>
        <v>0.18500167853894026</v>
      </c>
      <c r="I422">
        <v>422</v>
      </c>
      <c r="K422">
        <f t="shared" si="44"/>
        <v>1.6873903807615125</v>
      </c>
      <c r="L422">
        <f>[1]!XLSTAT_PDFWeibull(K422,1,1)</f>
        <v>0.18500167853894026</v>
      </c>
      <c r="M422">
        <v>422</v>
      </c>
      <c r="O422">
        <f t="shared" si="45"/>
        <v>1.6873903807615125</v>
      </c>
      <c r="P422">
        <f>[1]!XLSTAT_PDFWeibull(O422,5,1)</f>
        <v>4.6429783502034267E-5</v>
      </c>
      <c r="Q422">
        <v>422</v>
      </c>
      <c r="S422">
        <f t="shared" si="46"/>
        <v>1.6873903807615125</v>
      </c>
      <c r="T422">
        <f>[1]!XLSTAT_PDFWeibull(S422,10,1)</f>
        <v>5.9308525863517427E-79</v>
      </c>
      <c r="U422">
        <v>422</v>
      </c>
      <c r="W422">
        <f t="shared" si="47"/>
        <v>1.6873903807615125</v>
      </c>
      <c r="X422">
        <f>[1]!XLSTAT_PDFWeibull(W422,10,5)</f>
        <v>1.1356166608637972E-4</v>
      </c>
      <c r="Y422">
        <v>422</v>
      </c>
      <c r="AA422">
        <f t="shared" si="48"/>
        <v>1.6873903807615125</v>
      </c>
      <c r="AB422">
        <f>[1]!XLSTAT_PDFWeibull(AA422,10,5)</f>
        <v>1.1356166608637972E-4</v>
      </c>
    </row>
    <row r="423" spans="1:28" x14ac:dyDescent="0.3">
      <c r="A423">
        <v>423</v>
      </c>
      <c r="C423">
        <f t="shared" si="42"/>
        <v>2.7655310621242437</v>
      </c>
      <c r="D423">
        <f>[1]!XLSTAT_PDFNormal(C423,0,1)</f>
        <v>8.7122991086529371E-3</v>
      </c>
      <c r="E423">
        <v>423</v>
      </c>
      <c r="G423">
        <f t="shared" si="43"/>
        <v>1.6913981963927751</v>
      </c>
      <c r="H423">
        <f>[1]!XLSTAT_PDFWeibull(G423,1)</f>
        <v>0.18426170973962644</v>
      </c>
      <c r="I423">
        <v>423</v>
      </c>
      <c r="K423">
        <f t="shared" si="44"/>
        <v>1.6913981963927751</v>
      </c>
      <c r="L423">
        <f>[1]!XLSTAT_PDFWeibull(K423,1,1)</f>
        <v>0.18426170973962644</v>
      </c>
      <c r="M423">
        <v>423</v>
      </c>
      <c r="O423">
        <f t="shared" si="45"/>
        <v>1.6913981963927751</v>
      </c>
      <c r="P423">
        <f>[1]!XLSTAT_PDFWeibull(O423,5,1)</f>
        <v>3.9813233063699165E-5</v>
      </c>
      <c r="Q423">
        <v>423</v>
      </c>
      <c r="S423">
        <f t="shared" si="46"/>
        <v>1.6913981963927751</v>
      </c>
      <c r="T423">
        <f>[1]!XLSTAT_PDFWeibull(S423,10,1)</f>
        <v>6.7810050975604747E-81</v>
      </c>
      <c r="U423">
        <v>423</v>
      </c>
      <c r="W423">
        <f t="shared" si="47"/>
        <v>1.6913981963927751</v>
      </c>
      <c r="X423">
        <f>[1]!XLSTAT_PDFWeibull(W423,10,5)</f>
        <v>1.1601234433845845E-4</v>
      </c>
      <c r="Y423">
        <v>423</v>
      </c>
      <c r="AA423">
        <f t="shared" si="48"/>
        <v>1.6913981963927751</v>
      </c>
      <c r="AB423">
        <f>[1]!XLSTAT_PDFWeibull(AA423,10,5)</f>
        <v>1.1601234433845845E-4</v>
      </c>
    </row>
    <row r="424" spans="1:28" x14ac:dyDescent="0.3">
      <c r="A424">
        <v>424</v>
      </c>
      <c r="C424">
        <f t="shared" si="42"/>
        <v>2.7815631262525002</v>
      </c>
      <c r="D424">
        <f>[1]!XLSTAT_PDFNormal(C424,0,1)</f>
        <v>8.3333874744557258E-3</v>
      </c>
      <c r="E424">
        <v>424</v>
      </c>
      <c r="G424">
        <f t="shared" si="43"/>
        <v>1.6954060120240375</v>
      </c>
      <c r="H424">
        <f>[1]!XLSTAT_PDFWeibull(G424,1)</f>
        <v>0.18352470066385834</v>
      </c>
      <c r="I424">
        <v>424</v>
      </c>
      <c r="K424">
        <f t="shared" si="44"/>
        <v>1.6954060120240375</v>
      </c>
      <c r="L424">
        <f>[1]!XLSTAT_PDFWeibull(K424,1,1)</f>
        <v>0.18352470066385834</v>
      </c>
      <c r="M424">
        <v>424</v>
      </c>
      <c r="O424">
        <f t="shared" si="45"/>
        <v>1.6954060120240375</v>
      </c>
      <c r="P424">
        <f>[1]!XLSTAT_PDFWeibull(O424,5,1)</f>
        <v>3.4085791209418976E-5</v>
      </c>
      <c r="Q424">
        <v>424</v>
      </c>
      <c r="S424">
        <f t="shared" si="46"/>
        <v>1.6954060120240375</v>
      </c>
      <c r="T424">
        <f>[1]!XLSTAT_PDFWeibull(S424,10,1)</f>
        <v>7.037100960381994E-83</v>
      </c>
      <c r="U424">
        <v>424</v>
      </c>
      <c r="W424">
        <f t="shared" si="47"/>
        <v>1.6954060120240375</v>
      </c>
      <c r="X424">
        <f>[1]!XLSTAT_PDFWeibull(W424,10,5)</f>
        <v>1.1850991872152477E-4</v>
      </c>
      <c r="Y424">
        <v>424</v>
      </c>
      <c r="AA424">
        <f t="shared" si="48"/>
        <v>1.6954060120240375</v>
      </c>
      <c r="AB424">
        <f>[1]!XLSTAT_PDFWeibull(AA424,10,5)</f>
        <v>1.1850991872152477E-4</v>
      </c>
    </row>
    <row r="425" spans="1:28" x14ac:dyDescent="0.3">
      <c r="A425">
        <v>425</v>
      </c>
      <c r="C425">
        <f t="shared" si="42"/>
        <v>2.7975951903807568</v>
      </c>
      <c r="D425">
        <f>[1]!XLSTAT_PDFNormal(C425,0,1)</f>
        <v>7.9689068169644887E-3</v>
      </c>
      <c r="E425">
        <v>425</v>
      </c>
      <c r="G425">
        <f t="shared" si="43"/>
        <v>1.6994138276553001</v>
      </c>
      <c r="H425">
        <f>[1]!XLSTAT_PDFWeibull(G425,1)</f>
        <v>0.18279063947334825</v>
      </c>
      <c r="I425">
        <v>425</v>
      </c>
      <c r="K425">
        <f t="shared" si="44"/>
        <v>1.6994138276553001</v>
      </c>
      <c r="L425">
        <f>[1]!XLSTAT_PDFWeibull(K425,1,1)</f>
        <v>0.18279063947334825</v>
      </c>
      <c r="M425">
        <v>425</v>
      </c>
      <c r="O425">
        <f t="shared" si="45"/>
        <v>1.6994138276553001</v>
      </c>
      <c r="P425">
        <f>[1]!XLSTAT_PDFWeibull(O425,5,1)</f>
        <v>2.9135984261511769E-5</v>
      </c>
      <c r="Q425">
        <v>425</v>
      </c>
      <c r="S425">
        <f t="shared" si="46"/>
        <v>1.6994138276553001</v>
      </c>
      <c r="T425">
        <f>[1]!XLSTAT_PDFWeibull(S425,10,1)</f>
        <v>6.6162593250237896E-85</v>
      </c>
      <c r="U425">
        <v>425</v>
      </c>
      <c r="W425">
        <f t="shared" si="47"/>
        <v>1.6994138276553001</v>
      </c>
      <c r="X425">
        <f>[1]!XLSTAT_PDFWeibull(W425,10,5)</f>
        <v>1.2105517252793741E-4</v>
      </c>
      <c r="Y425">
        <v>425</v>
      </c>
      <c r="AA425">
        <f t="shared" si="48"/>
        <v>1.6994138276553001</v>
      </c>
      <c r="AB425">
        <f>[1]!XLSTAT_PDFWeibull(AA425,10,5)</f>
        <v>1.2105517252793741E-4</v>
      </c>
    </row>
    <row r="426" spans="1:28" x14ac:dyDescent="0.3">
      <c r="A426">
        <v>426</v>
      </c>
      <c r="C426">
        <f t="shared" si="42"/>
        <v>2.8136272545090133</v>
      </c>
      <c r="D426">
        <f>[1]!XLSTAT_PDFNormal(C426,0,1)</f>
        <v>7.6184092047225319E-3</v>
      </c>
      <c r="E426">
        <v>426</v>
      </c>
      <c r="G426">
        <f t="shared" si="43"/>
        <v>1.7034216432865625</v>
      </c>
      <c r="H426">
        <f>[1]!XLSTAT_PDFWeibull(G426,1)</f>
        <v>0.18205951437715936</v>
      </c>
      <c r="I426">
        <v>426</v>
      </c>
      <c r="K426">
        <f t="shared" si="44"/>
        <v>1.7034216432865625</v>
      </c>
      <c r="L426">
        <f>[1]!XLSTAT_PDFWeibull(K426,1,1)</f>
        <v>0.18205951437715936</v>
      </c>
      <c r="M426">
        <v>426</v>
      </c>
      <c r="O426">
        <f t="shared" si="45"/>
        <v>1.7034216432865625</v>
      </c>
      <c r="P426">
        <f>[1]!XLSTAT_PDFWeibull(O426,5,1)</f>
        <v>2.4865179692569408E-5</v>
      </c>
      <c r="Q426">
        <v>426</v>
      </c>
      <c r="S426">
        <f t="shared" si="46"/>
        <v>1.7034216432865625</v>
      </c>
      <c r="T426">
        <f>[1]!XLSTAT_PDFWeibull(S426,10,1)</f>
        <v>5.6251372861374195E-87</v>
      </c>
      <c r="U426">
        <v>426</v>
      </c>
      <c r="W426">
        <f t="shared" si="47"/>
        <v>1.7034216432865625</v>
      </c>
      <c r="X426">
        <f>[1]!XLSTAT_PDFWeibull(W426,10,5)</f>
        <v>1.2364890023466315E-4</v>
      </c>
      <c r="Y426">
        <v>426</v>
      </c>
      <c r="AA426">
        <f t="shared" si="48"/>
        <v>1.7034216432865625</v>
      </c>
      <c r="AB426">
        <f>[1]!XLSTAT_PDFWeibull(AA426,10,5)</f>
        <v>1.2364890023466315E-4</v>
      </c>
    </row>
    <row r="427" spans="1:28" x14ac:dyDescent="0.3">
      <c r="A427">
        <v>427</v>
      </c>
      <c r="C427">
        <f t="shared" si="42"/>
        <v>2.8296593186372698</v>
      </c>
      <c r="D427">
        <f>[1]!XLSTAT_PDFNormal(C427,0,1)</f>
        <v>7.2814558091591165E-3</v>
      </c>
      <c r="E427">
        <v>427</v>
      </c>
      <c r="G427">
        <f t="shared" si="43"/>
        <v>1.7074294589178252</v>
      </c>
      <c r="H427">
        <f>[1]!XLSTAT_PDFWeibull(G427,1)</f>
        <v>0.18133131363151606</v>
      </c>
      <c r="I427">
        <v>427</v>
      </c>
      <c r="K427">
        <f t="shared" si="44"/>
        <v>1.7074294589178252</v>
      </c>
      <c r="L427">
        <f>[1]!XLSTAT_PDFWeibull(K427,1,1)</f>
        <v>0.18133131363151606</v>
      </c>
      <c r="M427">
        <v>427</v>
      </c>
      <c r="O427">
        <f t="shared" si="45"/>
        <v>1.7074294589178252</v>
      </c>
      <c r="P427">
        <f>[1]!XLSTAT_PDFWeibull(O427,5,1)</f>
        <v>2.1186259795256434E-5</v>
      </c>
      <c r="Q427">
        <v>427</v>
      </c>
      <c r="S427">
        <f t="shared" si="46"/>
        <v>1.7074294589178252</v>
      </c>
      <c r="T427">
        <f>[1]!XLSTAT_PDFWeibull(S427,10,1)</f>
        <v>4.3164313937486701E-89</v>
      </c>
      <c r="U427">
        <v>427</v>
      </c>
      <c r="W427">
        <f t="shared" si="47"/>
        <v>1.7074294589178252</v>
      </c>
      <c r="X427">
        <f>[1]!XLSTAT_PDFWeibull(W427,10,5)</f>
        <v>1.2629190763593432E-4</v>
      </c>
      <c r="Y427">
        <v>427</v>
      </c>
      <c r="AA427">
        <f t="shared" si="48"/>
        <v>1.7074294589178252</v>
      </c>
      <c r="AB427">
        <f>[1]!XLSTAT_PDFWeibull(AA427,10,5)</f>
        <v>1.2629190763593432E-4</v>
      </c>
    </row>
    <row r="428" spans="1:28" x14ac:dyDescent="0.3">
      <c r="A428">
        <v>428</v>
      </c>
      <c r="C428">
        <f t="shared" si="42"/>
        <v>2.8456913827655264</v>
      </c>
      <c r="D428">
        <f>[1]!XLSTAT_PDFNormal(C428,0,1)</f>
        <v>6.9576169453323834E-3</v>
      </c>
      <c r="E428">
        <v>428</v>
      </c>
      <c r="G428">
        <f t="shared" si="43"/>
        <v>1.7114372745490876</v>
      </c>
      <c r="H428">
        <f>[1]!XLSTAT_PDFWeibull(G428,1)</f>
        <v>0.18060602553961552</v>
      </c>
      <c r="I428">
        <v>428</v>
      </c>
      <c r="K428">
        <f t="shared" si="44"/>
        <v>1.7114372745490876</v>
      </c>
      <c r="L428">
        <f>[1]!XLSTAT_PDFWeibull(K428,1,1)</f>
        <v>0.18060602553961552</v>
      </c>
      <c r="M428">
        <v>428</v>
      </c>
      <c r="O428">
        <f t="shared" si="45"/>
        <v>1.7114372745490876</v>
      </c>
      <c r="P428">
        <f>[1]!XLSTAT_PDFWeibull(O428,5,1)</f>
        <v>1.8022412855160511E-5</v>
      </c>
      <c r="Q428">
        <v>428</v>
      </c>
      <c r="S428">
        <f t="shared" si="46"/>
        <v>1.7114372745490876</v>
      </c>
      <c r="T428">
        <f>[1]!XLSTAT_PDFWeibull(S428,10,1)</f>
        <v>2.9836172501264086E-91</v>
      </c>
      <c r="U428">
        <v>428</v>
      </c>
      <c r="W428">
        <f t="shared" si="47"/>
        <v>1.7114372745490876</v>
      </c>
      <c r="X428">
        <f>[1]!XLSTAT_PDFWeibull(W428,10,5)</f>
        <v>1.289850119771576E-4</v>
      </c>
      <c r="Y428">
        <v>428</v>
      </c>
      <c r="AA428">
        <f t="shared" si="48"/>
        <v>1.7114372745490876</v>
      </c>
      <c r="AB428">
        <f>[1]!XLSTAT_PDFWeibull(AA428,10,5)</f>
        <v>1.289850119771576E-4</v>
      </c>
    </row>
    <row r="429" spans="1:28" x14ac:dyDescent="0.3">
      <c r="A429">
        <v>429</v>
      </c>
      <c r="C429">
        <f t="shared" si="42"/>
        <v>2.8617234468937829</v>
      </c>
      <c r="D429">
        <f>[1]!XLSTAT_PDFNormal(C429,0,1)</f>
        <v>6.6464720993883756E-3</v>
      </c>
      <c r="E429">
        <v>429</v>
      </c>
      <c r="G429">
        <f t="shared" si="43"/>
        <v>1.7154450901803502</v>
      </c>
      <c r="H429">
        <f>[1]!XLSTAT_PDFWeibull(G429,1)</f>
        <v>0.1798836384514397</v>
      </c>
      <c r="I429">
        <v>429</v>
      </c>
      <c r="K429">
        <f t="shared" si="44"/>
        <v>1.7154450901803502</v>
      </c>
      <c r="L429">
        <f>[1]!XLSTAT_PDFWeibull(K429,1,1)</f>
        <v>0.1798836384514397</v>
      </c>
      <c r="M429">
        <v>429</v>
      </c>
      <c r="O429">
        <f t="shared" si="45"/>
        <v>1.7154450901803502</v>
      </c>
      <c r="P429">
        <f>[1]!XLSTAT_PDFWeibull(O429,5,1)</f>
        <v>1.5306033770184015E-5</v>
      </c>
      <c r="Q429">
        <v>429</v>
      </c>
      <c r="S429">
        <f t="shared" si="46"/>
        <v>1.7154450901803502</v>
      </c>
      <c r="T429">
        <f>[1]!XLSTAT_PDFWeibull(S429,10,1)</f>
        <v>1.8540838646006367E-93</v>
      </c>
      <c r="U429">
        <v>429</v>
      </c>
      <c r="W429">
        <f t="shared" si="47"/>
        <v>1.7154450901803502</v>
      </c>
      <c r="X429">
        <f>[1]!XLSTAT_PDFWeibull(W429,10,5)</f>
        <v>1.3172904209007958E-4</v>
      </c>
      <c r="Y429">
        <v>429</v>
      </c>
      <c r="AA429">
        <f t="shared" si="48"/>
        <v>1.7154450901803502</v>
      </c>
      <c r="AB429">
        <f>[1]!XLSTAT_PDFWeibull(AA429,10,5)</f>
        <v>1.3172904209007958E-4</v>
      </c>
    </row>
    <row r="430" spans="1:28" x14ac:dyDescent="0.3">
      <c r="A430">
        <v>430</v>
      </c>
      <c r="C430">
        <f t="shared" si="42"/>
        <v>2.8777555110220394</v>
      </c>
      <c r="D430">
        <f>[1]!XLSTAT_PDFNormal(C430,0,1)</f>
        <v>6.3476099432823244E-3</v>
      </c>
      <c r="E430">
        <v>430</v>
      </c>
      <c r="G430">
        <f t="shared" si="43"/>
        <v>1.7194529058116126</v>
      </c>
      <c r="H430">
        <f>[1]!XLSTAT_PDFWeibull(G430,1)</f>
        <v>0.17916414076356826</v>
      </c>
      <c r="I430">
        <v>430</v>
      </c>
      <c r="K430">
        <f t="shared" si="44"/>
        <v>1.7194529058116126</v>
      </c>
      <c r="L430">
        <f>[1]!XLSTAT_PDFWeibull(K430,1,1)</f>
        <v>0.17916414076356826</v>
      </c>
      <c r="M430">
        <v>430</v>
      </c>
      <c r="O430">
        <f t="shared" si="45"/>
        <v>1.7194529058116126</v>
      </c>
      <c r="P430">
        <f>[1]!XLSTAT_PDFWeibull(O430,5,1)</f>
        <v>1.2977726338098695E-5</v>
      </c>
      <c r="Q430">
        <v>430</v>
      </c>
      <c r="S430">
        <f t="shared" si="46"/>
        <v>1.7194529058116126</v>
      </c>
      <c r="T430">
        <f>[1]!XLSTAT_PDFWeibull(S430,10,1)</f>
        <v>1.0337389805138073E-95</v>
      </c>
      <c r="U430">
        <v>430</v>
      </c>
      <c r="W430">
        <f t="shared" si="47"/>
        <v>1.7194529058116126</v>
      </c>
      <c r="X430">
        <f>[1]!XLSTAT_PDFWeibull(W430,10,5)</f>
        <v>1.3452483852922337E-4</v>
      </c>
      <c r="Y430">
        <v>430</v>
      </c>
      <c r="AA430">
        <f t="shared" si="48"/>
        <v>1.7194529058116126</v>
      </c>
      <c r="AB430">
        <f>[1]!XLSTAT_PDFWeibull(AA430,10,5)</f>
        <v>1.3452483852922337E-4</v>
      </c>
    </row>
    <row r="431" spans="1:28" x14ac:dyDescent="0.3">
      <c r="A431">
        <v>431</v>
      </c>
      <c r="C431">
        <f t="shared" si="42"/>
        <v>2.8937875751502959</v>
      </c>
      <c r="D431">
        <f>[1]!XLSTAT_PDFNormal(C431,0,1)</f>
        <v>6.0606283373063541E-3</v>
      </c>
      <c r="E431">
        <v>431</v>
      </c>
      <c r="G431">
        <f t="shared" si="43"/>
        <v>1.723460721442875</v>
      </c>
      <c r="H431">
        <f>[1]!XLSTAT_PDFWeibull(G431,1)</f>
        <v>0.17844752091899213</v>
      </c>
      <c r="I431">
        <v>431</v>
      </c>
      <c r="K431">
        <f t="shared" si="44"/>
        <v>1.723460721442875</v>
      </c>
      <c r="L431">
        <f>[1]!XLSTAT_PDFWeibull(K431,1,1)</f>
        <v>0.17844752091899213</v>
      </c>
      <c r="M431">
        <v>431</v>
      </c>
      <c r="O431">
        <f t="shared" si="45"/>
        <v>1.723460721442875</v>
      </c>
      <c r="P431">
        <f>[1]!XLSTAT_PDFWeibull(O431,5,1)</f>
        <v>1.0985399736238353E-5</v>
      </c>
      <c r="Q431">
        <v>431</v>
      </c>
      <c r="S431">
        <f t="shared" si="46"/>
        <v>1.723460721442875</v>
      </c>
      <c r="T431">
        <f>[1]!XLSTAT_PDFWeibull(S431,10,1)</f>
        <v>5.160603924109323E-98</v>
      </c>
      <c r="U431">
        <v>431</v>
      </c>
      <c r="W431">
        <f t="shared" si="47"/>
        <v>1.723460721442875</v>
      </c>
      <c r="X431">
        <f>[1]!XLSTAT_PDFWeibull(W431,10,5)</f>
        <v>1.3737325370960323E-4</v>
      </c>
      <c r="Y431">
        <v>431</v>
      </c>
      <c r="AA431">
        <f t="shared" si="48"/>
        <v>1.723460721442875</v>
      </c>
      <c r="AB431">
        <f>[1]!XLSTAT_PDFWeibull(AA431,10,5)</f>
        <v>1.3737325370960323E-4</v>
      </c>
    </row>
    <row r="432" spans="1:28" x14ac:dyDescent="0.3">
      <c r="A432">
        <v>432</v>
      </c>
      <c r="C432">
        <f t="shared" si="42"/>
        <v>2.9098196392785525</v>
      </c>
      <c r="D432">
        <f>[1]!XLSTAT_PDFNormal(C432,0,1)</f>
        <v>5.7851343209650722E-3</v>
      </c>
      <c r="E432">
        <v>432</v>
      </c>
      <c r="G432">
        <f t="shared" si="43"/>
        <v>1.7274685370741376</v>
      </c>
      <c r="H432">
        <f>[1]!XLSTAT_PDFWeibull(G432,1)</f>
        <v>0.17773376740692787</v>
      </c>
      <c r="I432">
        <v>432</v>
      </c>
      <c r="K432">
        <f t="shared" si="44"/>
        <v>1.7274685370741376</v>
      </c>
      <c r="L432">
        <f>[1]!XLSTAT_PDFWeibull(K432,1,1)</f>
        <v>0.17773376740692787</v>
      </c>
      <c r="M432">
        <v>432</v>
      </c>
      <c r="O432">
        <f t="shared" si="45"/>
        <v>1.7274685370741376</v>
      </c>
      <c r="P432">
        <f>[1]!XLSTAT_PDFWeibull(O432,5,1)</f>
        <v>9.2834520386683099E-6</v>
      </c>
      <c r="Q432">
        <v>432</v>
      </c>
      <c r="S432">
        <f t="shared" si="46"/>
        <v>1.7274685370741376</v>
      </c>
      <c r="T432">
        <f>[1]!XLSTAT_PDFWeibull(S432,10,1)</f>
        <v>2.3019535046776867E-100</v>
      </c>
      <c r="U432">
        <v>432</v>
      </c>
      <c r="W432">
        <f t="shared" si="47"/>
        <v>1.7274685370741376</v>
      </c>
      <c r="X432">
        <f>[1]!XLSTAT_PDFWeibull(W432,10,5)</f>
        <v>1.4027515204572454E-4</v>
      </c>
      <c r="Y432">
        <v>432</v>
      </c>
      <c r="AA432">
        <f t="shared" si="48"/>
        <v>1.7274685370741376</v>
      </c>
      <c r="AB432">
        <f>[1]!XLSTAT_PDFWeibull(AA432,10,5)</f>
        <v>1.4027515204572454E-4</v>
      </c>
    </row>
    <row r="433" spans="1:28" x14ac:dyDescent="0.3">
      <c r="A433">
        <v>433</v>
      </c>
      <c r="C433">
        <f t="shared" si="42"/>
        <v>2.9258517034068081</v>
      </c>
      <c r="D433">
        <f>[1]!XLSTAT_PDFNormal(C433,0,1)</f>
        <v>5.5207440927367074E-3</v>
      </c>
      <c r="E433">
        <v>433</v>
      </c>
      <c r="G433">
        <f t="shared" si="43"/>
        <v>1.7314763527054</v>
      </c>
      <c r="H433">
        <f>[1]!XLSTAT_PDFWeibull(G433,1)</f>
        <v>0.17702286876263296</v>
      </c>
      <c r="I433">
        <v>433</v>
      </c>
      <c r="K433">
        <f t="shared" si="44"/>
        <v>1.7314763527054</v>
      </c>
      <c r="L433">
        <f>[1]!XLSTAT_PDFWeibull(K433,1,1)</f>
        <v>0.17702286876263296</v>
      </c>
      <c r="M433">
        <v>433</v>
      </c>
      <c r="O433">
        <f t="shared" si="45"/>
        <v>1.7314763527054</v>
      </c>
      <c r="P433">
        <f>[1]!XLSTAT_PDFWeibull(O433,5,1)</f>
        <v>7.8320339516518831E-6</v>
      </c>
      <c r="Q433">
        <v>433</v>
      </c>
      <c r="S433">
        <f t="shared" si="46"/>
        <v>1.7314763527054</v>
      </c>
      <c r="T433">
        <f>[1]!XLSTAT_PDFWeibull(S433,10,1)</f>
        <v>9.1555073792764488E-103</v>
      </c>
      <c r="U433">
        <v>433</v>
      </c>
      <c r="W433">
        <f t="shared" si="47"/>
        <v>1.7314763527054</v>
      </c>
      <c r="X433">
        <f>[1]!XLSTAT_PDFWeibull(W433,10,5)</f>
        <v>1.43231410091876E-4</v>
      </c>
      <c r="Y433">
        <v>433</v>
      </c>
      <c r="AA433">
        <f t="shared" si="48"/>
        <v>1.7314763527054</v>
      </c>
      <c r="AB433">
        <f>[1]!XLSTAT_PDFWeibull(AA433,10,5)</f>
        <v>1.43231410091876E-4</v>
      </c>
    </row>
    <row r="434" spans="1:28" x14ac:dyDescent="0.3">
      <c r="A434">
        <v>434</v>
      </c>
      <c r="C434">
        <f t="shared" si="42"/>
        <v>2.9418837675350646</v>
      </c>
      <c r="D434">
        <f>[1]!XLSTAT_PDFNormal(C434,0,1)</f>
        <v>5.2670829792525646E-3</v>
      </c>
      <c r="E434">
        <v>434</v>
      </c>
      <c r="G434">
        <f t="shared" si="43"/>
        <v>1.7354841683366626</v>
      </c>
      <c r="H434">
        <f>[1]!XLSTAT_PDFWeibull(G434,1)</f>
        <v>0.17631481356722131</v>
      </c>
      <c r="I434">
        <v>434</v>
      </c>
      <c r="K434">
        <f t="shared" si="44"/>
        <v>1.7354841683366626</v>
      </c>
      <c r="L434">
        <f>[1]!XLSTAT_PDFWeibull(K434,1,1)</f>
        <v>0.17631481356722131</v>
      </c>
      <c r="M434">
        <v>434</v>
      </c>
      <c r="O434">
        <f t="shared" si="45"/>
        <v>1.7354841683366626</v>
      </c>
      <c r="P434">
        <f>[1]!XLSTAT_PDFWeibull(O434,5,1)</f>
        <v>6.5963862934087444E-6</v>
      </c>
      <c r="Q434">
        <v>434</v>
      </c>
      <c r="S434">
        <f t="shared" si="46"/>
        <v>1.7354841683366626</v>
      </c>
      <c r="T434">
        <f>[1]!XLSTAT_PDFWeibull(S434,10,1)</f>
        <v>3.2398626191407872E-105</v>
      </c>
      <c r="U434">
        <v>434</v>
      </c>
      <c r="W434">
        <f t="shared" si="47"/>
        <v>1.7354841683366626</v>
      </c>
      <c r="X434">
        <f>[1]!XLSTAT_PDFWeibull(W434,10,5)</f>
        <v>1.4624291668373246E-4</v>
      </c>
      <c r="Y434">
        <v>434</v>
      </c>
      <c r="AA434">
        <f t="shared" si="48"/>
        <v>1.7354841683366626</v>
      </c>
      <c r="AB434">
        <f>[1]!XLSTAT_PDFWeibull(AA434,10,5)</f>
        <v>1.4624291668373246E-4</v>
      </c>
    </row>
    <row r="435" spans="1:28" x14ac:dyDescent="0.3">
      <c r="A435">
        <v>435</v>
      </c>
      <c r="C435">
        <f t="shared" si="42"/>
        <v>2.9579158316633212</v>
      </c>
      <c r="D435">
        <f>[1]!XLSTAT_PDFNormal(C435,0,1)</f>
        <v>5.0237853944224524E-3</v>
      </c>
      <c r="E435">
        <v>435</v>
      </c>
      <c r="G435">
        <f t="shared" si="43"/>
        <v>1.739491983967925</v>
      </c>
      <c r="H435">
        <f>[1]!XLSTAT_PDFWeibull(G435,1)</f>
        <v>0.17560959044748023</v>
      </c>
      <c r="I435">
        <v>435</v>
      </c>
      <c r="K435">
        <f t="shared" si="44"/>
        <v>1.739491983967925</v>
      </c>
      <c r="L435">
        <f>[1]!XLSTAT_PDFWeibull(K435,1,1)</f>
        <v>0.17560959044748023</v>
      </c>
      <c r="M435">
        <v>435</v>
      </c>
      <c r="O435">
        <f t="shared" si="45"/>
        <v>1.739491983967925</v>
      </c>
      <c r="P435">
        <f>[1]!XLSTAT_PDFWeibull(O435,5,1)</f>
        <v>5.5462450949779968E-6</v>
      </c>
      <c r="Q435">
        <v>435</v>
      </c>
      <c r="S435">
        <f t="shared" si="46"/>
        <v>1.739491983967925</v>
      </c>
      <c r="T435">
        <f>[1]!XLSTAT_PDFWeibull(S435,10,1)</f>
        <v>1.0178465782922602E-107</v>
      </c>
      <c r="U435">
        <v>435</v>
      </c>
      <c r="W435">
        <f t="shared" si="47"/>
        <v>1.739491983967925</v>
      </c>
      <c r="X435">
        <f>[1]!XLSTAT_PDFWeibull(W435,10,5)</f>
        <v>1.4931057308126272E-4</v>
      </c>
      <c r="Y435">
        <v>435</v>
      </c>
      <c r="AA435">
        <f t="shared" si="48"/>
        <v>1.739491983967925</v>
      </c>
      <c r="AB435">
        <f>[1]!XLSTAT_PDFWeibull(AA435,10,5)</f>
        <v>1.4931057308126272E-4</v>
      </c>
    </row>
    <row r="436" spans="1:28" x14ac:dyDescent="0.3">
      <c r="A436">
        <v>436</v>
      </c>
      <c r="C436">
        <f t="shared" si="42"/>
        <v>2.9739478957915777</v>
      </c>
      <c r="D436">
        <f>[1]!XLSTAT_PDFNormal(C436,0,1)</f>
        <v>4.7904947890267443E-3</v>
      </c>
      <c r="E436">
        <v>436</v>
      </c>
      <c r="G436">
        <f t="shared" si="43"/>
        <v>1.7434997995991877</v>
      </c>
      <c r="H436">
        <f>[1]!XLSTAT_PDFWeibull(G436,1)</f>
        <v>0.17490718807568739</v>
      </c>
      <c r="I436">
        <v>436</v>
      </c>
      <c r="K436">
        <f t="shared" si="44"/>
        <v>1.7434997995991877</v>
      </c>
      <c r="L436">
        <f>[1]!XLSTAT_PDFWeibull(K436,1,1)</f>
        <v>0.17490718807568739</v>
      </c>
      <c r="M436">
        <v>436</v>
      </c>
      <c r="O436">
        <f t="shared" si="45"/>
        <v>1.7434997995991877</v>
      </c>
      <c r="P436">
        <f>[1]!XLSTAT_PDFWeibull(O436,5,1)</f>
        <v>4.655308551819841E-6</v>
      </c>
      <c r="Q436">
        <v>436</v>
      </c>
      <c r="S436">
        <f t="shared" si="46"/>
        <v>1.7434997995991877</v>
      </c>
      <c r="T436">
        <f>[1]!XLSTAT_PDFWeibull(S436,10,1)</f>
        <v>2.8326140368485539E-110</v>
      </c>
      <c r="U436">
        <v>436</v>
      </c>
      <c r="W436">
        <f t="shared" si="47"/>
        <v>1.7434997995991877</v>
      </c>
      <c r="X436">
        <f>[1]!XLSTAT_PDFWeibull(W436,10,5)</f>
        <v>1.5243529311296546E-4</v>
      </c>
      <c r="Y436">
        <v>436</v>
      </c>
      <c r="AA436">
        <f t="shared" si="48"/>
        <v>1.7434997995991877</v>
      </c>
      <c r="AB436">
        <f>[1]!XLSTAT_PDFWeibull(AA436,10,5)</f>
        <v>1.5243529311296546E-4</v>
      </c>
    </row>
    <row r="437" spans="1:28" x14ac:dyDescent="0.3">
      <c r="A437">
        <v>437</v>
      </c>
      <c r="C437">
        <f t="shared" si="42"/>
        <v>2.9899799599198342</v>
      </c>
      <c r="D437">
        <f>[1]!XLSTAT_PDFNormal(C437,0,1)</f>
        <v>4.5668635912892285E-3</v>
      </c>
      <c r="E437">
        <v>437</v>
      </c>
      <c r="G437">
        <f t="shared" si="43"/>
        <v>1.7475076152304501</v>
      </c>
      <c r="H437">
        <f>[1]!XLSTAT_PDFWeibull(G437,1)</f>
        <v>0.17420759516942913</v>
      </c>
      <c r="I437">
        <v>437</v>
      </c>
      <c r="K437">
        <f t="shared" si="44"/>
        <v>1.7475076152304501</v>
      </c>
      <c r="L437">
        <f>[1]!XLSTAT_PDFWeibull(K437,1,1)</f>
        <v>0.17420759516942913</v>
      </c>
      <c r="M437">
        <v>437</v>
      </c>
      <c r="O437">
        <f t="shared" si="45"/>
        <v>1.7475076152304501</v>
      </c>
      <c r="P437">
        <f>[1]!XLSTAT_PDFWeibull(O437,5,1)</f>
        <v>3.900760407397261E-6</v>
      </c>
      <c r="Q437">
        <v>437</v>
      </c>
      <c r="S437">
        <f t="shared" si="46"/>
        <v>1.7475076152304501</v>
      </c>
      <c r="T437">
        <f>[1]!XLSTAT_PDFWeibull(S437,10,1)</f>
        <v>6.9672918483865864E-113</v>
      </c>
      <c r="U437">
        <v>437</v>
      </c>
      <c r="W437">
        <f t="shared" si="47"/>
        <v>1.7475076152304501</v>
      </c>
      <c r="X437">
        <f>[1]!XLSTAT_PDFWeibull(W437,10,5)</f>
        <v>1.5561800332143048E-4</v>
      </c>
      <c r="Y437">
        <v>437</v>
      </c>
      <c r="AA437">
        <f t="shared" si="48"/>
        <v>1.7475076152304501</v>
      </c>
      <c r="AB437">
        <f>[1]!XLSTAT_PDFWeibull(AA437,10,5)</f>
        <v>1.5561800332143048E-4</v>
      </c>
    </row>
    <row r="438" spans="1:28" x14ac:dyDescent="0.3">
      <c r="A438">
        <v>438</v>
      </c>
      <c r="C438">
        <f t="shared" si="42"/>
        <v>3.0060120240480908</v>
      </c>
      <c r="D438">
        <f>[1]!XLSTAT_PDFNormal(C438,0,1)</f>
        <v>4.3525531389366438E-3</v>
      </c>
      <c r="E438">
        <v>438</v>
      </c>
      <c r="G438">
        <f t="shared" si="43"/>
        <v>1.7515154308617127</v>
      </c>
      <c r="H438">
        <f>[1]!XLSTAT_PDFWeibull(G438,1)</f>
        <v>0.17351080049141904</v>
      </c>
      <c r="I438">
        <v>438</v>
      </c>
      <c r="K438">
        <f t="shared" si="44"/>
        <v>1.7515154308617127</v>
      </c>
      <c r="L438">
        <f>[1]!XLSTAT_PDFWeibull(K438,1,1)</f>
        <v>0.17351080049141904</v>
      </c>
      <c r="M438">
        <v>438</v>
      </c>
      <c r="O438">
        <f t="shared" si="45"/>
        <v>1.7515154308617127</v>
      </c>
      <c r="P438">
        <f>[1]!XLSTAT_PDFWeibull(O438,5,1)</f>
        <v>3.2628446975123166E-6</v>
      </c>
      <c r="Q438">
        <v>438</v>
      </c>
      <c r="S438">
        <f t="shared" si="46"/>
        <v>1.7515154308617127</v>
      </c>
      <c r="T438">
        <f>[1]!XLSTAT_PDFWeibull(S438,10,1)</f>
        <v>1.5111877300154538E-115</v>
      </c>
      <c r="U438">
        <v>438</v>
      </c>
      <c r="W438">
        <f t="shared" si="47"/>
        <v>1.7515154308617127</v>
      </c>
      <c r="X438">
        <f>[1]!XLSTAT_PDFWeibull(W438,10,5)</f>
        <v>1.5885964311024436E-4</v>
      </c>
      <c r="Y438">
        <v>438</v>
      </c>
      <c r="AA438">
        <f t="shared" si="48"/>
        <v>1.7515154308617127</v>
      </c>
      <c r="AB438">
        <f>[1]!XLSTAT_PDFWeibull(AA438,10,5)</f>
        <v>1.5885964311024436E-4</v>
      </c>
    </row>
    <row r="439" spans="1:28" x14ac:dyDescent="0.3">
      <c r="A439">
        <v>439</v>
      </c>
      <c r="C439">
        <f t="shared" si="42"/>
        <v>3.0220440881763473</v>
      </c>
      <c r="D439">
        <f>[1]!XLSTAT_PDFNormal(C439,0,1)</f>
        <v>4.1472336032425698E-3</v>
      </c>
      <c r="E439">
        <v>439</v>
      </c>
      <c r="G439">
        <f t="shared" si="43"/>
        <v>1.7555232464929751</v>
      </c>
      <c r="H439">
        <f>[1]!XLSTAT_PDFWeibull(G439,1)</f>
        <v>0.17281679284931767</v>
      </c>
      <c r="I439">
        <v>439</v>
      </c>
      <c r="K439">
        <f t="shared" si="44"/>
        <v>1.7555232464929751</v>
      </c>
      <c r="L439">
        <f>[1]!XLSTAT_PDFWeibull(K439,1,1)</f>
        <v>0.17281679284931767</v>
      </c>
      <c r="M439">
        <v>439</v>
      </c>
      <c r="O439">
        <f t="shared" si="45"/>
        <v>1.7555232464929751</v>
      </c>
      <c r="P439">
        <f>[1]!XLSTAT_PDFWeibull(O439,5,1)</f>
        <v>2.7244871251827356E-6</v>
      </c>
      <c r="Q439">
        <v>439</v>
      </c>
      <c r="S439">
        <f t="shared" si="46"/>
        <v>1.7555232464929751</v>
      </c>
      <c r="T439">
        <f>[1]!XLSTAT_PDFWeibull(S439,10,1)</f>
        <v>2.8836388302503053E-118</v>
      </c>
      <c r="U439">
        <v>439</v>
      </c>
      <c r="W439">
        <f t="shared" si="47"/>
        <v>1.7555232464929751</v>
      </c>
      <c r="X439">
        <f>[1]!XLSTAT_PDFWeibull(W439,10,5)</f>
        <v>1.621611648922411E-4</v>
      </c>
      <c r="Y439">
        <v>439</v>
      </c>
      <c r="AA439">
        <f t="shared" si="48"/>
        <v>1.7555232464929751</v>
      </c>
      <c r="AB439">
        <f>[1]!XLSTAT_PDFWeibull(AA439,10,5)</f>
        <v>1.621611648922411E-4</v>
      </c>
    </row>
    <row r="440" spans="1:28" x14ac:dyDescent="0.3">
      <c r="A440">
        <v>440</v>
      </c>
      <c r="C440">
        <f t="shared" si="42"/>
        <v>3.0380761523046038</v>
      </c>
      <c r="D440">
        <f>[1]!XLSTAT_PDFNormal(C440,0,1)</f>
        <v>3.9505839055440986E-3</v>
      </c>
      <c r="E440">
        <v>440</v>
      </c>
      <c r="G440">
        <f t="shared" si="43"/>
        <v>1.7595310621242375</v>
      </c>
      <c r="H440">
        <f>[1]!XLSTAT_PDFWeibull(G440,1)</f>
        <v>0.17212556109555255</v>
      </c>
      <c r="I440">
        <v>440</v>
      </c>
      <c r="K440">
        <f t="shared" si="44"/>
        <v>1.7595310621242375</v>
      </c>
      <c r="L440">
        <f>[1]!XLSTAT_PDFWeibull(K440,1,1)</f>
        <v>0.17212556109555255</v>
      </c>
      <c r="M440">
        <v>440</v>
      </c>
      <c r="O440">
        <f t="shared" si="45"/>
        <v>1.7595310621242375</v>
      </c>
      <c r="P440">
        <f>[1]!XLSTAT_PDFWeibull(O440,5,1)</f>
        <v>2.2709586682106689E-6</v>
      </c>
      <c r="Q440">
        <v>440</v>
      </c>
      <c r="S440">
        <f t="shared" si="46"/>
        <v>1.7595310621242375</v>
      </c>
      <c r="T440">
        <f>[1]!XLSTAT_PDFWeibull(S440,10,1)</f>
        <v>4.8295342409599392E-121</v>
      </c>
      <c r="U440">
        <v>440</v>
      </c>
      <c r="W440">
        <f t="shared" si="47"/>
        <v>1.7595310621242375</v>
      </c>
      <c r="X440">
        <f>[1]!XLSTAT_PDFWeibull(W440,10,5)</f>
        <v>1.6552353423911084E-4</v>
      </c>
      <c r="Y440">
        <v>440</v>
      </c>
      <c r="AA440">
        <f t="shared" si="48"/>
        <v>1.7595310621242375</v>
      </c>
      <c r="AB440">
        <f>[1]!XLSTAT_PDFWeibull(AA440,10,5)</f>
        <v>1.6552353423911084E-4</v>
      </c>
    </row>
    <row r="441" spans="1:28" x14ac:dyDescent="0.3">
      <c r="A441">
        <v>441</v>
      </c>
      <c r="C441">
        <f t="shared" si="42"/>
        <v>3.0541082164328603</v>
      </c>
      <c r="D441">
        <f>[1]!XLSTAT_PDFNormal(C441,0,1)</f>
        <v>3.7622916267101886E-3</v>
      </c>
      <c r="E441">
        <v>441</v>
      </c>
      <c r="G441">
        <f t="shared" si="43"/>
        <v>1.7635388777555001</v>
      </c>
      <c r="H441">
        <f>[1]!XLSTAT_PDFWeibull(G441,1)</f>
        <v>0.17143709412713917</v>
      </c>
      <c r="I441">
        <v>441</v>
      </c>
      <c r="K441">
        <f t="shared" si="44"/>
        <v>1.7635388777555001</v>
      </c>
      <c r="L441">
        <f>[1]!XLSTAT_PDFWeibull(K441,1,1)</f>
        <v>0.17143709412713917</v>
      </c>
      <c r="M441">
        <v>441</v>
      </c>
      <c r="O441">
        <f t="shared" si="45"/>
        <v>1.7635388777555001</v>
      </c>
      <c r="P441">
        <f>[1]!XLSTAT_PDFWeibull(O441,5,1)</f>
        <v>1.8895773435652068E-6</v>
      </c>
      <c r="Q441">
        <v>441</v>
      </c>
      <c r="S441">
        <f t="shared" si="46"/>
        <v>1.7635388777555001</v>
      </c>
      <c r="T441">
        <f>[1]!XLSTAT_PDFWeibull(S441,10,1)</f>
        <v>7.0822124217788445E-124</v>
      </c>
      <c r="U441">
        <v>441</v>
      </c>
      <c r="W441">
        <f t="shared" si="47"/>
        <v>1.7635388777555001</v>
      </c>
      <c r="X441">
        <f>[1]!XLSTAT_PDFWeibull(W441,10,5)</f>
        <v>1.6894773003237862E-4</v>
      </c>
      <c r="Y441">
        <v>441</v>
      </c>
      <c r="AA441">
        <f t="shared" si="48"/>
        <v>1.7635388777555001</v>
      </c>
      <c r="AB441">
        <f>[1]!XLSTAT_PDFWeibull(AA441,10,5)</f>
        <v>1.6894773003237862E-4</v>
      </c>
    </row>
    <row r="442" spans="1:28" x14ac:dyDescent="0.3">
      <c r="A442">
        <v>442</v>
      </c>
      <c r="C442">
        <f t="shared" si="42"/>
        <v>3.0701402805611169</v>
      </c>
      <c r="D442">
        <f>[1]!XLSTAT_PDFNormal(C442,0,1)</f>
        <v>3.5820529100303714E-3</v>
      </c>
      <c r="E442">
        <v>442</v>
      </c>
      <c r="G442">
        <f t="shared" si="43"/>
        <v>1.7675466933867625</v>
      </c>
      <c r="H442">
        <f>[1]!XLSTAT_PDFWeibull(G442,1)</f>
        <v>0.17075138088550282</v>
      </c>
      <c r="I442">
        <v>442</v>
      </c>
      <c r="K442">
        <f t="shared" si="44"/>
        <v>1.7675466933867625</v>
      </c>
      <c r="L442">
        <f>[1]!XLSTAT_PDFWeibull(K442,1,1)</f>
        <v>0.17075138088550282</v>
      </c>
      <c r="M442">
        <v>442</v>
      </c>
      <c r="O442">
        <f t="shared" si="45"/>
        <v>1.7675466933867625</v>
      </c>
      <c r="P442">
        <f>[1]!XLSTAT_PDFWeibull(O442,5,1)</f>
        <v>1.5694443628143986E-6</v>
      </c>
      <c r="Q442">
        <v>442</v>
      </c>
      <c r="S442">
        <f t="shared" si="46"/>
        <v>1.7675466933867625</v>
      </c>
      <c r="T442">
        <f>[1]!XLSTAT_PDFWeibull(S442,10,1)</f>
        <v>9.071363702382722E-127</v>
      </c>
      <c r="U442">
        <v>442</v>
      </c>
      <c r="W442">
        <f t="shared" si="47"/>
        <v>1.7675466933867625</v>
      </c>
      <c r="X442">
        <f>[1]!XLSTAT_PDFWeibull(W442,10,5)</f>
        <v>1.724347446157544E-4</v>
      </c>
      <c r="Y442">
        <v>442</v>
      </c>
      <c r="AA442">
        <f t="shared" si="48"/>
        <v>1.7675466933867625</v>
      </c>
      <c r="AB442">
        <f>[1]!XLSTAT_PDFWeibull(AA442,10,5)</f>
        <v>1.724347446157544E-4</v>
      </c>
    </row>
    <row r="443" spans="1:28" x14ac:dyDescent="0.3">
      <c r="A443">
        <v>443</v>
      </c>
      <c r="C443">
        <f t="shared" si="42"/>
        <v>3.0861723446893734</v>
      </c>
      <c r="D443">
        <f>[1]!XLSTAT_PDFNormal(C443,0,1)</f>
        <v>3.4095723579819215E-3</v>
      </c>
      <c r="E443">
        <v>443</v>
      </c>
      <c r="G443">
        <f t="shared" si="43"/>
        <v>1.7715545090180251</v>
      </c>
      <c r="H443">
        <f>[1]!XLSTAT_PDFWeibull(G443,1)</f>
        <v>0.17006841035630071</v>
      </c>
      <c r="I443">
        <v>443</v>
      </c>
      <c r="K443">
        <f t="shared" si="44"/>
        <v>1.7715545090180251</v>
      </c>
      <c r="L443">
        <f>[1]!XLSTAT_PDFWeibull(K443,1,1)</f>
        <v>0.17006841035630071</v>
      </c>
      <c r="M443">
        <v>443</v>
      </c>
      <c r="O443">
        <f t="shared" si="45"/>
        <v>1.7715545090180251</v>
      </c>
      <c r="P443">
        <f>[1]!XLSTAT_PDFWeibull(O443,5,1)</f>
        <v>1.3012112099580724E-6</v>
      </c>
      <c r="Q443">
        <v>443</v>
      </c>
      <c r="S443">
        <f t="shared" si="46"/>
        <v>1.7715545090180251</v>
      </c>
      <c r="T443">
        <f>[1]!XLSTAT_PDFWeibull(S443,10,1)</f>
        <v>1.0123711721033442E-129</v>
      </c>
      <c r="U443">
        <v>443</v>
      </c>
      <c r="W443">
        <f t="shared" si="47"/>
        <v>1.7715545090180251</v>
      </c>
      <c r="X443">
        <f>[1]!XLSTAT_PDFWeibull(W443,10,5)</f>
        <v>1.7598558394887157E-4</v>
      </c>
      <c r="Y443">
        <v>443</v>
      </c>
      <c r="AA443">
        <f t="shared" si="48"/>
        <v>1.7715545090180251</v>
      </c>
      <c r="AB443">
        <f>[1]!XLSTAT_PDFWeibull(AA443,10,5)</f>
        <v>1.7598558394887157E-4</v>
      </c>
    </row>
    <row r="444" spans="1:28" x14ac:dyDescent="0.3">
      <c r="A444">
        <v>444</v>
      </c>
      <c r="C444">
        <f t="shared" si="42"/>
        <v>3.1022044088176299</v>
      </c>
      <c r="D444">
        <f>[1]!XLSTAT_PDFNormal(C444,0,1)</f>
        <v>3.244562923322529E-3</v>
      </c>
      <c r="E444">
        <v>444</v>
      </c>
      <c r="G444">
        <f t="shared" si="43"/>
        <v>1.7755623246492875</v>
      </c>
      <c r="H444">
        <f>[1]!XLSTAT_PDFWeibull(G444,1)</f>
        <v>0.16938817156924527</v>
      </c>
      <c r="I444">
        <v>444</v>
      </c>
      <c r="K444">
        <f t="shared" si="44"/>
        <v>1.7755623246492875</v>
      </c>
      <c r="L444">
        <f>[1]!XLSTAT_PDFWeibull(K444,1,1)</f>
        <v>0.16938817156924527</v>
      </c>
      <c r="M444">
        <v>444</v>
      </c>
      <c r="O444">
        <f t="shared" si="45"/>
        <v>1.7755623246492875</v>
      </c>
      <c r="P444">
        <f>[1]!XLSTAT_PDFWeibull(O444,5,1)</f>
        <v>1.0768744562486333E-6</v>
      </c>
      <c r="Q444">
        <v>444</v>
      </c>
      <c r="S444">
        <f t="shared" si="46"/>
        <v>1.7755623246492875</v>
      </c>
      <c r="T444">
        <f>[1]!XLSTAT_PDFWeibull(S444,10,1)</f>
        <v>9.8192185012918707E-133</v>
      </c>
      <c r="U444">
        <v>444</v>
      </c>
      <c r="W444">
        <f t="shared" si="47"/>
        <v>1.7755623246492875</v>
      </c>
      <c r="X444">
        <f>[1]!XLSTAT_PDFWeibull(W444,10,5)</f>
        <v>1.7960126776241656E-4</v>
      </c>
      <c r="Y444">
        <v>444</v>
      </c>
      <c r="AA444">
        <f t="shared" si="48"/>
        <v>1.7755623246492875</v>
      </c>
      <c r="AB444">
        <f>[1]!XLSTAT_PDFWeibull(AA444,10,5)</f>
        <v>1.7960126776241656E-4</v>
      </c>
    </row>
    <row r="445" spans="1:28" x14ac:dyDescent="0.3">
      <c r="A445">
        <v>445</v>
      </c>
      <c r="C445">
        <f t="shared" si="42"/>
        <v>3.1182364729458865</v>
      </c>
      <c r="D445">
        <f>[1]!XLSTAT_PDFNormal(C445,0,1)</f>
        <v>3.0867457949441675E-3</v>
      </c>
      <c r="E445">
        <v>445</v>
      </c>
      <c r="G445">
        <f t="shared" si="43"/>
        <v>1.7795701402805502</v>
      </c>
      <c r="H445">
        <f>[1]!XLSTAT_PDFWeibull(G445,1)</f>
        <v>0.16871065359792764</v>
      </c>
      <c r="I445">
        <v>445</v>
      </c>
      <c r="K445">
        <f t="shared" si="44"/>
        <v>1.7795701402805502</v>
      </c>
      <c r="L445">
        <f>[1]!XLSTAT_PDFWeibull(K445,1,1)</f>
        <v>0.16871065359792764</v>
      </c>
      <c r="M445">
        <v>445</v>
      </c>
      <c r="O445">
        <f t="shared" si="45"/>
        <v>1.7795701402805502</v>
      </c>
      <c r="P445">
        <f>[1]!XLSTAT_PDFWeibull(O445,5,1)</f>
        <v>8.8959539531208097E-7</v>
      </c>
      <c r="Q445">
        <v>445</v>
      </c>
      <c r="S445">
        <f t="shared" si="46"/>
        <v>1.7795701402805502</v>
      </c>
      <c r="T445">
        <f>[1]!XLSTAT_PDFWeibull(S445,10,1)</f>
        <v>8.2560628334565425E-136</v>
      </c>
      <c r="U445">
        <v>445</v>
      </c>
      <c r="W445">
        <f t="shared" si="47"/>
        <v>1.7795701402805502</v>
      </c>
      <c r="X445">
        <f>[1]!XLSTAT_PDFWeibull(W445,10,5)</f>
        <v>1.8328282971466573E-4</v>
      </c>
      <c r="Y445">
        <v>445</v>
      </c>
      <c r="AA445">
        <f t="shared" si="48"/>
        <v>1.7795701402805502</v>
      </c>
      <c r="AB445">
        <f>[1]!XLSTAT_PDFWeibull(AA445,10,5)</f>
        <v>1.8328282971466573E-4</v>
      </c>
    </row>
    <row r="446" spans="1:28" x14ac:dyDescent="0.3">
      <c r="A446">
        <v>446</v>
      </c>
      <c r="C446">
        <f t="shared" si="42"/>
        <v>3.134268537074143</v>
      </c>
      <c r="D446">
        <f>[1]!XLSTAT_PDFNormal(C446,0,1)</f>
        <v>2.9358502789120513E-3</v>
      </c>
      <c r="E446">
        <v>446</v>
      </c>
      <c r="G446">
        <f t="shared" si="43"/>
        <v>1.7835779559118126</v>
      </c>
      <c r="H446">
        <f>[1]!XLSTAT_PDFWeibull(G446,1)</f>
        <v>0.16803584555964263</v>
      </c>
      <c r="I446">
        <v>446</v>
      </c>
      <c r="K446">
        <f t="shared" si="44"/>
        <v>1.7835779559118126</v>
      </c>
      <c r="L446">
        <f>[1]!XLSTAT_PDFWeibull(K446,1,1)</f>
        <v>0.16803584555964263</v>
      </c>
      <c r="M446">
        <v>446</v>
      </c>
      <c r="O446">
        <f t="shared" si="45"/>
        <v>1.7835779559118126</v>
      </c>
      <c r="P446">
        <f>[1]!XLSTAT_PDFWeibull(O446,5,1)</f>
        <v>7.3354183569560048E-7</v>
      </c>
      <c r="Q446">
        <v>446</v>
      </c>
      <c r="S446">
        <f t="shared" si="46"/>
        <v>1.7835779559118126</v>
      </c>
      <c r="T446">
        <f>[1]!XLSTAT_PDFWeibull(S446,10,1)</f>
        <v>6.0020445685898541E-139</v>
      </c>
      <c r="U446">
        <v>446</v>
      </c>
      <c r="W446">
        <f t="shared" si="47"/>
        <v>1.7835779559118126</v>
      </c>
      <c r="X446">
        <f>[1]!XLSTAT_PDFWeibull(W446,10,5)</f>
        <v>1.8703131754943002E-4</v>
      </c>
      <c r="Y446">
        <v>446</v>
      </c>
      <c r="AA446">
        <f t="shared" si="48"/>
        <v>1.7835779559118126</v>
      </c>
      <c r="AB446">
        <f>[1]!XLSTAT_PDFWeibull(AA446,10,5)</f>
        <v>1.8703131754943002E-4</v>
      </c>
    </row>
    <row r="447" spans="1:28" x14ac:dyDescent="0.3">
      <c r="A447">
        <v>447</v>
      </c>
      <c r="C447">
        <f t="shared" si="42"/>
        <v>3.1503006012023995</v>
      </c>
      <c r="D447">
        <f>[1]!XLSTAT_PDFNormal(C447,0,1)</f>
        <v>2.7916136751006604E-3</v>
      </c>
      <c r="E447">
        <v>447</v>
      </c>
      <c r="G447">
        <f t="shared" si="43"/>
        <v>1.7875857715430752</v>
      </c>
      <c r="H447">
        <f>[1]!XLSTAT_PDFWeibull(G447,1)</f>
        <v>0.16736373661521337</v>
      </c>
      <c r="I447">
        <v>447</v>
      </c>
      <c r="K447">
        <f t="shared" si="44"/>
        <v>1.7875857715430752</v>
      </c>
      <c r="L447">
        <f>[1]!XLSTAT_PDFWeibull(K447,1,1)</f>
        <v>0.16736373661521337</v>
      </c>
      <c r="M447">
        <v>447</v>
      </c>
      <c r="O447">
        <f t="shared" si="45"/>
        <v>1.7875857715430752</v>
      </c>
      <c r="P447">
        <f>[1]!XLSTAT_PDFWeibull(O447,5,1)</f>
        <v>6.0374962666163486E-7</v>
      </c>
      <c r="Q447">
        <v>447</v>
      </c>
      <c r="S447">
        <f t="shared" si="46"/>
        <v>1.7875857715430752</v>
      </c>
      <c r="T447">
        <f>[1]!XLSTAT_PDFWeibull(S447,10,1)</f>
        <v>3.7627807740565596E-142</v>
      </c>
      <c r="U447">
        <v>447</v>
      </c>
      <c r="W447">
        <f t="shared" si="47"/>
        <v>1.7875857715430752</v>
      </c>
      <c r="X447">
        <f>[1]!XLSTAT_PDFWeibull(W447,10,5)</f>
        <v>1.9084779325542777E-4</v>
      </c>
      <c r="Y447">
        <v>447</v>
      </c>
      <c r="AA447">
        <f t="shared" si="48"/>
        <v>1.7875857715430752</v>
      </c>
      <c r="AB447">
        <f>[1]!XLSTAT_PDFWeibull(AA447,10,5)</f>
        <v>1.9084779325542777E-4</v>
      </c>
    </row>
    <row r="448" spans="1:28" x14ac:dyDescent="0.3">
      <c r="A448">
        <v>448</v>
      </c>
      <c r="C448">
        <f t="shared" si="42"/>
        <v>3.166332665330656</v>
      </c>
      <c r="D448">
        <f>[1]!XLSTAT_PDFNormal(C448,0,1)</f>
        <v>2.6537811498264577E-3</v>
      </c>
      <c r="E448">
        <v>448</v>
      </c>
      <c r="G448">
        <f t="shared" si="43"/>
        <v>1.7915935871743376</v>
      </c>
      <c r="H448">
        <f>[1]!XLSTAT_PDFWeibull(G448,1)</f>
        <v>0.16669431596881767</v>
      </c>
      <c r="I448">
        <v>448</v>
      </c>
      <c r="K448">
        <f t="shared" si="44"/>
        <v>1.7915935871743376</v>
      </c>
      <c r="L448">
        <f>[1]!XLSTAT_PDFWeibull(K448,1,1)</f>
        <v>0.16669431596881767</v>
      </c>
      <c r="M448">
        <v>448</v>
      </c>
      <c r="O448">
        <f t="shared" si="45"/>
        <v>1.7915935871743376</v>
      </c>
      <c r="P448">
        <f>[1]!XLSTAT_PDFWeibull(O448,5,1)</f>
        <v>4.9600171659901373E-7</v>
      </c>
      <c r="Q448">
        <v>448</v>
      </c>
      <c r="S448">
        <f t="shared" si="46"/>
        <v>1.7915935871743376</v>
      </c>
      <c r="T448">
        <f>[1]!XLSTAT_PDFWeibull(S448,10,1)</f>
        <v>2.0287905909652997E-145</v>
      </c>
      <c r="U448">
        <v>448</v>
      </c>
      <c r="W448">
        <f t="shared" si="47"/>
        <v>1.7915935871743376</v>
      </c>
      <c r="X448">
        <f>[1]!XLSTAT_PDFWeibull(W448,10,5)</f>
        <v>1.947333332270818E-4</v>
      </c>
      <c r="Y448">
        <v>448</v>
      </c>
      <c r="AA448">
        <f t="shared" si="48"/>
        <v>1.7915935871743376</v>
      </c>
      <c r="AB448">
        <f>[1]!XLSTAT_PDFWeibull(AA448,10,5)</f>
        <v>1.947333332270818E-4</v>
      </c>
    </row>
    <row r="449" spans="1:28" x14ac:dyDescent="0.3">
      <c r="A449">
        <v>449</v>
      </c>
      <c r="C449">
        <f t="shared" ref="C449:C500" si="49">-4+(A449-1)*0.0160320641282565</f>
        <v>3.1823647294589126</v>
      </c>
      <c r="D449">
        <f>[1]!XLSTAT_PDFNormal(C449,0,1)</f>
        <v>2.5221056048644981E-3</v>
      </c>
      <c r="E449">
        <v>449</v>
      </c>
      <c r="G449">
        <f t="shared" ref="G449:G500" si="50">0.0001+(E449-1)*0.0040078156312625</f>
        <v>1.7956014028056002</v>
      </c>
      <c r="H449">
        <f>[1]!XLSTAT_PDFWeibull(G449,1)</f>
        <v>0.1660275728678143</v>
      </c>
      <c r="I449">
        <v>449</v>
      </c>
      <c r="K449">
        <f t="shared" ref="K449:K500" si="51">0.0001+(I449-1)*0.0040078156312625</f>
        <v>1.7956014028056002</v>
      </c>
      <c r="L449">
        <f>[1]!XLSTAT_PDFWeibull(K449,1,1)</f>
        <v>0.1660275728678143</v>
      </c>
      <c r="M449">
        <v>449</v>
      </c>
      <c r="O449">
        <f t="shared" ref="O449:O500" si="52">0.0001+(M449-1)*0.0040078156312625</f>
        <v>1.7956014028056002</v>
      </c>
      <c r="P449">
        <f>[1]!XLSTAT_PDFWeibull(O449,5,1)</f>
        <v>4.067227519532422E-7</v>
      </c>
      <c r="Q449">
        <v>449</v>
      </c>
      <c r="S449">
        <f t="shared" ref="S449:S500" si="53">0.0001+(Q449-1)*0.0040078156312625</f>
        <v>1.7956014028056002</v>
      </c>
      <c r="T449">
        <f>[1]!XLSTAT_PDFWeibull(S449,10,1)</f>
        <v>9.3821168354574002E-149</v>
      </c>
      <c r="U449">
        <v>449</v>
      </c>
      <c r="W449">
        <f t="shared" ref="W449:W500" si="54">0.0001+(U449-1)*0.0040078156312625</f>
        <v>1.7956014028056002</v>
      </c>
      <c r="X449">
        <f>[1]!XLSTAT_PDFWeibull(W449,10,5)</f>
        <v>1.9868902842676219E-4</v>
      </c>
      <c r="Y449">
        <v>449</v>
      </c>
      <c r="AA449">
        <f t="shared" ref="AA449:AA500" si="55">0.0001+(Y449-1)*0.0040078156312625</f>
        <v>1.7956014028056002</v>
      </c>
      <c r="AB449">
        <f>[1]!XLSTAT_PDFWeibull(AA449,10,5)</f>
        <v>1.9868902842676219E-4</v>
      </c>
    </row>
    <row r="450" spans="1:28" x14ac:dyDescent="0.3">
      <c r="A450">
        <v>450</v>
      </c>
      <c r="C450">
        <f t="shared" si="49"/>
        <v>3.1983967935871691</v>
      </c>
      <c r="D450">
        <f>[1]!XLSTAT_PDFNormal(C450,0,1)</f>
        <v>2.3963475432235491E-3</v>
      </c>
      <c r="E450">
        <v>450</v>
      </c>
      <c r="G450">
        <f t="shared" si="50"/>
        <v>1.7996092184368626</v>
      </c>
      <c r="H450">
        <f>[1]!XLSTAT_PDFWeibull(G450,1)</f>
        <v>0.16536349660257049</v>
      </c>
      <c r="I450">
        <v>450</v>
      </c>
      <c r="K450">
        <f t="shared" si="51"/>
        <v>1.7996092184368626</v>
      </c>
      <c r="L450">
        <f>[1]!XLSTAT_PDFWeibull(K450,1,1)</f>
        <v>0.16536349660257049</v>
      </c>
      <c r="M450">
        <v>450</v>
      </c>
      <c r="O450">
        <f t="shared" si="52"/>
        <v>1.7996092184368626</v>
      </c>
      <c r="P450">
        <f>[1]!XLSTAT_PDFWeibull(O450,5,1)</f>
        <v>3.3288741835343298E-7</v>
      </c>
      <c r="Q450">
        <v>450</v>
      </c>
      <c r="S450">
        <f t="shared" si="53"/>
        <v>1.7996092184368626</v>
      </c>
      <c r="T450">
        <f>[1]!XLSTAT_PDFWeibull(S450,10,1)</f>
        <v>3.7110583902472252E-152</v>
      </c>
      <c r="U450">
        <v>450</v>
      </c>
      <c r="W450">
        <f t="shared" si="54"/>
        <v>1.7996092184368626</v>
      </c>
      <c r="X450">
        <f>[1]!XLSTAT_PDFWeibull(W450,10,5)</f>
        <v>2.0271598454847604E-4</v>
      </c>
      <c r="Y450">
        <v>450</v>
      </c>
      <c r="AA450">
        <f t="shared" si="55"/>
        <v>1.7996092184368626</v>
      </c>
      <c r="AB450">
        <f>[1]!XLSTAT_PDFWeibull(AA450,10,5)</f>
        <v>2.0271598454847604E-4</v>
      </c>
    </row>
    <row r="451" spans="1:28" x14ac:dyDescent="0.3">
      <c r="A451">
        <v>451</v>
      </c>
      <c r="C451">
        <f t="shared" si="49"/>
        <v>3.2144288577154256</v>
      </c>
      <c r="D451">
        <f>[1]!XLSTAT_PDFNormal(C451,0,1)</f>
        <v>2.2762749320414965E-3</v>
      </c>
      <c r="E451">
        <v>451</v>
      </c>
      <c r="G451">
        <f t="shared" si="50"/>
        <v>1.803617034068125</v>
      </c>
      <c r="H451">
        <f>[1]!XLSTAT_PDFWeibull(G451,1)</f>
        <v>0.16470207650628974</v>
      </c>
      <c r="I451">
        <v>451</v>
      </c>
      <c r="K451">
        <f t="shared" si="51"/>
        <v>1.803617034068125</v>
      </c>
      <c r="L451">
        <f>[1]!XLSTAT_PDFWeibull(K451,1,1)</f>
        <v>0.16470207650628974</v>
      </c>
      <c r="M451">
        <v>451</v>
      </c>
      <c r="O451">
        <f t="shared" si="52"/>
        <v>1.803617034068125</v>
      </c>
      <c r="P451">
        <f>[1]!XLSTAT_PDFWeibull(O451,5,1)</f>
        <v>2.7194090500265697E-7</v>
      </c>
      <c r="Q451">
        <v>451</v>
      </c>
      <c r="S451">
        <f t="shared" si="53"/>
        <v>1.803617034068125</v>
      </c>
      <c r="T451">
        <f>[1]!XLSTAT_PDFWeibull(S451,10,1)</f>
        <v>1.2520081960471581E-155</v>
      </c>
      <c r="U451">
        <v>451</v>
      </c>
      <c r="W451">
        <f t="shared" si="54"/>
        <v>1.803617034068125</v>
      </c>
      <c r="X451">
        <f>[1]!XLSTAT_PDFWeibull(W451,10,5)</f>
        <v>2.0681532218302053E-4</v>
      </c>
      <c r="Y451">
        <v>451</v>
      </c>
      <c r="AA451">
        <f t="shared" si="55"/>
        <v>1.803617034068125</v>
      </c>
      <c r="AB451">
        <f>[1]!XLSTAT_PDFWeibull(AA451,10,5)</f>
        <v>2.0681532218302053E-4</v>
      </c>
    </row>
    <row r="452" spans="1:28" x14ac:dyDescent="0.3">
      <c r="A452">
        <v>452</v>
      </c>
      <c r="C452">
        <f t="shared" si="49"/>
        <v>3.2304609218436822</v>
      </c>
      <c r="D452">
        <f>[1]!XLSTAT_PDFNormal(C452,0,1)</f>
        <v>2.1616630629499841E-3</v>
      </c>
      <c r="E452">
        <v>452</v>
      </c>
      <c r="G452">
        <f t="shared" si="50"/>
        <v>1.8076248496993876</v>
      </c>
      <c r="H452">
        <f>[1]!XLSTAT_PDFWeibull(G452,1)</f>
        <v>0.16404330195484049</v>
      </c>
      <c r="I452">
        <v>452</v>
      </c>
      <c r="K452">
        <f t="shared" si="51"/>
        <v>1.8076248496993876</v>
      </c>
      <c r="L452">
        <f>[1]!XLSTAT_PDFWeibull(K452,1,1)</f>
        <v>0.16404330195484049</v>
      </c>
      <c r="M452">
        <v>452</v>
      </c>
      <c r="O452">
        <f t="shared" si="52"/>
        <v>1.8076248496993876</v>
      </c>
      <c r="P452">
        <f>[1]!XLSTAT_PDFWeibull(O452,5,1)</f>
        <v>2.2173003886873877E-7</v>
      </c>
      <c r="Q452">
        <v>452</v>
      </c>
      <c r="S452">
        <f t="shared" si="53"/>
        <v>1.8076248496993876</v>
      </c>
      <c r="T452">
        <f>[1]!XLSTAT_PDFWeibull(S452,10,1)</f>
        <v>3.5924348714342597E-159</v>
      </c>
      <c r="U452">
        <v>452</v>
      </c>
      <c r="W452">
        <f t="shared" si="54"/>
        <v>1.8076248496993876</v>
      </c>
      <c r="X452">
        <f>[1]!XLSTAT_PDFWeibull(W452,10,5)</f>
        <v>2.109881769845991E-4</v>
      </c>
      <c r="Y452">
        <v>452</v>
      </c>
      <c r="AA452">
        <f t="shared" si="55"/>
        <v>1.8076248496993876</v>
      </c>
      <c r="AB452">
        <f>[1]!XLSTAT_PDFWeibull(AA452,10,5)</f>
        <v>2.109881769845991E-4</v>
      </c>
    </row>
    <row r="453" spans="1:28" x14ac:dyDescent="0.3">
      <c r="A453">
        <v>453</v>
      </c>
      <c r="C453">
        <f t="shared" si="49"/>
        <v>3.2464929859719387</v>
      </c>
      <c r="D453">
        <f>[1]!XLSTAT_PDFNormal(C453,0,1)</f>
        <v>2.0522944102443846E-3</v>
      </c>
      <c r="E453">
        <v>453</v>
      </c>
      <c r="G453">
        <f t="shared" si="50"/>
        <v>1.81163266533065</v>
      </c>
      <c r="H453">
        <f>[1]!XLSTAT_PDFWeibull(G453,1)</f>
        <v>0.16338716236658568</v>
      </c>
      <c r="I453">
        <v>453</v>
      </c>
      <c r="K453">
        <f t="shared" si="51"/>
        <v>1.81163266533065</v>
      </c>
      <c r="L453">
        <f>[1]!XLSTAT_PDFWeibull(K453,1,1)</f>
        <v>0.16338716236658568</v>
      </c>
      <c r="M453">
        <v>453</v>
      </c>
      <c r="O453">
        <f t="shared" si="52"/>
        <v>1.81163266533065</v>
      </c>
      <c r="P453">
        <f>[1]!XLSTAT_PDFWeibull(O453,5,1)</f>
        <v>1.8044378730262795E-7</v>
      </c>
      <c r="Q453">
        <v>453</v>
      </c>
      <c r="S453">
        <f t="shared" si="53"/>
        <v>1.81163266533065</v>
      </c>
      <c r="T453">
        <f>[1]!XLSTAT_PDFWeibull(S453,10,1)</f>
        <v>8.7414495211538555E-163</v>
      </c>
      <c r="U453">
        <v>453</v>
      </c>
      <c r="W453">
        <f t="shared" si="54"/>
        <v>1.81163266533065</v>
      </c>
      <c r="X453">
        <f>[1]!XLSTAT_PDFWeibull(W453,10,5)</f>
        <v>2.15235699838919E-4</v>
      </c>
      <c r="Y453">
        <v>453</v>
      </c>
      <c r="AA453">
        <f t="shared" si="55"/>
        <v>1.81163266533065</v>
      </c>
      <c r="AB453">
        <f>[1]!XLSTAT_PDFWeibull(AA453,10,5)</f>
        <v>2.15235699838919E-4</v>
      </c>
    </row>
    <row r="454" spans="1:28" x14ac:dyDescent="0.3">
      <c r="A454">
        <v>454</v>
      </c>
      <c r="C454">
        <f t="shared" si="49"/>
        <v>3.2625250501001952</v>
      </c>
      <c r="D454">
        <f>[1]!XLSTAT_PDFNormal(C454,0,1)</f>
        <v>1.9479584871821395E-3</v>
      </c>
      <c r="E454">
        <v>454</v>
      </c>
      <c r="G454">
        <f t="shared" si="50"/>
        <v>1.8156404809619127</v>
      </c>
      <c r="H454">
        <f>[1]!XLSTAT_PDFWeibull(G454,1)</f>
        <v>0.16273364720221248</v>
      </c>
      <c r="I454">
        <v>454</v>
      </c>
      <c r="K454">
        <f t="shared" si="51"/>
        <v>1.8156404809619127</v>
      </c>
      <c r="L454">
        <f>[1]!XLSTAT_PDFWeibull(K454,1,1)</f>
        <v>0.16273364720221248</v>
      </c>
      <c r="M454">
        <v>454</v>
      </c>
      <c r="O454">
        <f t="shared" si="52"/>
        <v>1.8156404809619127</v>
      </c>
      <c r="P454">
        <f>[1]!XLSTAT_PDFWeibull(O454,5,1)</f>
        <v>1.4656196702103193E-7</v>
      </c>
      <c r="Q454">
        <v>454</v>
      </c>
      <c r="S454">
        <f t="shared" si="53"/>
        <v>1.8156404809619127</v>
      </c>
      <c r="T454">
        <f>[1]!XLSTAT_PDFWeibull(S454,10,1)</f>
        <v>1.7985047671829328E-166</v>
      </c>
      <c r="U454">
        <v>454</v>
      </c>
      <c r="W454">
        <f t="shared" si="54"/>
        <v>1.8156404809619127</v>
      </c>
      <c r="X454">
        <f>[1]!XLSTAT_PDFWeibull(W454,10,5)</f>
        <v>2.1955905703277816E-4</v>
      </c>
      <c r="Y454">
        <v>454</v>
      </c>
      <c r="AA454">
        <f t="shared" si="55"/>
        <v>1.8156404809619127</v>
      </c>
      <c r="AB454">
        <f>[1]!XLSTAT_PDFWeibull(AA454,10,5)</f>
        <v>2.1955905703277816E-4</v>
      </c>
    </row>
    <row r="455" spans="1:28" x14ac:dyDescent="0.3">
      <c r="A455">
        <v>455</v>
      </c>
      <c r="C455">
        <f t="shared" si="49"/>
        <v>3.2785571142284518</v>
      </c>
      <c r="D455">
        <f>[1]!XLSTAT_PDFNormal(C455,0,1)</f>
        <v>1.8484517007196324E-3</v>
      </c>
      <c r="E455">
        <v>455</v>
      </c>
      <c r="G455">
        <f t="shared" si="50"/>
        <v>1.8196482965931751</v>
      </c>
      <c r="H455">
        <f>[1]!XLSTAT_PDFWeibull(G455,1)</f>
        <v>0.16208274596456332</v>
      </c>
      <c r="I455">
        <v>455</v>
      </c>
      <c r="K455">
        <f t="shared" si="51"/>
        <v>1.8196482965931751</v>
      </c>
      <c r="L455">
        <f>[1]!XLSTAT_PDFWeibull(K455,1,1)</f>
        <v>0.16208274596456332</v>
      </c>
      <c r="M455">
        <v>455</v>
      </c>
      <c r="O455">
        <f t="shared" si="52"/>
        <v>1.8196482965931751</v>
      </c>
      <c r="P455">
        <f>[1]!XLSTAT_PDFWeibull(O455,5,1)</f>
        <v>1.1881112456104345E-7</v>
      </c>
      <c r="Q455">
        <v>455</v>
      </c>
      <c r="S455">
        <f t="shared" si="53"/>
        <v>1.8196482965931751</v>
      </c>
      <c r="T455">
        <f>[1]!XLSTAT_PDFWeibull(S455,10,1)</f>
        <v>3.1194219582384767E-170</v>
      </c>
      <c r="U455">
        <v>455</v>
      </c>
      <c r="W455">
        <f t="shared" si="54"/>
        <v>1.8196482965931751</v>
      </c>
      <c r="X455">
        <f>[1]!XLSTAT_PDFWeibull(W455,10,5)</f>
        <v>2.2395943042514765E-4</v>
      </c>
      <c r="Y455">
        <v>455</v>
      </c>
      <c r="AA455">
        <f t="shared" si="55"/>
        <v>1.8196482965931751</v>
      </c>
      <c r="AB455">
        <f>[1]!XLSTAT_PDFWeibull(AA455,10,5)</f>
        <v>2.2395943042514765E-4</v>
      </c>
    </row>
    <row r="456" spans="1:28" x14ac:dyDescent="0.3">
      <c r="A456">
        <v>456</v>
      </c>
      <c r="C456">
        <f t="shared" si="49"/>
        <v>3.2945891783567083</v>
      </c>
      <c r="D456">
        <f>[1]!XLSTAT_PDFNormal(C456,0,1)</f>
        <v>1.7535772049848627E-3</v>
      </c>
      <c r="E456">
        <v>456</v>
      </c>
      <c r="G456">
        <f t="shared" si="50"/>
        <v>1.8236561122244377</v>
      </c>
      <c r="H456">
        <f>[1]!XLSTAT_PDFWeibull(G456,1)</f>
        <v>0.16143444819846689</v>
      </c>
      <c r="I456">
        <v>456</v>
      </c>
      <c r="K456">
        <f t="shared" si="51"/>
        <v>1.8236561122244377</v>
      </c>
      <c r="L456">
        <f>[1]!XLSTAT_PDFWeibull(K456,1,1)</f>
        <v>0.16143444819846689</v>
      </c>
      <c r="M456">
        <v>456</v>
      </c>
      <c r="O456">
        <f t="shared" si="52"/>
        <v>1.8236561122244377</v>
      </c>
      <c r="P456">
        <f>[1]!XLSTAT_PDFWeibull(O456,5,1)</f>
        <v>9.6126669019473474E-8</v>
      </c>
      <c r="Q456">
        <v>456</v>
      </c>
      <c r="S456">
        <f t="shared" si="53"/>
        <v>1.8236561122244377</v>
      </c>
      <c r="T456">
        <f>[1]!XLSTAT_PDFWeibull(S456,10,1)</f>
        <v>4.5472791958711989E-174</v>
      </c>
      <c r="U456">
        <v>456</v>
      </c>
      <c r="W456">
        <f t="shared" si="54"/>
        <v>1.8236561122244377</v>
      </c>
      <c r="X456">
        <f>[1]!XLSTAT_PDFWeibull(W456,10,5)</f>
        <v>2.2843801761975792E-4</v>
      </c>
      <c r="Y456">
        <v>456</v>
      </c>
      <c r="AA456">
        <f t="shared" si="55"/>
        <v>1.8236561122244377</v>
      </c>
      <c r="AB456">
        <f>[1]!XLSTAT_PDFWeibull(AA456,10,5)</f>
        <v>2.2843801761975792E-4</v>
      </c>
    </row>
    <row r="457" spans="1:28" x14ac:dyDescent="0.3">
      <c r="A457">
        <v>457</v>
      </c>
      <c r="C457">
        <f t="shared" si="49"/>
        <v>3.3106212424849648</v>
      </c>
      <c r="D457">
        <f>[1]!XLSTAT_PDFNormal(C457,0,1)</f>
        <v>1.6631447537702453E-3</v>
      </c>
      <c r="E457">
        <v>457</v>
      </c>
      <c r="G457">
        <f t="shared" si="50"/>
        <v>1.8276639278557001</v>
      </c>
      <c r="H457">
        <f>[1]!XLSTAT_PDFWeibull(G457,1)</f>
        <v>0.16078874349057065</v>
      </c>
      <c r="I457">
        <v>457</v>
      </c>
      <c r="K457">
        <f t="shared" si="51"/>
        <v>1.8276639278557001</v>
      </c>
      <c r="L457">
        <f>[1]!XLSTAT_PDFWeibull(K457,1,1)</f>
        <v>0.16078874349057065</v>
      </c>
      <c r="M457">
        <v>457</v>
      </c>
      <c r="O457">
        <f t="shared" si="52"/>
        <v>1.8276639278557001</v>
      </c>
      <c r="P457">
        <f>[1]!XLSTAT_PDFWeibull(O457,5,1)</f>
        <v>7.7620442819504937E-8</v>
      </c>
      <c r="Q457">
        <v>457</v>
      </c>
      <c r="S457">
        <f t="shared" si="53"/>
        <v>1.8276639278557001</v>
      </c>
      <c r="T457">
        <f>[1]!XLSTAT_PDFWeibull(S457,10,1)</f>
        <v>5.553977909399622E-178</v>
      </c>
      <c r="U457">
        <v>457</v>
      </c>
      <c r="W457">
        <f t="shared" si="54"/>
        <v>1.8276639278557001</v>
      </c>
      <c r="X457">
        <f>[1]!XLSTAT_PDFWeibull(W457,10,5)</f>
        <v>2.3299603213920752E-4</v>
      </c>
      <c r="Y457">
        <v>457</v>
      </c>
      <c r="AA457">
        <f t="shared" si="55"/>
        <v>1.8276639278557001</v>
      </c>
      <c r="AB457">
        <f>[1]!XLSTAT_PDFWeibull(AA457,10,5)</f>
        <v>2.3299603213920752E-4</v>
      </c>
    </row>
    <row r="458" spans="1:28" x14ac:dyDescent="0.3">
      <c r="A458">
        <v>458</v>
      </c>
      <c r="C458">
        <f t="shared" si="49"/>
        <v>3.3266533066132213</v>
      </c>
      <c r="D458">
        <f>[1]!XLSTAT_PDFNormal(C458,0,1)</f>
        <v>1.5769705523171892E-3</v>
      </c>
      <c r="E458">
        <v>458</v>
      </c>
      <c r="G458">
        <f t="shared" si="50"/>
        <v>1.8316717434869627</v>
      </c>
      <c r="H458">
        <f>[1]!XLSTAT_PDFWeibull(G458,1)</f>
        <v>0.16014562146917316</v>
      </c>
      <c r="I458">
        <v>458</v>
      </c>
      <c r="K458">
        <f t="shared" si="51"/>
        <v>1.8316717434869627</v>
      </c>
      <c r="L458">
        <f>[1]!XLSTAT_PDFWeibull(K458,1,1)</f>
        <v>0.16014562146917316</v>
      </c>
      <c r="M458">
        <v>458</v>
      </c>
      <c r="O458">
        <f t="shared" si="52"/>
        <v>1.8316717434869627</v>
      </c>
      <c r="P458">
        <f>[1]!XLSTAT_PDFWeibull(O458,5,1)</f>
        <v>6.2553011099974933E-8</v>
      </c>
      <c r="Q458">
        <v>458</v>
      </c>
      <c r="S458">
        <f t="shared" si="53"/>
        <v>1.8316717434869627</v>
      </c>
      <c r="T458">
        <f>[1]!XLSTAT_PDFWeibull(S458,10,1)</f>
        <v>5.6659273824170366E-182</v>
      </c>
      <c r="U458">
        <v>458</v>
      </c>
      <c r="W458">
        <f t="shared" si="54"/>
        <v>1.8316717434869627</v>
      </c>
      <c r="X458">
        <f>[1]!XLSTAT_PDFWeibull(W458,10,5)</f>
        <v>2.3763470360059453E-4</v>
      </c>
      <c r="Y458">
        <v>458</v>
      </c>
      <c r="AA458">
        <f t="shared" si="55"/>
        <v>1.8316717434869627</v>
      </c>
      <c r="AB458">
        <f>[1]!XLSTAT_PDFWeibull(AA458,10,5)</f>
        <v>2.3763470360059453E-4</v>
      </c>
    </row>
    <row r="459" spans="1:28" x14ac:dyDescent="0.3">
      <c r="A459">
        <v>459</v>
      </c>
      <c r="C459">
        <f t="shared" si="49"/>
        <v>3.3426853707414779</v>
      </c>
      <c r="D459">
        <f>[1]!XLSTAT_PDFNormal(C459,0,1)</f>
        <v>1.4948771086513598E-3</v>
      </c>
      <c r="E459">
        <v>459</v>
      </c>
      <c r="G459">
        <f t="shared" si="50"/>
        <v>1.8356795591182251</v>
      </c>
      <c r="H459">
        <f>[1]!XLSTAT_PDFWeibull(G459,1)</f>
        <v>0.15950507180405779</v>
      </c>
      <c r="I459">
        <v>459</v>
      </c>
      <c r="K459">
        <f t="shared" si="51"/>
        <v>1.8356795591182251</v>
      </c>
      <c r="L459">
        <f>[1]!XLSTAT_PDFWeibull(K459,1,1)</f>
        <v>0.15950507180405779</v>
      </c>
      <c r="M459">
        <v>459</v>
      </c>
      <c r="O459">
        <f t="shared" si="52"/>
        <v>1.8356795591182251</v>
      </c>
      <c r="P459">
        <f>[1]!XLSTAT_PDFWeibull(O459,5,1)</f>
        <v>5.0310035795340207E-8</v>
      </c>
      <c r="Q459">
        <v>459</v>
      </c>
      <c r="S459">
        <f t="shared" si="53"/>
        <v>1.8356795591182251</v>
      </c>
      <c r="T459">
        <f>[1]!XLSTAT_PDFWeibull(S459,10,1)</f>
        <v>4.8124965764659558E-186</v>
      </c>
      <c r="U459">
        <v>459</v>
      </c>
      <c r="W459">
        <f t="shared" si="54"/>
        <v>1.8356795591182251</v>
      </c>
      <c r="X459">
        <f>[1]!XLSTAT_PDFWeibull(W459,10,5)</f>
        <v>2.4235527789268137E-4</v>
      </c>
      <c r="Y459">
        <v>459</v>
      </c>
      <c r="AA459">
        <f t="shared" si="55"/>
        <v>1.8356795591182251</v>
      </c>
      <c r="AB459">
        <f>[1]!XLSTAT_PDFWeibull(AA459,10,5)</f>
        <v>2.4235527789268137E-4</v>
      </c>
    </row>
    <row r="460" spans="1:28" x14ac:dyDescent="0.3">
      <c r="A460">
        <v>460</v>
      </c>
      <c r="C460">
        <f t="shared" si="49"/>
        <v>3.3587174348697344</v>
      </c>
      <c r="D460">
        <f>[1]!XLSTAT_PDFNormal(C460,0,1)</f>
        <v>1.4166930847150558E-3</v>
      </c>
      <c r="E460">
        <v>460</v>
      </c>
      <c r="G460">
        <f t="shared" si="50"/>
        <v>1.8396873747494875</v>
      </c>
      <c r="H460">
        <f>[1]!XLSTAT_PDFWeibull(G460,1)</f>
        <v>0.15886708420632656</v>
      </c>
      <c r="I460">
        <v>460</v>
      </c>
      <c r="K460">
        <f t="shared" si="51"/>
        <v>1.8396873747494875</v>
      </c>
      <c r="L460">
        <f>[1]!XLSTAT_PDFWeibull(K460,1,1)</f>
        <v>0.15886708420632656</v>
      </c>
      <c r="M460">
        <v>460</v>
      </c>
      <c r="O460">
        <f t="shared" si="52"/>
        <v>1.8396873747494875</v>
      </c>
      <c r="P460">
        <f>[1]!XLSTAT_PDFWeibull(O460,5,1)</f>
        <v>4.0382177254261553E-8</v>
      </c>
      <c r="Q460">
        <v>460</v>
      </c>
      <c r="S460">
        <f t="shared" si="53"/>
        <v>1.8396873747494875</v>
      </c>
      <c r="T460">
        <f>[1]!XLSTAT_PDFWeibull(S460,10,1)</f>
        <v>3.3923398481777714E-190</v>
      </c>
      <c r="U460">
        <v>460</v>
      </c>
      <c r="W460">
        <f t="shared" si="54"/>
        <v>1.8396873747494875</v>
      </c>
      <c r="X460">
        <f>[1]!XLSTAT_PDFWeibull(W460,10,5)</f>
        <v>2.471590173546108E-4</v>
      </c>
      <c r="Y460">
        <v>460</v>
      </c>
      <c r="AA460">
        <f t="shared" si="55"/>
        <v>1.8396873747494875</v>
      </c>
      <c r="AB460">
        <f>[1]!XLSTAT_PDFWeibull(AA460,10,5)</f>
        <v>2.471590173546108E-4</v>
      </c>
    </row>
    <row r="461" spans="1:28" x14ac:dyDescent="0.3">
      <c r="A461">
        <v>461</v>
      </c>
      <c r="C461">
        <f t="shared" si="49"/>
        <v>3.3747494989979909</v>
      </c>
      <c r="D461">
        <f>[1]!XLSTAT_PDFNormal(C461,0,1)</f>
        <v>1.3422531475307164E-3</v>
      </c>
      <c r="E461">
        <v>461</v>
      </c>
      <c r="G461">
        <f t="shared" si="50"/>
        <v>1.8436951903807501</v>
      </c>
      <c r="H461">
        <f>[1]!XLSTAT_PDFWeibull(G461,1)</f>
        <v>0.15823164842823498</v>
      </c>
      <c r="I461">
        <v>461</v>
      </c>
      <c r="K461">
        <f t="shared" si="51"/>
        <v>1.8436951903807501</v>
      </c>
      <c r="L461">
        <f>[1]!XLSTAT_PDFWeibull(K461,1,1)</f>
        <v>0.15823164842823498</v>
      </c>
      <c r="M461">
        <v>461</v>
      </c>
      <c r="O461">
        <f t="shared" si="52"/>
        <v>1.8436951903807501</v>
      </c>
      <c r="P461">
        <f>[1]!XLSTAT_PDFWeibull(O461,5,1)</f>
        <v>3.2348035003761601E-8</v>
      </c>
      <c r="Q461">
        <v>461</v>
      </c>
      <c r="S461">
        <f t="shared" si="53"/>
        <v>1.8436951903807501</v>
      </c>
      <c r="T461">
        <f>[1]!XLSTAT_PDFWeibull(S461,10,1)</f>
        <v>1.9780309038691976E-194</v>
      </c>
      <c r="U461">
        <v>461</v>
      </c>
      <c r="W461">
        <f t="shared" si="54"/>
        <v>1.8436951903807501</v>
      </c>
      <c r="X461">
        <f>[1]!XLSTAT_PDFWeibull(W461,10,5)</f>
        <v>2.5204720095617453E-4</v>
      </c>
      <c r="Y461">
        <v>461</v>
      </c>
      <c r="AA461">
        <f t="shared" si="55"/>
        <v>1.8436951903807501</v>
      </c>
      <c r="AB461">
        <f>[1]!XLSTAT_PDFWeibull(AA461,10,5)</f>
        <v>2.5204720095617453E-4</v>
      </c>
    </row>
    <row r="462" spans="1:28" x14ac:dyDescent="0.3">
      <c r="A462">
        <v>462</v>
      </c>
      <c r="C462">
        <f t="shared" si="49"/>
        <v>3.3907815631262475</v>
      </c>
      <c r="D462">
        <f>[1]!XLSTAT_PDFNormal(C462,0,1)</f>
        <v>1.2713978206173873E-3</v>
      </c>
      <c r="E462">
        <v>462</v>
      </c>
      <c r="G462">
        <f t="shared" si="50"/>
        <v>1.8477030060120125</v>
      </c>
      <c r="H462">
        <f>[1]!XLSTAT_PDFWeibull(G462,1)</f>
        <v>0.15759875426302752</v>
      </c>
      <c r="I462">
        <v>462</v>
      </c>
      <c r="K462">
        <f t="shared" si="51"/>
        <v>1.8477030060120125</v>
      </c>
      <c r="L462">
        <f>[1]!XLSTAT_PDFWeibull(K462,1,1)</f>
        <v>0.15759875426302752</v>
      </c>
      <c r="M462">
        <v>462</v>
      </c>
      <c r="O462">
        <f t="shared" si="52"/>
        <v>1.8477030060120125</v>
      </c>
      <c r="P462">
        <f>[1]!XLSTAT_PDFWeibull(O462,5,1)</f>
        <v>2.5859700654234846E-8</v>
      </c>
      <c r="Q462">
        <v>462</v>
      </c>
      <c r="S462">
        <f t="shared" si="53"/>
        <v>1.8477030060120125</v>
      </c>
      <c r="T462">
        <f>[1]!XLSTAT_PDFWeibull(S462,10,1)</f>
        <v>9.5087844567083464E-199</v>
      </c>
      <c r="U462">
        <v>462</v>
      </c>
      <c r="W462">
        <f t="shared" si="54"/>
        <v>1.8477030060120125</v>
      </c>
      <c r="X462">
        <f>[1]!XLSTAT_PDFWeibull(W462,10,5)</f>
        <v>2.5702112447963826E-4</v>
      </c>
      <c r="Y462">
        <v>462</v>
      </c>
      <c r="AA462">
        <f t="shared" si="55"/>
        <v>1.8477030060120125</v>
      </c>
      <c r="AB462">
        <f>[1]!XLSTAT_PDFWeibull(AA462,10,5)</f>
        <v>2.5702112447963826E-4</v>
      </c>
    </row>
    <row r="463" spans="1:28" x14ac:dyDescent="0.3">
      <c r="A463">
        <v>463</v>
      </c>
      <c r="C463">
        <f t="shared" si="49"/>
        <v>3.406813627254504</v>
      </c>
      <c r="D463">
        <f>[1]!XLSTAT_PDFNormal(C463,0,1)</f>
        <v>1.203973335869937E-3</v>
      </c>
      <c r="E463">
        <v>463</v>
      </c>
      <c r="G463">
        <f t="shared" si="50"/>
        <v>1.8517108216432752</v>
      </c>
      <c r="H463">
        <f>[1]!XLSTAT_PDFWeibull(G463,1)</f>
        <v>0.15696839154477352</v>
      </c>
      <c r="I463">
        <v>463</v>
      </c>
      <c r="K463">
        <f t="shared" si="51"/>
        <v>1.8517108216432752</v>
      </c>
      <c r="L463">
        <f>[1]!XLSTAT_PDFWeibull(K463,1,1)</f>
        <v>0.15696839154477352</v>
      </c>
      <c r="M463">
        <v>463</v>
      </c>
      <c r="O463">
        <f t="shared" si="52"/>
        <v>1.8517108216432752</v>
      </c>
      <c r="P463">
        <f>[1]!XLSTAT_PDFWeibull(O463,5,1)</f>
        <v>2.0630550583234995E-8</v>
      </c>
      <c r="Q463">
        <v>463</v>
      </c>
      <c r="S463">
        <f t="shared" si="53"/>
        <v>1.8517108216432752</v>
      </c>
      <c r="T463">
        <f>[1]!XLSTAT_PDFWeibull(S463,10,1)</f>
        <v>3.7558338917229428E-203</v>
      </c>
      <c r="U463">
        <v>463</v>
      </c>
      <c r="W463">
        <f t="shared" si="54"/>
        <v>1.8517108216432752</v>
      </c>
      <c r="X463">
        <f>[1]!XLSTAT_PDFWeibull(W463,10,5)</f>
        <v>2.6208210070316132E-4</v>
      </c>
      <c r="Y463">
        <v>463</v>
      </c>
      <c r="AA463">
        <f t="shared" si="55"/>
        <v>1.8517108216432752</v>
      </c>
      <c r="AB463">
        <f>[1]!XLSTAT_PDFWeibull(AA463,10,5)</f>
        <v>2.6208210070316132E-4</v>
      </c>
    </row>
    <row r="464" spans="1:28" x14ac:dyDescent="0.3">
      <c r="A464">
        <v>464</v>
      </c>
      <c r="C464">
        <f t="shared" si="49"/>
        <v>3.4228456913827605</v>
      </c>
      <c r="D464">
        <f>[1]!XLSTAT_PDFNormal(C464,0,1)</f>
        <v>1.139831486099041E-3</v>
      </c>
      <c r="E464">
        <v>464</v>
      </c>
      <c r="G464">
        <f t="shared" si="50"/>
        <v>1.8557186372745376</v>
      </c>
      <c r="H464">
        <f>[1]!XLSTAT_PDFWeibull(G464,1)</f>
        <v>0.15634055014820397</v>
      </c>
      <c r="I464">
        <v>464</v>
      </c>
      <c r="K464">
        <f t="shared" si="51"/>
        <v>1.8557186372745376</v>
      </c>
      <c r="L464">
        <f>[1]!XLSTAT_PDFWeibull(K464,1,1)</f>
        <v>0.15634055014820397</v>
      </c>
      <c r="M464">
        <v>464</v>
      </c>
      <c r="O464">
        <f t="shared" si="52"/>
        <v>1.8557186372745376</v>
      </c>
      <c r="P464">
        <f>[1]!XLSTAT_PDFWeibull(O464,5,1)</f>
        <v>1.6424954528886457E-8</v>
      </c>
      <c r="Q464">
        <v>464</v>
      </c>
      <c r="S464">
        <f t="shared" si="53"/>
        <v>1.8557186372745376</v>
      </c>
      <c r="T464">
        <f>[1]!XLSTAT_PDFWeibull(S464,10,1)</f>
        <v>1.2147473260112487E-207</v>
      </c>
      <c r="U464">
        <v>464</v>
      </c>
      <c r="W464">
        <f t="shared" si="54"/>
        <v>1.8557186372745376</v>
      </c>
      <c r="X464">
        <f>[1]!XLSTAT_PDFWeibull(W464,10,5)</f>
        <v>2.6723145958577654E-4</v>
      </c>
      <c r="Y464">
        <v>464</v>
      </c>
      <c r="AA464">
        <f t="shared" si="55"/>
        <v>1.8557186372745376</v>
      </c>
      <c r="AB464">
        <f>[1]!XLSTAT_PDFWeibull(AA464,10,5)</f>
        <v>2.6723145958577654E-4</v>
      </c>
    </row>
    <row r="465" spans="1:28" x14ac:dyDescent="0.3">
      <c r="A465">
        <v>465</v>
      </c>
      <c r="C465">
        <f t="shared" si="49"/>
        <v>3.438877755511017</v>
      </c>
      <c r="D465">
        <f>[1]!XLSTAT_PDFNormal(C465,0,1)</f>
        <v>1.0788294784183242E-3</v>
      </c>
      <c r="E465">
        <v>465</v>
      </c>
      <c r="G465">
        <f t="shared" si="50"/>
        <v>1.8597264529058002</v>
      </c>
      <c r="H465">
        <f>[1]!XLSTAT_PDFWeibull(G465,1)</f>
        <v>0.15571521998854881</v>
      </c>
      <c r="I465">
        <v>465</v>
      </c>
      <c r="K465">
        <f t="shared" si="51"/>
        <v>1.8597264529058002</v>
      </c>
      <c r="L465">
        <f>[1]!XLSTAT_PDFWeibull(K465,1,1)</f>
        <v>0.15571521998854881</v>
      </c>
      <c r="M465">
        <v>465</v>
      </c>
      <c r="O465">
        <f t="shared" si="52"/>
        <v>1.8597264529058002</v>
      </c>
      <c r="P465">
        <f>[1]!XLSTAT_PDFWeibull(O465,5,1)</f>
        <v>1.3049619131570783E-8</v>
      </c>
      <c r="Q465">
        <v>465</v>
      </c>
      <c r="S465">
        <f t="shared" si="53"/>
        <v>1.8597264529058002</v>
      </c>
      <c r="T465">
        <f>[1]!XLSTAT_PDFWeibull(S465,10,1)</f>
        <v>3.2058981429950623E-212</v>
      </c>
      <c r="U465">
        <v>465</v>
      </c>
      <c r="W465">
        <f t="shared" si="54"/>
        <v>1.8597264529058002</v>
      </c>
      <c r="X465">
        <f>[1]!XLSTAT_PDFWeibull(W465,10,5)</f>
        <v>2.7247054845398505E-4</v>
      </c>
      <c r="Y465">
        <v>465</v>
      </c>
      <c r="AA465">
        <f t="shared" si="55"/>
        <v>1.8597264529058002</v>
      </c>
      <c r="AB465">
        <f>[1]!XLSTAT_PDFWeibull(AA465,10,5)</f>
        <v>2.7247054845398505E-4</v>
      </c>
    </row>
    <row r="466" spans="1:28" x14ac:dyDescent="0.3">
      <c r="A466">
        <v>466</v>
      </c>
      <c r="C466">
        <f t="shared" si="49"/>
        <v>3.4549098196392727</v>
      </c>
      <c r="D466">
        <f>[1]!XLSTAT_PDFNormal(C466,0,1)</f>
        <v>1.0208297886537549E-3</v>
      </c>
      <c r="E466">
        <v>466</v>
      </c>
      <c r="G466">
        <f t="shared" si="50"/>
        <v>1.8637342685370626</v>
      </c>
      <c r="H466">
        <f>[1]!XLSTAT_PDFWeibull(G466,1)</f>
        <v>0.15509239102137515</v>
      </c>
      <c r="I466">
        <v>466</v>
      </c>
      <c r="K466">
        <f t="shared" si="51"/>
        <v>1.8637342685370626</v>
      </c>
      <c r="L466">
        <f>[1]!XLSTAT_PDFWeibull(K466,1,1)</f>
        <v>0.15509239102137515</v>
      </c>
      <c r="M466">
        <v>466</v>
      </c>
      <c r="O466">
        <f t="shared" si="52"/>
        <v>1.8637342685370626</v>
      </c>
      <c r="P466">
        <f>[1]!XLSTAT_PDFWeibull(O466,5,1)</f>
        <v>1.0346323316963967E-8</v>
      </c>
      <c r="Q466">
        <v>466</v>
      </c>
      <c r="S466">
        <f t="shared" si="53"/>
        <v>1.8637342685370626</v>
      </c>
      <c r="T466">
        <f>[1]!XLSTAT_PDFWeibull(S466,10,1)</f>
        <v>6.8795591415601061E-217</v>
      </c>
      <c r="U466">
        <v>466</v>
      </c>
      <c r="W466">
        <f t="shared" si="54"/>
        <v>1.8637342685370626</v>
      </c>
      <c r="X466">
        <f>[1]!XLSTAT_PDFWeibull(W466,10,5)</f>
        <v>2.7780073218994071E-4</v>
      </c>
      <c r="Y466">
        <v>466</v>
      </c>
      <c r="AA466">
        <f t="shared" si="55"/>
        <v>1.8637342685370626</v>
      </c>
      <c r="AB466">
        <f>[1]!XLSTAT_PDFWeibull(AA466,10,5)</f>
        <v>2.7780073218994071E-4</v>
      </c>
    </row>
    <row r="467" spans="1:28" x14ac:dyDescent="0.3">
      <c r="A467">
        <v>467</v>
      </c>
      <c r="C467">
        <f t="shared" si="49"/>
        <v>3.4709418837675292</v>
      </c>
      <c r="D467">
        <f>[1]!XLSTAT_PDFNormal(C467,0,1)</f>
        <v>9.6570001693923517E-4</v>
      </c>
      <c r="E467">
        <v>467</v>
      </c>
      <c r="G467">
        <f t="shared" si="50"/>
        <v>1.8677420841683252</v>
      </c>
      <c r="H467">
        <f>[1]!XLSTAT_PDFWeibull(G467,1)</f>
        <v>0.15447205324242555</v>
      </c>
      <c r="I467">
        <v>467</v>
      </c>
      <c r="K467">
        <f t="shared" si="51"/>
        <v>1.8677420841683252</v>
      </c>
      <c r="L467">
        <f>[1]!XLSTAT_PDFWeibull(K467,1,1)</f>
        <v>0.15447205324242555</v>
      </c>
      <c r="M467">
        <v>467</v>
      </c>
      <c r="O467">
        <f t="shared" si="52"/>
        <v>1.8677420841683252</v>
      </c>
      <c r="P467">
        <f>[1]!XLSTAT_PDFWeibull(O467,5,1)</f>
        <v>8.1858357121218722E-9</v>
      </c>
      <c r="Q467">
        <v>467</v>
      </c>
      <c r="S467">
        <f t="shared" si="53"/>
        <v>1.8677420841683252</v>
      </c>
      <c r="T467">
        <f>[1]!XLSTAT_PDFWeibull(S467,10,1)</f>
        <v>1.1960743585475899E-221</v>
      </c>
      <c r="U467">
        <v>467</v>
      </c>
      <c r="W467">
        <f t="shared" si="54"/>
        <v>1.8677420841683252</v>
      </c>
      <c r="X467">
        <f>[1]!XLSTAT_PDFWeibull(W467,10,5)</f>
        <v>2.832233934212559E-4</v>
      </c>
      <c r="Y467">
        <v>467</v>
      </c>
      <c r="AA467">
        <f t="shared" si="55"/>
        <v>1.8677420841683252</v>
      </c>
      <c r="AB467">
        <f>[1]!XLSTAT_PDFWeibull(AA467,10,5)</f>
        <v>2.832233934212559E-4</v>
      </c>
    </row>
    <row r="468" spans="1:28" x14ac:dyDescent="0.3">
      <c r="A468">
        <v>468</v>
      </c>
      <c r="C468">
        <f t="shared" si="49"/>
        <v>3.4869739478957857</v>
      </c>
      <c r="D468">
        <f>[1]!XLSTAT_PDFNormal(C468,0,1)</f>
        <v>9.1331274465158182E-4</v>
      </c>
      <c r="E468">
        <v>468</v>
      </c>
      <c r="G468">
        <f t="shared" si="50"/>
        <v>1.8717498997995876</v>
      </c>
      <c r="H468">
        <f>[1]!XLSTAT_PDFWeibull(G468,1)</f>
        <v>0.15385419668745776</v>
      </c>
      <c r="I468">
        <v>468</v>
      </c>
      <c r="K468">
        <f t="shared" si="51"/>
        <v>1.8717498997995876</v>
      </c>
      <c r="L468">
        <f>[1]!XLSTAT_PDFWeibull(K468,1,1)</f>
        <v>0.15385419668745776</v>
      </c>
      <c r="M468">
        <v>468</v>
      </c>
      <c r="O468">
        <f t="shared" si="52"/>
        <v>1.8717498997995876</v>
      </c>
      <c r="P468">
        <f>[1]!XLSTAT_PDFWeibull(O468,5,1)</f>
        <v>6.4628334924907894E-9</v>
      </c>
      <c r="Q468">
        <v>468</v>
      </c>
      <c r="S468">
        <f t="shared" si="53"/>
        <v>1.8717498997995876</v>
      </c>
      <c r="T468">
        <f>[1]!XLSTAT_PDFWeibull(S468,10,1)</f>
        <v>1.6786429423568097E-226</v>
      </c>
      <c r="U468">
        <v>468</v>
      </c>
      <c r="W468">
        <f t="shared" si="54"/>
        <v>1.8717498997995876</v>
      </c>
      <c r="X468">
        <f>[1]!XLSTAT_PDFWeibull(W468,10,5)</f>
        <v>2.8873993271243077E-4</v>
      </c>
      <c r="Y468">
        <v>468</v>
      </c>
      <c r="AA468">
        <f t="shared" si="55"/>
        <v>1.8717498997995876</v>
      </c>
      <c r="AB468">
        <f>[1]!XLSTAT_PDFWeibull(AA468,10,5)</f>
        <v>2.8873993271243077E-4</v>
      </c>
    </row>
    <row r="469" spans="1:28" x14ac:dyDescent="0.3">
      <c r="A469">
        <v>469</v>
      </c>
      <c r="C469">
        <f t="shared" si="49"/>
        <v>3.5030060120240423</v>
      </c>
      <c r="D469">
        <f>[1]!XLSTAT_PDFNormal(C469,0,1)</f>
        <v>8.6354539282742886E-4</v>
      </c>
      <c r="E469">
        <v>469</v>
      </c>
      <c r="G469">
        <f t="shared" si="50"/>
        <v>1.87575771543085</v>
      </c>
      <c r="H469">
        <f>[1]!XLSTAT_PDFWeibull(G469,1)</f>
        <v>0.15323881143208429</v>
      </c>
      <c r="I469">
        <v>469</v>
      </c>
      <c r="K469">
        <f t="shared" si="51"/>
        <v>1.87575771543085</v>
      </c>
      <c r="L469">
        <f>[1]!XLSTAT_PDFWeibull(K469,1,1)</f>
        <v>0.15323881143208429</v>
      </c>
      <c r="M469">
        <v>469</v>
      </c>
      <c r="O469">
        <f t="shared" si="52"/>
        <v>1.87575771543085</v>
      </c>
      <c r="P469">
        <f>[1]!XLSTAT_PDFWeibull(O469,5,1)</f>
        <v>5.0916676004606165E-9</v>
      </c>
      <c r="Q469">
        <v>469</v>
      </c>
      <c r="S469">
        <f t="shared" si="53"/>
        <v>1.87575771543085</v>
      </c>
      <c r="T469">
        <f>[1]!XLSTAT_PDFWeibull(S469,10,1)</f>
        <v>1.8947546156495253E-231</v>
      </c>
      <c r="U469">
        <v>469</v>
      </c>
      <c r="W469">
        <f t="shared" si="54"/>
        <v>1.87575771543085</v>
      </c>
      <c r="X469">
        <f>[1]!XLSTAT_PDFWeibull(W469,10,5)</f>
        <v>2.943517687579111E-4</v>
      </c>
      <c r="Y469">
        <v>469</v>
      </c>
      <c r="AA469">
        <f t="shared" si="55"/>
        <v>1.87575771543085</v>
      </c>
      <c r="AB469">
        <f>[1]!XLSTAT_PDFWeibull(AA469,10,5)</f>
        <v>2.943517687579111E-4</v>
      </c>
    </row>
    <row r="470" spans="1:28" x14ac:dyDescent="0.3">
      <c r="A470">
        <v>470</v>
      </c>
      <c r="C470">
        <f t="shared" si="49"/>
        <v>3.5190380761522988</v>
      </c>
      <c r="D470">
        <f>[1]!XLSTAT_PDFNormal(C470,0,1)</f>
        <v>8.1628008219440499E-4</v>
      </c>
      <c r="E470">
        <v>470</v>
      </c>
      <c r="G470">
        <f t="shared" si="50"/>
        <v>1.8797655310621126</v>
      </c>
      <c r="H470">
        <f>[1]!XLSTAT_PDFWeibull(G470,1)</f>
        <v>0.15262588759161327</v>
      </c>
      <c r="I470">
        <v>470</v>
      </c>
      <c r="K470">
        <f t="shared" si="51"/>
        <v>1.8797655310621126</v>
      </c>
      <c r="L470">
        <f>[1]!XLSTAT_PDFWeibull(K470,1,1)</f>
        <v>0.15262588759161327</v>
      </c>
      <c r="M470">
        <v>470</v>
      </c>
      <c r="O470">
        <f t="shared" si="52"/>
        <v>1.8797655310621126</v>
      </c>
      <c r="P470">
        <f>[1]!XLSTAT_PDFWeibull(O470,5,1)</f>
        <v>4.0028415507848814E-9</v>
      </c>
      <c r="Q470">
        <v>470</v>
      </c>
      <c r="S470">
        <f t="shared" si="53"/>
        <v>1.8797655310621126</v>
      </c>
      <c r="T470">
        <f>[1]!XLSTAT_PDFWeibull(S470,10,1)</f>
        <v>1.7136011605051238E-236</v>
      </c>
      <c r="U470">
        <v>470</v>
      </c>
      <c r="W470">
        <f t="shared" si="54"/>
        <v>1.8797655310621126</v>
      </c>
      <c r="X470">
        <f>[1]!XLSTAT_PDFWeibull(W470,10,5)</f>
        <v>3.0006033857679854E-4</v>
      </c>
      <c r="Y470">
        <v>470</v>
      </c>
      <c r="AA470">
        <f t="shared" si="55"/>
        <v>1.8797655310621126</v>
      </c>
      <c r="AB470">
        <f>[1]!XLSTAT_PDFWeibull(AA470,10,5)</f>
        <v>3.0006033857679854E-4</v>
      </c>
    </row>
    <row r="471" spans="1:28" x14ac:dyDescent="0.3">
      <c r="A471">
        <v>471</v>
      </c>
      <c r="C471">
        <f t="shared" si="49"/>
        <v>3.5350701402805553</v>
      </c>
      <c r="D471">
        <f>[1]!XLSTAT_PDFNormal(C471,0,1)</f>
        <v>7.7140349493889351E-4</v>
      </c>
      <c r="E471">
        <v>471</v>
      </c>
      <c r="G471">
        <f t="shared" si="50"/>
        <v>1.883773346693375</v>
      </c>
      <c r="H471">
        <f>[1]!XLSTAT_PDFWeibull(G471,1)</f>
        <v>0.15201541532088958</v>
      </c>
      <c r="I471">
        <v>471</v>
      </c>
      <c r="K471">
        <f t="shared" si="51"/>
        <v>1.883773346693375</v>
      </c>
      <c r="L471">
        <f>[1]!XLSTAT_PDFWeibull(K471,1,1)</f>
        <v>0.15201541532088958</v>
      </c>
      <c r="M471">
        <v>471</v>
      </c>
      <c r="O471">
        <f t="shared" si="52"/>
        <v>1.883773346693375</v>
      </c>
      <c r="P471">
        <f>[1]!XLSTAT_PDFWeibull(O471,5,1)</f>
        <v>3.1400904074286305E-9</v>
      </c>
      <c r="Q471">
        <v>471</v>
      </c>
      <c r="S471">
        <f t="shared" si="53"/>
        <v>1.883773346693375</v>
      </c>
      <c r="T471">
        <f>[1]!XLSTAT_PDFWeibull(S471,10,1)</f>
        <v>1.2370056528546479E-241</v>
      </c>
      <c r="U471">
        <v>471</v>
      </c>
      <c r="W471">
        <f t="shared" si="54"/>
        <v>1.883773346693375</v>
      </c>
      <c r="X471">
        <f>[1]!XLSTAT_PDFWeibull(W471,10,5)</f>
        <v>3.0586709770920442E-4</v>
      </c>
      <c r="Y471">
        <v>471</v>
      </c>
      <c r="AA471">
        <f t="shared" si="55"/>
        <v>1.883773346693375</v>
      </c>
      <c r="AB471">
        <f>[1]!XLSTAT_PDFWeibull(AA471,10,5)</f>
        <v>3.0586709770920442E-4</v>
      </c>
    </row>
    <row r="472" spans="1:28" x14ac:dyDescent="0.3">
      <c r="A472">
        <v>472</v>
      </c>
      <c r="C472">
        <f t="shared" si="49"/>
        <v>3.5511022044088119</v>
      </c>
      <c r="D472">
        <f>[1]!XLSTAT_PDFNormal(C472,0,1)</f>
        <v>7.2880673832303056E-4</v>
      </c>
      <c r="E472">
        <v>472</v>
      </c>
      <c r="G472">
        <f t="shared" si="50"/>
        <v>1.8877811623246377</v>
      </c>
      <c r="H472">
        <f>[1]!XLSTAT_PDFWeibull(G472,1)</f>
        <v>0.15140738481413657</v>
      </c>
      <c r="I472">
        <v>472</v>
      </c>
      <c r="K472">
        <f t="shared" si="51"/>
        <v>1.8877811623246377</v>
      </c>
      <c r="L472">
        <f>[1]!XLSTAT_PDFWeibull(K472,1,1)</f>
        <v>0.15140738481413657</v>
      </c>
      <c r="M472">
        <v>472</v>
      </c>
      <c r="O472">
        <f t="shared" si="52"/>
        <v>1.8877811623246377</v>
      </c>
      <c r="P472">
        <f>[1]!XLSTAT_PDFWeibull(O472,5,1)</f>
        <v>2.4579633112039462E-9</v>
      </c>
      <c r="Q472">
        <v>472</v>
      </c>
      <c r="S472">
        <f t="shared" si="53"/>
        <v>1.8877811623246377</v>
      </c>
      <c r="T472">
        <f>[1]!XLSTAT_PDFWeibull(S472,10,1)</f>
        <v>7.0999763300345836E-247</v>
      </c>
      <c r="U472">
        <v>472</v>
      </c>
      <c r="W472">
        <f t="shared" si="54"/>
        <v>1.8877811623246377</v>
      </c>
      <c r="X472">
        <f>[1]!XLSTAT_PDFWeibull(W472,10,5)</f>
        <v>3.1177352041427688E-4</v>
      </c>
      <c r="Y472">
        <v>472</v>
      </c>
      <c r="AA472">
        <f t="shared" si="55"/>
        <v>1.8877811623246377</v>
      </c>
      <c r="AB472">
        <f>[1]!XLSTAT_PDFWeibull(AA472,10,5)</f>
        <v>3.1177352041427688E-4</v>
      </c>
    </row>
    <row r="473" spans="1:28" x14ac:dyDescent="0.3">
      <c r="A473">
        <v>473</v>
      </c>
      <c r="C473">
        <f t="shared" si="49"/>
        <v>3.5671342685370684</v>
      </c>
      <c r="D473">
        <f>[1]!XLSTAT_PDFNormal(C473,0,1)</f>
        <v>6.8838521025418452E-4</v>
      </c>
      <c r="E473">
        <v>473</v>
      </c>
      <c r="G473">
        <f t="shared" si="50"/>
        <v>1.8917889779559001</v>
      </c>
      <c r="H473">
        <f>[1]!XLSTAT_PDFWeibull(G473,1)</f>
        <v>0.15080178630479887</v>
      </c>
      <c r="I473">
        <v>473</v>
      </c>
      <c r="K473">
        <f t="shared" si="51"/>
        <v>1.8917889779559001</v>
      </c>
      <c r="L473">
        <f>[1]!XLSTAT_PDFWeibull(K473,1,1)</f>
        <v>0.15080178630479887</v>
      </c>
      <c r="M473">
        <v>473</v>
      </c>
      <c r="O473">
        <f t="shared" si="52"/>
        <v>1.8917889779559001</v>
      </c>
      <c r="P473">
        <f>[1]!XLSTAT_PDFWeibull(O473,5,1)</f>
        <v>1.9198274587508947E-9</v>
      </c>
      <c r="Q473">
        <v>473</v>
      </c>
      <c r="S473">
        <f t="shared" si="53"/>
        <v>1.8917889779559001</v>
      </c>
      <c r="T473">
        <f>[1]!XLSTAT_PDFWeibull(S473,10,1)</f>
        <v>3.2274407467657276E-252</v>
      </c>
      <c r="U473">
        <v>473</v>
      </c>
      <c r="W473">
        <f t="shared" si="54"/>
        <v>1.8917889779559001</v>
      </c>
      <c r="X473">
        <f>[1]!XLSTAT_PDFWeibull(W473,10,5)</f>
        <v>3.1778109986989236E-4</v>
      </c>
      <c r="Y473">
        <v>473</v>
      </c>
      <c r="AA473">
        <f t="shared" si="55"/>
        <v>1.8917889779559001</v>
      </c>
      <c r="AB473">
        <f>[1]!XLSTAT_PDFWeibull(AA473,10,5)</f>
        <v>3.1778109986989236E-4</v>
      </c>
    </row>
    <row r="474" spans="1:28" x14ac:dyDescent="0.3">
      <c r="A474">
        <v>474</v>
      </c>
      <c r="C474">
        <f t="shared" si="49"/>
        <v>3.5831663326653249</v>
      </c>
      <c r="D474">
        <f>[1]!XLSTAT_PDFNormal(C474,0,1)</f>
        <v>6.5003846690109605E-4</v>
      </c>
      <c r="E474">
        <v>474</v>
      </c>
      <c r="G474">
        <f t="shared" si="50"/>
        <v>1.8957967935871627</v>
      </c>
      <c r="H474">
        <f>[1]!XLSTAT_PDFWeibull(G474,1)</f>
        <v>0.15019861006538518</v>
      </c>
      <c r="I474">
        <v>474</v>
      </c>
      <c r="K474">
        <f t="shared" si="51"/>
        <v>1.8957967935871627</v>
      </c>
      <c r="L474">
        <f>[1]!XLSTAT_PDFWeibull(K474,1,1)</f>
        <v>0.15019861006538518</v>
      </c>
      <c r="M474">
        <v>474</v>
      </c>
      <c r="O474">
        <f t="shared" si="52"/>
        <v>1.8957967935871627</v>
      </c>
      <c r="P474">
        <f>[1]!XLSTAT_PDFWeibull(O474,5,1)</f>
        <v>1.4962239532703022E-9</v>
      </c>
      <c r="Q474">
        <v>474</v>
      </c>
      <c r="S474">
        <f t="shared" si="53"/>
        <v>1.8957967935871627</v>
      </c>
      <c r="T474">
        <f>[1]!XLSTAT_PDFWeibull(S474,10,1)</f>
        <v>1.157292488645847E-257</v>
      </c>
      <c r="U474">
        <v>474</v>
      </c>
      <c r="W474">
        <f t="shared" si="54"/>
        <v>1.8957967935871627</v>
      </c>
      <c r="X474">
        <f>[1]!XLSTAT_PDFWeibull(W474,10,5)</f>
        <v>3.2389134837404172E-4</v>
      </c>
      <c r="Y474">
        <v>474</v>
      </c>
      <c r="AA474">
        <f t="shared" si="55"/>
        <v>1.8957967935871627</v>
      </c>
      <c r="AB474">
        <f>[1]!XLSTAT_PDFWeibull(AA474,10,5)</f>
        <v>3.2389134837404172E-4</v>
      </c>
    </row>
    <row r="475" spans="1:28" x14ac:dyDescent="0.3">
      <c r="A475">
        <v>475</v>
      </c>
      <c r="C475">
        <f t="shared" si="49"/>
        <v>3.5991983967935814</v>
      </c>
      <c r="D475">
        <f>[1]!XLSTAT_PDFNormal(C475,0,1)</f>
        <v>6.1367009244209887E-4</v>
      </c>
      <c r="E475">
        <v>475</v>
      </c>
      <c r="G475">
        <f t="shared" si="50"/>
        <v>1.8998046092184251</v>
      </c>
      <c r="H475">
        <f>[1]!XLSTAT_PDFWeibull(G475,1)</f>
        <v>0.14959784640731227</v>
      </c>
      <c r="I475">
        <v>475</v>
      </c>
      <c r="K475">
        <f t="shared" si="51"/>
        <v>1.8998046092184251</v>
      </c>
      <c r="L475">
        <f>[1]!XLSTAT_PDFWeibull(K475,1,1)</f>
        <v>0.14959784640731227</v>
      </c>
      <c r="M475">
        <v>475</v>
      </c>
      <c r="O475">
        <f t="shared" si="52"/>
        <v>1.8998046092184251</v>
      </c>
      <c r="P475">
        <f>[1]!XLSTAT_PDFWeibull(O475,5,1)</f>
        <v>1.1635167112808662E-9</v>
      </c>
      <c r="Q475">
        <v>475</v>
      </c>
      <c r="S475">
        <f t="shared" si="53"/>
        <v>1.8998046092184251</v>
      </c>
      <c r="T475">
        <f>[1]!XLSTAT_PDFWeibull(S475,10,1)</f>
        <v>3.260265004544188E-263</v>
      </c>
      <c r="U475">
        <v>475</v>
      </c>
      <c r="W475">
        <f t="shared" si="54"/>
        <v>1.8998046092184251</v>
      </c>
      <c r="X475">
        <f>[1]!XLSTAT_PDFWeibull(W475,10,5)</f>
        <v>3.3010579754790014E-4</v>
      </c>
      <c r="Y475">
        <v>475</v>
      </c>
      <c r="AA475">
        <f t="shared" si="55"/>
        <v>1.8998046092184251</v>
      </c>
      <c r="AB475">
        <f>[1]!XLSTAT_PDFWeibull(AA475,10,5)</f>
        <v>3.3010579754790014E-4</v>
      </c>
    </row>
    <row r="476" spans="1:28" x14ac:dyDescent="0.3">
      <c r="A476">
        <v>476</v>
      </c>
      <c r="C476">
        <f t="shared" si="49"/>
        <v>3.615230460921838</v>
      </c>
      <c r="D476">
        <f>[1]!XLSTAT_PDFNormal(C476,0,1)</f>
        <v>5.7918757102236697E-4</v>
      </c>
      <c r="E476">
        <v>476</v>
      </c>
      <c r="G476">
        <f t="shared" si="50"/>
        <v>1.9038124248496877</v>
      </c>
      <c r="H476">
        <f>[1]!XLSTAT_PDFWeibull(G476,1)</f>
        <v>0.14899948568074919</v>
      </c>
      <c r="I476">
        <v>476</v>
      </c>
      <c r="K476">
        <f t="shared" si="51"/>
        <v>1.9038124248496877</v>
      </c>
      <c r="L476">
        <f>[1]!XLSTAT_PDFWeibull(K476,1,1)</f>
        <v>0.14899948568074919</v>
      </c>
      <c r="M476">
        <v>476</v>
      </c>
      <c r="O476">
        <f t="shared" si="52"/>
        <v>1.9038124248496877</v>
      </c>
      <c r="P476">
        <f>[1]!XLSTAT_PDFWeibull(O476,5,1)</f>
        <v>9.0278483776258823E-10</v>
      </c>
      <c r="Q476">
        <v>476</v>
      </c>
      <c r="S476">
        <f t="shared" si="53"/>
        <v>1.9038124248496877</v>
      </c>
      <c r="T476">
        <f>[1]!XLSTAT_PDFWeibull(S476,10,1)</f>
        <v>7.1862578191790727E-269</v>
      </c>
      <c r="U476">
        <v>476</v>
      </c>
      <c r="W476">
        <f t="shared" si="54"/>
        <v>1.9038124248496877</v>
      </c>
      <c r="X476">
        <f>[1]!XLSTAT_PDFWeibull(W476,10,5)</f>
        <v>3.3642599854060513E-4</v>
      </c>
      <c r="Y476">
        <v>476</v>
      </c>
      <c r="AA476">
        <f t="shared" si="55"/>
        <v>1.9038124248496877</v>
      </c>
      <c r="AB476">
        <f>[1]!XLSTAT_PDFWeibull(AA476,10,5)</f>
        <v>3.3642599854060513E-4</v>
      </c>
    </row>
    <row r="477" spans="1:28" x14ac:dyDescent="0.3">
      <c r="A477">
        <v>477</v>
      </c>
      <c r="C477">
        <f t="shared" si="49"/>
        <v>3.6312625250500945</v>
      </c>
      <c r="D477">
        <f>[1]!XLSTAT_PDFNormal(C477,0,1)</f>
        <v>5.4650216098900786E-4</v>
      </c>
      <c r="E477">
        <v>477</v>
      </c>
      <c r="G477">
        <f t="shared" si="50"/>
        <v>1.9078202404809501</v>
      </c>
      <c r="H477">
        <f>[1]!XLSTAT_PDFWeibull(G477,1)</f>
        <v>0.14840351827446244</v>
      </c>
      <c r="I477">
        <v>477</v>
      </c>
      <c r="K477">
        <f t="shared" si="51"/>
        <v>1.9078202404809501</v>
      </c>
      <c r="L477">
        <f>[1]!XLSTAT_PDFWeibull(K477,1,1)</f>
        <v>0.14840351827446244</v>
      </c>
      <c r="M477">
        <v>477</v>
      </c>
      <c r="O477">
        <f t="shared" si="52"/>
        <v>1.9078202404809501</v>
      </c>
      <c r="P477">
        <f>[1]!XLSTAT_PDFWeibull(O477,5,1)</f>
        <v>6.9891677124396186E-10</v>
      </c>
      <c r="Q477">
        <v>477</v>
      </c>
      <c r="S477">
        <f t="shared" si="53"/>
        <v>1.9078202404809501</v>
      </c>
      <c r="T477">
        <f>[1]!XLSTAT_PDFWeibull(S477,10,1)</f>
        <v>1.2341884262410029E-274</v>
      </c>
      <c r="U477">
        <v>477</v>
      </c>
      <c r="W477">
        <f t="shared" si="54"/>
        <v>1.9078202404809501</v>
      </c>
      <c r="X477">
        <f>[1]!XLSTAT_PDFWeibull(W477,10,5)</f>
        <v>3.4285352223575302E-4</v>
      </c>
      <c r="Y477">
        <v>477</v>
      </c>
      <c r="AA477">
        <f t="shared" si="55"/>
        <v>1.9078202404809501</v>
      </c>
      <c r="AB477">
        <f>[1]!XLSTAT_PDFWeibull(AA477,10,5)</f>
        <v>3.4285352223575302E-4</v>
      </c>
    </row>
    <row r="478" spans="1:28" x14ac:dyDescent="0.3">
      <c r="A478">
        <v>478</v>
      </c>
      <c r="C478">
        <f t="shared" si="49"/>
        <v>3.647294589178351</v>
      </c>
      <c r="D478">
        <f>[1]!XLSTAT_PDFNormal(C478,0,1)</f>
        <v>5.155287714650068E-4</v>
      </c>
      <c r="E478">
        <v>478</v>
      </c>
      <c r="G478">
        <f t="shared" si="50"/>
        <v>1.9118280561122125</v>
      </c>
      <c r="H478">
        <f>[1]!XLSTAT_PDFWeibull(G478,1)</f>
        <v>0.1478099346156613</v>
      </c>
      <c r="I478">
        <v>478</v>
      </c>
      <c r="K478">
        <f t="shared" si="51"/>
        <v>1.9118280561122125</v>
      </c>
      <c r="L478">
        <f>[1]!XLSTAT_PDFWeibull(K478,1,1)</f>
        <v>0.1478099346156613</v>
      </c>
      <c r="M478">
        <v>478</v>
      </c>
      <c r="O478">
        <f t="shared" si="52"/>
        <v>1.9118280561122125</v>
      </c>
      <c r="P478">
        <f>[1]!XLSTAT_PDFWeibull(O478,5,1)</f>
        <v>5.3987122600174725E-10</v>
      </c>
      <c r="Q478">
        <v>478</v>
      </c>
      <c r="S478">
        <f t="shared" si="53"/>
        <v>1.9118280561122125</v>
      </c>
      <c r="T478">
        <f>[1]!XLSTAT_PDFWeibull(S478,10,1)</f>
        <v>1.6445636866601599E-280</v>
      </c>
      <c r="U478">
        <v>478</v>
      </c>
      <c r="W478">
        <f t="shared" si="54"/>
        <v>1.9118280561122125</v>
      </c>
      <c r="X478">
        <f>[1]!XLSTAT_PDFWeibull(W478,10,5)</f>
        <v>3.4938995945960847E-4</v>
      </c>
      <c r="Y478">
        <v>478</v>
      </c>
      <c r="AA478">
        <f t="shared" si="55"/>
        <v>1.9118280561122125</v>
      </c>
      <c r="AB478">
        <f>[1]!XLSTAT_PDFWeibull(AA478,10,5)</f>
        <v>3.4938995945960847E-4</v>
      </c>
    </row>
    <row r="479" spans="1:28" x14ac:dyDescent="0.3">
      <c r="A479">
        <v>479</v>
      </c>
      <c r="C479">
        <f t="shared" si="49"/>
        <v>3.6633266533066076</v>
      </c>
      <c r="D479">
        <f>[1]!XLSTAT_PDFNormal(C479,0,1)</f>
        <v>4.861858413154969E-4</v>
      </c>
      <c r="E479">
        <v>479</v>
      </c>
      <c r="G479">
        <f t="shared" si="50"/>
        <v>1.9158358717434751</v>
      </c>
      <c r="H479">
        <f>[1]!XLSTAT_PDFWeibull(G479,1)</f>
        <v>0.14721872516984441</v>
      </c>
      <c r="I479">
        <v>479</v>
      </c>
      <c r="K479">
        <f t="shared" si="51"/>
        <v>1.9158358717434751</v>
      </c>
      <c r="L479">
        <f>[1]!XLSTAT_PDFWeibull(K479,1,1)</f>
        <v>0.14721872516984441</v>
      </c>
      <c r="M479">
        <v>479</v>
      </c>
      <c r="O479">
        <f t="shared" si="52"/>
        <v>1.9158358717434751</v>
      </c>
      <c r="P479">
        <f>[1]!XLSTAT_PDFWeibull(O479,5,1)</f>
        <v>4.1607567610855664E-10</v>
      </c>
      <c r="Q479">
        <v>479</v>
      </c>
      <c r="S479">
        <f t="shared" si="53"/>
        <v>1.9158358717434751</v>
      </c>
      <c r="T479">
        <f>[1]!XLSTAT_PDFWeibull(S479,10,1)</f>
        <v>1.6929534278519301E-286</v>
      </c>
      <c r="U479">
        <v>479</v>
      </c>
      <c r="W479">
        <f t="shared" si="54"/>
        <v>1.9158358717434751</v>
      </c>
      <c r="X479">
        <f>[1]!XLSTAT_PDFWeibull(W479,10,5)</f>
        <v>3.5603692119106245E-4</v>
      </c>
      <c r="Y479">
        <v>479</v>
      </c>
      <c r="AA479">
        <f t="shared" si="55"/>
        <v>1.9158358717434751</v>
      </c>
      <c r="AB479">
        <f>[1]!XLSTAT_PDFWeibull(AA479,10,5)</f>
        <v>3.5603692119106245E-4</v>
      </c>
    </row>
    <row r="480" spans="1:28" x14ac:dyDescent="0.3">
      <c r="A480">
        <v>480</v>
      </c>
      <c r="C480">
        <f t="shared" si="49"/>
        <v>3.6793587174348641</v>
      </c>
      <c r="D480">
        <f>[1]!XLSTAT_PDFNormal(C480,0,1)</f>
        <v>4.5839522055266235E-4</v>
      </c>
      <c r="E480">
        <v>480</v>
      </c>
      <c r="G480">
        <f t="shared" si="50"/>
        <v>1.9198436873747375</v>
      </c>
      <c r="H480">
        <f>[1]!XLSTAT_PDFWeibull(G480,1)</f>
        <v>0.14662988044064645</v>
      </c>
      <c r="I480">
        <v>480</v>
      </c>
      <c r="K480">
        <f t="shared" si="51"/>
        <v>1.9198436873747375</v>
      </c>
      <c r="L480">
        <f>[1]!XLSTAT_PDFWeibull(K480,1,1)</f>
        <v>0.14662988044064645</v>
      </c>
      <c r="M480">
        <v>480</v>
      </c>
      <c r="O480">
        <f t="shared" si="52"/>
        <v>1.9198436873747375</v>
      </c>
      <c r="P480">
        <f>[1]!XLSTAT_PDFWeibull(O480,5,1)</f>
        <v>3.1993797304189264E-10</v>
      </c>
      <c r="Q480">
        <v>480</v>
      </c>
      <c r="S480">
        <f t="shared" si="53"/>
        <v>1.9198436873747375</v>
      </c>
      <c r="T480">
        <f>[1]!XLSTAT_PDFWeibull(S480,10,1)</f>
        <v>1.3405140547345806E-292</v>
      </c>
      <c r="U480">
        <v>480</v>
      </c>
      <c r="W480">
        <f t="shared" si="54"/>
        <v>1.9198436873747375</v>
      </c>
      <c r="X480">
        <f>[1]!XLSTAT_PDFWeibull(W480,10,5)</f>
        <v>3.6279603877332426E-4</v>
      </c>
      <c r="Y480">
        <v>480</v>
      </c>
      <c r="AA480">
        <f t="shared" si="55"/>
        <v>1.9198436873747375</v>
      </c>
      <c r="AB480">
        <f>[1]!XLSTAT_PDFWeibull(AA480,10,5)</f>
        <v>3.6279603877332426E-4</v>
      </c>
    </row>
    <row r="481" spans="1:28" x14ac:dyDescent="0.3">
      <c r="A481">
        <v>481</v>
      </c>
      <c r="C481">
        <f t="shared" si="49"/>
        <v>3.6953907815631206</v>
      </c>
      <c r="D481">
        <f>[1]!XLSTAT_PDFNormal(C481,0,1)</f>
        <v>4.3208205421868247E-4</v>
      </c>
      <c r="E481">
        <v>481</v>
      </c>
      <c r="G481">
        <f t="shared" si="50"/>
        <v>1.9238515030060002</v>
      </c>
      <c r="H481">
        <f>[1]!XLSTAT_PDFWeibull(G481,1)</f>
        <v>0.14604339096968549</v>
      </c>
      <c r="I481">
        <v>481</v>
      </c>
      <c r="K481">
        <f t="shared" si="51"/>
        <v>1.9238515030060002</v>
      </c>
      <c r="L481">
        <f>[1]!XLSTAT_PDFWeibull(K481,1,1)</f>
        <v>0.14604339096968549</v>
      </c>
      <c r="M481">
        <v>481</v>
      </c>
      <c r="O481">
        <f t="shared" si="52"/>
        <v>1.9238515030060002</v>
      </c>
      <c r="P481">
        <f>[1]!XLSTAT_PDFWeibull(O481,5,1)</f>
        <v>2.4545078600962398E-10</v>
      </c>
      <c r="Q481">
        <v>481</v>
      </c>
      <c r="S481">
        <f t="shared" si="53"/>
        <v>1.9238515030060002</v>
      </c>
      <c r="T481">
        <f>[1]!XLSTAT_PDFWeibull(S481,10,1)</f>
        <v>8.1284700624550061E-299</v>
      </c>
      <c r="U481">
        <v>481</v>
      </c>
      <c r="W481">
        <f t="shared" si="54"/>
        <v>1.9238515030060002</v>
      </c>
      <c r="X481">
        <f>[1]!XLSTAT_PDFWeibull(W481,10,5)</f>
        <v>3.6966896412736927E-4</v>
      </c>
      <c r="Y481">
        <v>481</v>
      </c>
      <c r="AA481">
        <f t="shared" si="55"/>
        <v>1.9238515030060002</v>
      </c>
      <c r="AB481">
        <f>[1]!XLSTAT_PDFWeibull(AA481,10,5)</f>
        <v>3.6966896412736927E-4</v>
      </c>
    </row>
    <row r="482" spans="1:28" x14ac:dyDescent="0.3">
      <c r="A482">
        <v>482</v>
      </c>
      <c r="C482">
        <f t="shared" si="49"/>
        <v>3.7114228456913771</v>
      </c>
      <c r="D482">
        <f>[1]!XLSTAT_PDFNormal(C482,0,1)</f>
        <v>4.0717466877957442E-4</v>
      </c>
      <c r="E482">
        <v>482</v>
      </c>
      <c r="G482">
        <f t="shared" si="50"/>
        <v>1.9278593186372626</v>
      </c>
      <c r="H482">
        <f>[1]!XLSTAT_PDFWeibull(G482,1)</f>
        <v>0.14545924733641136</v>
      </c>
      <c r="I482">
        <v>482</v>
      </c>
      <c r="K482">
        <f t="shared" si="51"/>
        <v>1.9278593186372626</v>
      </c>
      <c r="L482">
        <f>[1]!XLSTAT_PDFWeibull(K482,1,1)</f>
        <v>0.14545924733641136</v>
      </c>
      <c r="M482">
        <v>482</v>
      </c>
      <c r="O482">
        <f t="shared" si="52"/>
        <v>1.9278593186372626</v>
      </c>
      <c r="P482">
        <f>[1]!XLSTAT_PDFWeibull(O482,5,1)</f>
        <v>1.8787200825473163E-10</v>
      </c>
      <c r="Q482">
        <v>482</v>
      </c>
      <c r="S482">
        <f t="shared" si="53"/>
        <v>1.9278593186372626</v>
      </c>
      <c r="T482">
        <f>[1]!XLSTAT_PDFWeibull(S482,10,1)</f>
        <v>3.757578662949836E-305</v>
      </c>
      <c r="U482">
        <v>482</v>
      </c>
      <c r="W482">
        <f t="shared" si="54"/>
        <v>1.9278593186372626</v>
      </c>
      <c r="X482">
        <f>[1]!XLSTAT_PDFWeibull(W482,10,5)</f>
        <v>3.766573699671611E-4</v>
      </c>
      <c r="Y482">
        <v>482</v>
      </c>
      <c r="AA482">
        <f t="shared" si="55"/>
        <v>1.9278593186372626</v>
      </c>
      <c r="AB482">
        <f>[1]!XLSTAT_PDFWeibull(AA482,10,5)</f>
        <v>3.766573699671611E-4</v>
      </c>
    </row>
    <row r="483" spans="1:28" x14ac:dyDescent="0.3">
      <c r="A483">
        <v>483</v>
      </c>
      <c r="C483">
        <f t="shared" si="49"/>
        <v>3.7274549098196337</v>
      </c>
      <c r="D483">
        <f>[1]!XLSTAT_PDFNormal(C483,0,1)</f>
        <v>3.8360446105651876E-4</v>
      </c>
      <c r="E483">
        <v>483</v>
      </c>
      <c r="G483">
        <f t="shared" si="50"/>
        <v>1.9318671342685252</v>
      </c>
      <c r="H483">
        <f>[1]!XLSTAT_PDFWeibull(G483,1)</f>
        <v>0.14487744015795401</v>
      </c>
      <c r="I483">
        <v>483</v>
      </c>
      <c r="K483">
        <f t="shared" si="51"/>
        <v>1.9318671342685252</v>
      </c>
      <c r="L483">
        <f>[1]!XLSTAT_PDFWeibull(K483,1,1)</f>
        <v>0.14487744015795401</v>
      </c>
      <c r="M483">
        <v>483</v>
      </c>
      <c r="O483">
        <f t="shared" si="52"/>
        <v>1.9318671342685252</v>
      </c>
      <c r="P483">
        <f>[1]!XLSTAT_PDFWeibull(O483,5,1)</f>
        <v>1.4346717622845557E-10</v>
      </c>
      <c r="Q483">
        <v>483</v>
      </c>
      <c r="S483">
        <f t="shared" si="53"/>
        <v>1.9318671342685252</v>
      </c>
      <c r="T483">
        <f>[1]!XLSTAT_PDFWeibull(S483,10,1)</f>
        <v>0</v>
      </c>
      <c r="U483">
        <v>483</v>
      </c>
      <c r="W483">
        <f t="shared" si="54"/>
        <v>1.9318671342685252</v>
      </c>
      <c r="X483">
        <f>[1]!XLSTAT_PDFWeibull(W483,10,5)</f>
        <v>3.8376295001663595E-4</v>
      </c>
      <c r="Y483">
        <v>483</v>
      </c>
      <c r="AA483">
        <f t="shared" si="55"/>
        <v>1.9318671342685252</v>
      </c>
      <c r="AB483">
        <f>[1]!XLSTAT_PDFWeibull(AA483,10,5)</f>
        <v>3.8376295001663595E-4</v>
      </c>
    </row>
    <row r="484" spans="1:28" x14ac:dyDescent="0.3">
      <c r="A484">
        <v>484</v>
      </c>
      <c r="C484">
        <f t="shared" si="49"/>
        <v>3.7434869739478902</v>
      </c>
      <c r="D484">
        <f>[1]!XLSTAT_PDFNormal(C484,0,1)</f>
        <v>3.613057897153069E-4</v>
      </c>
      <c r="E484">
        <v>484</v>
      </c>
      <c r="G484">
        <f t="shared" si="50"/>
        <v>1.9358749498997876</v>
      </c>
      <c r="H484">
        <f>[1]!XLSTAT_PDFWeibull(G484,1)</f>
        <v>0.14429796008897308</v>
      </c>
      <c r="I484">
        <v>484</v>
      </c>
      <c r="K484">
        <f t="shared" si="51"/>
        <v>1.9358749498997876</v>
      </c>
      <c r="L484">
        <f>[1]!XLSTAT_PDFWeibull(K484,1,1)</f>
        <v>0.14429796008897308</v>
      </c>
      <c r="M484">
        <v>484</v>
      </c>
      <c r="O484">
        <f t="shared" si="52"/>
        <v>1.9358749498997876</v>
      </c>
      <c r="P484">
        <f>[1]!XLSTAT_PDFWeibull(O484,5,1)</f>
        <v>1.0930238255667666E-10</v>
      </c>
      <c r="Q484">
        <v>484</v>
      </c>
      <c r="S484">
        <f t="shared" si="53"/>
        <v>1.9358749498997876</v>
      </c>
      <c r="T484">
        <f>[1]!XLSTAT_PDFWeibull(S484,10,1)</f>
        <v>0</v>
      </c>
      <c r="U484">
        <v>484</v>
      </c>
      <c r="W484">
        <f t="shared" si="54"/>
        <v>1.9358749498997876</v>
      </c>
      <c r="X484">
        <f>[1]!XLSTAT_PDFWeibull(W484,10,5)</f>
        <v>3.9098741922848307E-4</v>
      </c>
      <c r="Y484">
        <v>484</v>
      </c>
      <c r="AA484">
        <f t="shared" si="55"/>
        <v>1.9358749498997876</v>
      </c>
      <c r="AB484">
        <f>[1]!XLSTAT_PDFWeibull(AA484,10,5)</f>
        <v>3.9098741922848307E-4</v>
      </c>
    </row>
    <row r="485" spans="1:28" x14ac:dyDescent="0.3">
      <c r="A485">
        <v>485</v>
      </c>
      <c r="C485">
        <f t="shared" si="49"/>
        <v>3.7595190380761467</v>
      </c>
      <c r="D485">
        <f>[1]!XLSTAT_PDFNormal(C485,0,1)</f>
        <v>3.4021586932888741E-4</v>
      </c>
      <c r="E485">
        <v>485</v>
      </c>
      <c r="G485">
        <f t="shared" si="50"/>
        <v>1.9398827655310502</v>
      </c>
      <c r="H485">
        <f>[1]!XLSTAT_PDFWeibull(G485,1)</f>
        <v>0.14372079782150754</v>
      </c>
      <c r="I485">
        <v>485</v>
      </c>
      <c r="K485">
        <f t="shared" si="51"/>
        <v>1.9398827655310502</v>
      </c>
      <c r="L485">
        <f>[1]!XLSTAT_PDFWeibull(K485,1,1)</f>
        <v>0.14372079782150754</v>
      </c>
      <c r="M485">
        <v>485</v>
      </c>
      <c r="O485">
        <f t="shared" si="52"/>
        <v>1.9398827655310502</v>
      </c>
      <c r="P485">
        <f>[1]!XLSTAT_PDFWeibull(O485,5,1)</f>
        <v>8.3078198392938068E-11</v>
      </c>
      <c r="Q485">
        <v>485</v>
      </c>
      <c r="S485">
        <f t="shared" si="53"/>
        <v>1.9398827655310502</v>
      </c>
      <c r="T485">
        <f>[1]!XLSTAT_PDFWeibull(S485,10,1)</f>
        <v>0</v>
      </c>
      <c r="U485">
        <v>485</v>
      </c>
      <c r="W485">
        <f t="shared" si="54"/>
        <v>1.9398827655310502</v>
      </c>
      <c r="X485">
        <f>[1]!XLSTAT_PDFWeibull(W485,10,5)</f>
        <v>3.9833251400471449E-4</v>
      </c>
      <c r="Y485">
        <v>485</v>
      </c>
      <c r="AA485">
        <f t="shared" si="55"/>
        <v>1.9398827655310502</v>
      </c>
      <c r="AB485">
        <f>[1]!XLSTAT_PDFWeibull(AA485,10,5)</f>
        <v>3.9833251400471449E-4</v>
      </c>
    </row>
    <row r="486" spans="1:28" x14ac:dyDescent="0.3">
      <c r="A486">
        <v>486</v>
      </c>
      <c r="C486">
        <f t="shared" si="49"/>
        <v>3.7755511022044033</v>
      </c>
      <c r="D486">
        <f>[1]!XLSTAT_PDFNormal(C486,0,1)</f>
        <v>3.2027466702263792E-4</v>
      </c>
      <c r="E486">
        <v>486</v>
      </c>
      <c r="G486">
        <f t="shared" si="50"/>
        <v>1.9438905811623126</v>
      </c>
      <c r="H486">
        <f>[1]!XLSTAT_PDFWeibull(G486,1)</f>
        <v>0.14314594408482637</v>
      </c>
      <c r="I486">
        <v>486</v>
      </c>
      <c r="K486">
        <f t="shared" si="51"/>
        <v>1.9438905811623126</v>
      </c>
      <c r="L486">
        <f>[1]!XLSTAT_PDFWeibull(K486,1,1)</f>
        <v>0.14314594408482637</v>
      </c>
      <c r="M486">
        <v>486</v>
      </c>
      <c r="O486">
        <f t="shared" si="52"/>
        <v>1.9438905811623126</v>
      </c>
      <c r="P486">
        <f>[1]!XLSTAT_PDFWeibull(O486,5,1)</f>
        <v>6.2996816808311937E-11</v>
      </c>
      <c r="Q486">
        <v>486</v>
      </c>
      <c r="S486">
        <f t="shared" si="53"/>
        <v>1.9438905811623126</v>
      </c>
      <c r="T486">
        <f>[1]!XLSTAT_PDFWeibull(S486,10,1)</f>
        <v>0</v>
      </c>
      <c r="U486">
        <v>486</v>
      </c>
      <c r="W486">
        <f t="shared" si="54"/>
        <v>1.9438905811623126</v>
      </c>
      <c r="X486">
        <f>[1]!XLSTAT_PDFWeibull(W486,10,5)</f>
        <v>4.0579999241904574E-4</v>
      </c>
      <c r="Y486">
        <v>486</v>
      </c>
      <c r="AA486">
        <f t="shared" si="55"/>
        <v>1.9438905811623126</v>
      </c>
      <c r="AB486">
        <f>[1]!XLSTAT_PDFWeibull(AA486,10,5)</f>
        <v>4.0579999241904574E-4</v>
      </c>
    </row>
    <row r="487" spans="1:28" x14ac:dyDescent="0.3">
      <c r="A487">
        <v>487</v>
      </c>
      <c r="C487">
        <f t="shared" si="49"/>
        <v>3.7915831663326598</v>
      </c>
      <c r="D487">
        <f>[1]!XLSTAT_PDFNormal(C487,0,1)</f>
        <v>3.0142480170691386E-4</v>
      </c>
      <c r="E487">
        <v>487</v>
      </c>
      <c r="G487">
        <f t="shared" si="50"/>
        <v>1.947898396793575</v>
      </c>
      <c r="H487">
        <f>[1]!XLSTAT_PDFWeibull(G487,1)</f>
        <v>0.14257338964527955</v>
      </c>
      <c r="I487">
        <v>487</v>
      </c>
      <c r="K487">
        <f t="shared" si="51"/>
        <v>1.947898396793575</v>
      </c>
      <c r="L487">
        <f>[1]!XLSTAT_PDFWeibull(K487,1,1)</f>
        <v>0.14257338964527955</v>
      </c>
      <c r="M487">
        <v>487</v>
      </c>
      <c r="O487">
        <f t="shared" si="52"/>
        <v>1.947898396793575</v>
      </c>
      <c r="P487">
        <f>[1]!XLSTAT_PDFWeibull(O487,5,1)</f>
        <v>4.7656038694611944E-11</v>
      </c>
      <c r="Q487">
        <v>487</v>
      </c>
      <c r="S487">
        <f t="shared" si="53"/>
        <v>1.947898396793575</v>
      </c>
      <c r="T487">
        <f>[1]!XLSTAT_PDFWeibull(S487,10,1)</f>
        <v>0</v>
      </c>
      <c r="U487">
        <v>487</v>
      </c>
      <c r="W487">
        <f t="shared" si="54"/>
        <v>1.947898396793575</v>
      </c>
      <c r="X487">
        <f>[1]!XLSTAT_PDFWeibull(W487,10,5)</f>
        <v>4.1339163444108933E-4</v>
      </c>
      <c r="Y487">
        <v>487</v>
      </c>
      <c r="AA487">
        <f t="shared" si="55"/>
        <v>1.947898396793575</v>
      </c>
      <c r="AB487">
        <f>[1]!XLSTAT_PDFWeibull(AA487,10,5)</f>
        <v>4.1339163444108933E-4</v>
      </c>
    </row>
    <row r="488" spans="1:28" x14ac:dyDescent="0.3">
      <c r="A488">
        <v>488</v>
      </c>
      <c r="C488">
        <f t="shared" si="49"/>
        <v>3.8076152304609163</v>
      </c>
      <c r="D488">
        <f>[1]!XLSTAT_PDFNormal(C488,0,1)</f>
        <v>2.8361144589665051E-4</v>
      </c>
      <c r="E488">
        <v>488</v>
      </c>
      <c r="G488">
        <f t="shared" si="50"/>
        <v>1.9519062124248376</v>
      </c>
      <c r="H488">
        <f>[1]!XLSTAT_PDFWeibull(G488,1)</f>
        <v>0.14200312530614972</v>
      </c>
      <c r="I488">
        <v>488</v>
      </c>
      <c r="K488">
        <f t="shared" si="51"/>
        <v>1.9519062124248376</v>
      </c>
      <c r="L488">
        <f>[1]!XLSTAT_PDFWeibull(K488,1,1)</f>
        <v>0.14200312530614972</v>
      </c>
      <c r="M488">
        <v>488</v>
      </c>
      <c r="O488">
        <f t="shared" si="52"/>
        <v>1.9519062124248376</v>
      </c>
      <c r="P488">
        <f>[1]!XLSTAT_PDFWeibull(O488,5,1)</f>
        <v>3.5964891263920599E-11</v>
      </c>
      <c r="Q488">
        <v>488</v>
      </c>
      <c r="S488">
        <f t="shared" si="53"/>
        <v>1.9519062124248376</v>
      </c>
      <c r="T488">
        <f>[1]!XLSTAT_PDFWeibull(S488,10,1)</f>
        <v>0</v>
      </c>
      <c r="U488">
        <v>488</v>
      </c>
      <c r="W488">
        <f t="shared" si="54"/>
        <v>1.9519062124248376</v>
      </c>
      <c r="X488">
        <f>[1]!XLSTAT_PDFWeibull(W488,10,5)</f>
        <v>4.2110924216237638E-4</v>
      </c>
      <c r="Y488">
        <v>488</v>
      </c>
      <c r="AA488">
        <f t="shared" si="55"/>
        <v>1.9519062124248376</v>
      </c>
      <c r="AB488">
        <f>[1]!XLSTAT_PDFWeibull(AA488,10,5)</f>
        <v>4.2110924216237638E-4</v>
      </c>
    </row>
    <row r="489" spans="1:28" x14ac:dyDescent="0.3">
      <c r="A489">
        <v>489</v>
      </c>
      <c r="C489">
        <f t="shared" si="49"/>
        <v>3.8236472945891729</v>
      </c>
      <c r="D489">
        <f>[1]!XLSTAT_PDFNormal(C489,0,1)</f>
        <v>2.6678223011328679E-4</v>
      </c>
      <c r="E489">
        <v>489</v>
      </c>
      <c r="G489">
        <f t="shared" si="50"/>
        <v>1.9559140280561</v>
      </c>
      <c r="H489">
        <f>[1]!XLSTAT_PDFWeibull(G489,1)</f>
        <v>0.14143514190750464</v>
      </c>
      <c r="I489">
        <v>489</v>
      </c>
      <c r="K489">
        <f t="shared" si="51"/>
        <v>1.9559140280561</v>
      </c>
      <c r="L489">
        <f>[1]!XLSTAT_PDFWeibull(K489,1,1)</f>
        <v>0.14143514190750464</v>
      </c>
      <c r="M489">
        <v>489</v>
      </c>
      <c r="O489">
        <f t="shared" si="52"/>
        <v>1.9559140280561</v>
      </c>
      <c r="P489">
        <f>[1]!XLSTAT_PDFWeibull(O489,5,1)</f>
        <v>2.70766351594838E-11</v>
      </c>
      <c r="Q489">
        <v>489</v>
      </c>
      <c r="S489">
        <f t="shared" si="53"/>
        <v>1.9559140280561</v>
      </c>
      <c r="T489">
        <f>[1]!XLSTAT_PDFWeibull(S489,10,1)</f>
        <v>0</v>
      </c>
      <c r="U489">
        <v>489</v>
      </c>
      <c r="W489">
        <f t="shared" si="54"/>
        <v>1.9559140280561</v>
      </c>
      <c r="X489">
        <f>[1]!XLSTAT_PDFWeibull(W489,10,5)</f>
        <v>4.2895464002421819E-4</v>
      </c>
      <c r="Y489">
        <v>489</v>
      </c>
      <c r="AA489">
        <f t="shared" si="55"/>
        <v>1.9559140280561</v>
      </c>
      <c r="AB489">
        <f>[1]!XLSTAT_PDFWeibull(AA489,10,5)</f>
        <v>4.2895464002421819E-4</v>
      </c>
    </row>
    <row r="490" spans="1:28" x14ac:dyDescent="0.3">
      <c r="A490">
        <v>490</v>
      </c>
      <c r="C490">
        <f t="shared" si="49"/>
        <v>3.8396793587174294</v>
      </c>
      <c r="D490">
        <f>[1]!XLSTAT_PDFNormal(C490,0,1)</f>
        <v>2.5088714986005496E-4</v>
      </c>
      <c r="E490">
        <v>490</v>
      </c>
      <c r="G490">
        <f t="shared" si="50"/>
        <v>1.9599218436873627</v>
      </c>
      <c r="H490">
        <f>[1]!XLSTAT_PDFWeibull(G490,1)</f>
        <v>0.14086943032604976</v>
      </c>
      <c r="I490">
        <v>490</v>
      </c>
      <c r="K490">
        <f t="shared" si="51"/>
        <v>1.9599218436873627</v>
      </c>
      <c r="L490">
        <f>[1]!XLSTAT_PDFWeibull(K490,1,1)</f>
        <v>0.14086943032604976</v>
      </c>
      <c r="M490">
        <v>490</v>
      </c>
      <c r="O490">
        <f t="shared" si="52"/>
        <v>1.9599218436873627</v>
      </c>
      <c r="P490">
        <f>[1]!XLSTAT_PDFWeibull(O490,5,1)</f>
        <v>2.0335712350372331E-11</v>
      </c>
      <c r="Q490">
        <v>490</v>
      </c>
      <c r="S490">
        <f t="shared" si="53"/>
        <v>1.9599218436873627</v>
      </c>
      <c r="T490">
        <f>[1]!XLSTAT_PDFWeibull(S490,10,1)</f>
        <v>0</v>
      </c>
      <c r="U490">
        <v>490</v>
      </c>
      <c r="W490">
        <f t="shared" si="54"/>
        <v>1.9599218436873627</v>
      </c>
      <c r="X490">
        <f>[1]!XLSTAT_PDFWeibull(W490,10,5)</f>
        <v>4.3692967504741089E-4</v>
      </c>
      <c r="Y490">
        <v>490</v>
      </c>
      <c r="AA490">
        <f t="shared" si="55"/>
        <v>1.9599218436873627</v>
      </c>
      <c r="AB490">
        <f>[1]!XLSTAT_PDFWeibull(AA490,10,5)</f>
        <v>4.3692967504741089E-4</v>
      </c>
    </row>
    <row r="491" spans="1:28" x14ac:dyDescent="0.3">
      <c r="A491">
        <v>491</v>
      </c>
      <c r="C491">
        <f t="shared" si="49"/>
        <v>3.8557114228456859</v>
      </c>
      <c r="D491">
        <f>[1]!XLSTAT_PDFNormal(C491,0,1)</f>
        <v>2.3587847515771254E-4</v>
      </c>
      <c r="E491">
        <v>491</v>
      </c>
      <c r="G491">
        <f t="shared" si="50"/>
        <v>1.9639296593186251</v>
      </c>
      <c r="H491">
        <f>[1]!XLSTAT_PDFWeibull(G491,1)</f>
        <v>0.14030598147498194</v>
      </c>
      <c r="I491">
        <v>491</v>
      </c>
      <c r="K491">
        <f t="shared" si="51"/>
        <v>1.9639296593186251</v>
      </c>
      <c r="L491">
        <f>[1]!XLSTAT_PDFWeibull(K491,1,1)</f>
        <v>0.14030598147498194</v>
      </c>
      <c r="M491">
        <v>491</v>
      </c>
      <c r="O491">
        <f t="shared" si="52"/>
        <v>1.9639296593186251</v>
      </c>
      <c r="P491">
        <f>[1]!XLSTAT_PDFWeibull(O491,5,1)</f>
        <v>1.5235841352004481E-11</v>
      </c>
      <c r="Q491">
        <v>491</v>
      </c>
      <c r="S491">
        <f t="shared" si="53"/>
        <v>1.9639296593186251</v>
      </c>
      <c r="T491">
        <f>[1]!XLSTAT_PDFWeibull(S491,10,1)</f>
        <v>0</v>
      </c>
      <c r="U491">
        <v>491</v>
      </c>
      <c r="W491">
        <f t="shared" si="54"/>
        <v>1.9639296593186251</v>
      </c>
      <c r="X491">
        <f>[1]!XLSTAT_PDFWeibull(W491,10,5)</f>
        <v>4.4503621706380091E-4</v>
      </c>
      <c r="Y491">
        <v>491</v>
      </c>
      <c r="AA491">
        <f t="shared" si="55"/>
        <v>1.9639296593186251</v>
      </c>
      <c r="AB491">
        <f>[1]!XLSTAT_PDFWeibull(AA491,10,5)</f>
        <v>4.4503621706380091E-4</v>
      </c>
    </row>
    <row r="492" spans="1:28" x14ac:dyDescent="0.3">
      <c r="A492">
        <v>492</v>
      </c>
      <c r="C492">
        <f t="shared" si="49"/>
        <v>3.8717434869739424</v>
      </c>
      <c r="D492">
        <f>[1]!XLSTAT_PDFNormal(C492,0,1)</f>
        <v>2.2171066262409558E-4</v>
      </c>
      <c r="E492">
        <v>492</v>
      </c>
      <c r="G492">
        <f t="shared" si="50"/>
        <v>1.9679374749498877</v>
      </c>
      <c r="H492">
        <f>[1]!XLSTAT_PDFWeibull(G492,1)</f>
        <v>0.13974478630384335</v>
      </c>
      <c r="I492">
        <v>492</v>
      </c>
      <c r="K492">
        <f t="shared" si="51"/>
        <v>1.9679374749498877</v>
      </c>
      <c r="L492">
        <f>[1]!XLSTAT_PDFWeibull(K492,1,1)</f>
        <v>0.13974478630384335</v>
      </c>
      <c r="M492">
        <v>492</v>
      </c>
      <c r="O492">
        <f t="shared" si="52"/>
        <v>1.9679374749498877</v>
      </c>
      <c r="P492">
        <f>[1]!XLSTAT_PDFWeibull(O492,5,1)</f>
        <v>1.1387002626211776E-11</v>
      </c>
      <c r="Q492">
        <v>492</v>
      </c>
      <c r="S492">
        <f t="shared" si="53"/>
        <v>1.9679374749498877</v>
      </c>
      <c r="T492">
        <f>[1]!XLSTAT_PDFWeibull(S492,10,1)</f>
        <v>0</v>
      </c>
      <c r="U492">
        <v>492</v>
      </c>
      <c r="W492">
        <f t="shared" si="54"/>
        <v>1.9679374749498877</v>
      </c>
      <c r="X492">
        <f>[1]!XLSTAT_PDFWeibull(W492,10,5)</f>
        <v>4.5327615894971994E-4</v>
      </c>
      <c r="Y492">
        <v>492</v>
      </c>
      <c r="AA492">
        <f t="shared" si="55"/>
        <v>1.9679374749498877</v>
      </c>
      <c r="AB492">
        <f>[1]!XLSTAT_PDFWeibull(AA492,10,5)</f>
        <v>4.5327615894971994E-4</v>
      </c>
    </row>
    <row r="493" spans="1:28" x14ac:dyDescent="0.3">
      <c r="A493">
        <v>493</v>
      </c>
      <c r="C493">
        <f t="shared" si="49"/>
        <v>3.887775551102199</v>
      </c>
      <c r="D493">
        <f>[1]!XLSTAT_PDFNormal(C493,0,1)</f>
        <v>2.0834027007742042E-4</v>
      </c>
      <c r="E493">
        <v>493</v>
      </c>
      <c r="G493">
        <f t="shared" si="50"/>
        <v>1.9719452905811501</v>
      </c>
      <c r="H493">
        <f>[1]!XLSTAT_PDFWeibull(G493,1)</f>
        <v>0.13918583579837621</v>
      </c>
      <c r="I493">
        <v>493</v>
      </c>
      <c r="K493">
        <f t="shared" si="51"/>
        <v>1.9719452905811501</v>
      </c>
      <c r="L493">
        <f>[1]!XLSTAT_PDFWeibull(K493,1,1)</f>
        <v>0.13918583579837621</v>
      </c>
      <c r="M493">
        <v>493</v>
      </c>
      <c r="O493">
        <f t="shared" si="52"/>
        <v>1.9719452905811501</v>
      </c>
      <c r="P493">
        <f>[1]!XLSTAT_PDFWeibull(O493,5,1)</f>
        <v>8.4894953218239042E-12</v>
      </c>
      <c r="Q493">
        <v>493</v>
      </c>
      <c r="S493">
        <f t="shared" si="53"/>
        <v>1.9719452905811501</v>
      </c>
      <c r="T493">
        <f>[1]!XLSTAT_PDFWeibull(S493,10,1)</f>
        <v>0</v>
      </c>
      <c r="U493">
        <v>493</v>
      </c>
      <c r="W493">
        <f t="shared" si="54"/>
        <v>1.9719452905811501</v>
      </c>
      <c r="X493">
        <f>[1]!XLSTAT_PDFWeibull(W493,10,5)</f>
        <v>4.6165141686129276E-4</v>
      </c>
      <c r="Y493">
        <v>493</v>
      </c>
      <c r="AA493">
        <f t="shared" si="55"/>
        <v>1.9719452905811501</v>
      </c>
      <c r="AB493">
        <f>[1]!XLSTAT_PDFWeibull(AA493,10,5)</f>
        <v>4.6165141686129276E-4</v>
      </c>
    </row>
    <row r="494" spans="1:28" x14ac:dyDescent="0.3">
      <c r="A494">
        <v>494</v>
      </c>
      <c r="C494">
        <f t="shared" si="49"/>
        <v>3.9038076152304555</v>
      </c>
      <c r="D494">
        <f>[1]!XLSTAT_PDFNormal(C494,0,1)</f>
        <v>1.9572587364005505E-4</v>
      </c>
      <c r="E494">
        <v>494</v>
      </c>
      <c r="G494">
        <f t="shared" si="50"/>
        <v>1.9759531062124127</v>
      </c>
      <c r="H494">
        <f>[1]!XLSTAT_PDFWeibull(G494,1)</f>
        <v>0.13862912098037775</v>
      </c>
      <c r="I494">
        <v>494</v>
      </c>
      <c r="K494">
        <f t="shared" si="51"/>
        <v>1.9759531062124127</v>
      </c>
      <c r="L494">
        <f>[1]!XLSTAT_PDFWeibull(K494,1,1)</f>
        <v>0.13862912098037775</v>
      </c>
      <c r="M494">
        <v>494</v>
      </c>
      <c r="O494">
        <f t="shared" si="52"/>
        <v>1.9759531062124127</v>
      </c>
      <c r="P494">
        <f>[1]!XLSTAT_PDFWeibull(O494,5,1)</f>
        <v>6.3136037114375126E-12</v>
      </c>
      <c r="Q494">
        <v>494</v>
      </c>
      <c r="S494">
        <f t="shared" si="53"/>
        <v>1.9759531062124127</v>
      </c>
      <c r="T494">
        <f>[1]!XLSTAT_PDFWeibull(S494,10,1)</f>
        <v>0</v>
      </c>
      <c r="U494">
        <v>494</v>
      </c>
      <c r="W494">
        <f t="shared" si="54"/>
        <v>1.9759531062124127</v>
      </c>
      <c r="X494">
        <f>[1]!XLSTAT_PDFWeibull(W494,10,5)</f>
        <v>4.7016393047164505E-4</v>
      </c>
      <c r="Y494">
        <v>494</v>
      </c>
      <c r="AA494">
        <f t="shared" si="55"/>
        <v>1.9759531062124127</v>
      </c>
      <c r="AB494">
        <f>[1]!XLSTAT_PDFWeibull(AA494,10,5)</f>
        <v>4.7016393047164505E-4</v>
      </c>
    </row>
    <row r="495" spans="1:28" x14ac:dyDescent="0.3">
      <c r="A495">
        <v>495</v>
      </c>
      <c r="C495">
        <f t="shared" si="49"/>
        <v>3.919839679358712</v>
      </c>
      <c r="D495">
        <f>[1]!XLSTAT_PDFNormal(C495,0,1)</f>
        <v>1.8382798731651862E-4</v>
      </c>
      <c r="E495">
        <v>495</v>
      </c>
      <c r="G495">
        <f t="shared" si="50"/>
        <v>1.9799609218436751</v>
      </c>
      <c r="H495">
        <f>[1]!XLSTAT_PDFWeibull(G495,1)</f>
        <v>0.13807463290755639</v>
      </c>
      <c r="I495">
        <v>495</v>
      </c>
      <c r="K495">
        <f t="shared" si="51"/>
        <v>1.9799609218436751</v>
      </c>
      <c r="L495">
        <f>[1]!XLSTAT_PDFWeibull(K495,1,1)</f>
        <v>0.13807463290755639</v>
      </c>
      <c r="M495">
        <v>495</v>
      </c>
      <c r="O495">
        <f t="shared" si="52"/>
        <v>1.9799609218436751</v>
      </c>
      <c r="P495">
        <f>[1]!XLSTAT_PDFWeibull(O495,5,1)</f>
        <v>4.6837019443131242E-12</v>
      </c>
      <c r="Q495">
        <v>495</v>
      </c>
      <c r="S495">
        <f t="shared" si="53"/>
        <v>1.9799609218436751</v>
      </c>
      <c r="T495">
        <f>[1]!XLSTAT_PDFWeibull(S495,10,1)</f>
        <v>0</v>
      </c>
      <c r="U495">
        <v>495</v>
      </c>
      <c r="W495">
        <f t="shared" si="54"/>
        <v>1.9799609218436751</v>
      </c>
      <c r="X495">
        <f>[1]!XLSTAT_PDFWeibull(W495,10,5)</f>
        <v>4.7881566320999918E-4</v>
      </c>
      <c r="Y495">
        <v>495</v>
      </c>
      <c r="AA495">
        <f t="shared" si="55"/>
        <v>1.9799609218436751</v>
      </c>
      <c r="AB495">
        <f>[1]!XLSTAT_PDFWeibull(AA495,10,5)</f>
        <v>4.7881566320999918E-4</v>
      </c>
    </row>
    <row r="496" spans="1:28" x14ac:dyDescent="0.3">
      <c r="A496">
        <v>496</v>
      </c>
      <c r="C496">
        <f t="shared" si="49"/>
        <v>3.9358717434869686</v>
      </c>
      <c r="D496">
        <f>[1]!XLSTAT_PDFNormal(C496,0,1)</f>
        <v>1.7260898501673049E-4</v>
      </c>
      <c r="E496">
        <v>496</v>
      </c>
      <c r="G496">
        <f t="shared" si="50"/>
        <v>1.9839687374749375</v>
      </c>
      <c r="H496">
        <f>[1]!XLSTAT_PDFWeibull(G496,1)</f>
        <v>0.13752236267338774</v>
      </c>
      <c r="I496">
        <v>496</v>
      </c>
      <c r="K496">
        <f t="shared" si="51"/>
        <v>1.9839687374749375</v>
      </c>
      <c r="L496">
        <f>[1]!XLSTAT_PDFWeibull(K496,1,1)</f>
        <v>0.13752236267338774</v>
      </c>
      <c r="M496">
        <v>496</v>
      </c>
      <c r="O496">
        <f t="shared" si="52"/>
        <v>1.9839687374749375</v>
      </c>
      <c r="P496">
        <f>[1]!XLSTAT_PDFWeibull(O496,5,1)</f>
        <v>3.4658609375685716E-12</v>
      </c>
      <c r="Q496">
        <v>496</v>
      </c>
      <c r="S496">
        <f t="shared" si="53"/>
        <v>1.9839687374749375</v>
      </c>
      <c r="T496">
        <f>[1]!XLSTAT_PDFWeibull(S496,10,1)</f>
        <v>0</v>
      </c>
      <c r="U496">
        <v>496</v>
      </c>
      <c r="W496">
        <f t="shared" si="54"/>
        <v>1.9839687374749375</v>
      </c>
      <c r="X496">
        <f>[1]!XLSTAT_PDFWeibull(W496,10,5)</f>
        <v>4.8760860250269281E-4</v>
      </c>
      <c r="Y496">
        <v>496</v>
      </c>
      <c r="AA496">
        <f t="shared" si="55"/>
        <v>1.9839687374749375</v>
      </c>
      <c r="AB496">
        <f>[1]!XLSTAT_PDFWeibull(AA496,10,5)</f>
        <v>4.8760860250269281E-4</v>
      </c>
    </row>
    <row r="497" spans="1:28" x14ac:dyDescent="0.3">
      <c r="A497">
        <v>497</v>
      </c>
      <c r="C497">
        <f t="shared" si="49"/>
        <v>3.9519038076152242</v>
      </c>
      <c r="D497">
        <f>[1]!XLSTAT_PDFNormal(C497,0,1)</f>
        <v>1.6203302499301578E-4</v>
      </c>
      <c r="E497">
        <v>497</v>
      </c>
      <c r="G497">
        <f t="shared" si="50"/>
        <v>1.9879765531062001</v>
      </c>
      <c r="H497">
        <f>[1]!XLSTAT_PDFWeibull(G497,1)</f>
        <v>0.1369723014069717</v>
      </c>
      <c r="I497">
        <v>497</v>
      </c>
      <c r="K497">
        <f t="shared" si="51"/>
        <v>1.9879765531062001</v>
      </c>
      <c r="L497">
        <f>[1]!XLSTAT_PDFWeibull(K497,1,1)</f>
        <v>0.1369723014069717</v>
      </c>
      <c r="M497">
        <v>497</v>
      </c>
      <c r="O497">
        <f t="shared" si="52"/>
        <v>1.9879765531062001</v>
      </c>
      <c r="P497">
        <f>[1]!XLSTAT_PDFWeibull(O497,5,1)</f>
        <v>2.5582112681227935E-12</v>
      </c>
      <c r="Q497">
        <v>497</v>
      </c>
      <c r="S497">
        <f t="shared" si="53"/>
        <v>1.9879765531062001</v>
      </c>
      <c r="T497">
        <f>[1]!XLSTAT_PDFWeibull(S497,10,1)</f>
        <v>0</v>
      </c>
      <c r="U497">
        <v>497</v>
      </c>
      <c r="W497">
        <f t="shared" si="54"/>
        <v>1.9879765531062001</v>
      </c>
      <c r="X497">
        <f>[1]!XLSTAT_PDFWeibull(W497,10,5)</f>
        <v>4.9654476001610107E-4</v>
      </c>
      <c r="Y497">
        <v>497</v>
      </c>
      <c r="AA497">
        <f t="shared" si="55"/>
        <v>1.9879765531062001</v>
      </c>
      <c r="AB497">
        <f>[1]!XLSTAT_PDFWeibull(AA497,10,5)</f>
        <v>4.9654476001610107E-4</v>
      </c>
    </row>
    <row r="498" spans="1:28" x14ac:dyDescent="0.3">
      <c r="A498">
        <v>498</v>
      </c>
      <c r="C498">
        <f t="shared" si="49"/>
        <v>3.9679358717434807</v>
      </c>
      <c r="D498">
        <f>[1]!XLSTAT_PDFNormal(C498,0,1)</f>
        <v>1.520659766570758E-4</v>
      </c>
      <c r="E498">
        <v>498</v>
      </c>
      <c r="G498">
        <f t="shared" si="50"/>
        <v>1.9919843687374625</v>
      </c>
      <c r="H498">
        <f>[1]!XLSTAT_PDFWeibull(G498,1)</f>
        <v>0.13642444027289002</v>
      </c>
      <c r="I498">
        <v>498</v>
      </c>
      <c r="K498">
        <f t="shared" si="51"/>
        <v>1.9919843687374625</v>
      </c>
      <c r="L498">
        <f>[1]!XLSTAT_PDFWeibull(K498,1,1)</f>
        <v>0.13642444027289002</v>
      </c>
      <c r="M498">
        <v>498</v>
      </c>
      <c r="O498">
        <f t="shared" si="52"/>
        <v>1.9919843687374625</v>
      </c>
      <c r="P498">
        <f>[1]!XLSTAT_PDFWeibull(O498,5,1)</f>
        <v>1.883469037655376E-12</v>
      </c>
      <c r="Q498">
        <v>498</v>
      </c>
      <c r="S498">
        <f t="shared" si="53"/>
        <v>1.9919843687374625</v>
      </c>
      <c r="T498">
        <f>[1]!XLSTAT_PDFWeibull(S498,10,1)</f>
        <v>0</v>
      </c>
      <c r="U498">
        <v>498</v>
      </c>
      <c r="W498">
        <f t="shared" si="54"/>
        <v>1.9919843687374625</v>
      </c>
      <c r="X498">
        <f>[1]!XLSTAT_PDFWeibull(W498,10,5)</f>
        <v>5.056261719015091E-4</v>
      </c>
      <c r="Y498">
        <v>498</v>
      </c>
      <c r="AA498">
        <f t="shared" si="55"/>
        <v>1.9919843687374625</v>
      </c>
      <c r="AB498">
        <f>[1]!XLSTAT_PDFWeibull(AA498,10,5)</f>
        <v>5.056261719015091E-4</v>
      </c>
    </row>
    <row r="499" spans="1:28" x14ac:dyDescent="0.3">
      <c r="A499">
        <v>499</v>
      </c>
      <c r="C499">
        <f t="shared" si="49"/>
        <v>3.9839679358717373</v>
      </c>
      <c r="D499">
        <f>[1]!XLSTAT_PDFNormal(C499,0,1)</f>
        <v>1.4267534974105067E-4</v>
      </c>
      <c r="E499">
        <v>499</v>
      </c>
      <c r="G499">
        <f t="shared" si="50"/>
        <v>1.9959921843687252</v>
      </c>
      <c r="H499">
        <f>[1]!XLSTAT_PDFWeibull(G499,1)</f>
        <v>0.1358787704710642</v>
      </c>
      <c r="I499">
        <v>499</v>
      </c>
      <c r="K499">
        <f t="shared" si="51"/>
        <v>1.9959921843687252</v>
      </c>
      <c r="L499">
        <f>[1]!XLSTAT_PDFWeibull(K499,1,1)</f>
        <v>0.1358787704710642</v>
      </c>
      <c r="M499">
        <v>499</v>
      </c>
      <c r="O499">
        <f t="shared" si="52"/>
        <v>1.9959921843687252</v>
      </c>
      <c r="P499">
        <f>[1]!XLSTAT_PDFWeibull(O499,5,1)</f>
        <v>1.3831546843189739E-12</v>
      </c>
      <c r="Q499">
        <v>499</v>
      </c>
      <c r="S499">
        <f t="shared" si="53"/>
        <v>1.9959921843687252</v>
      </c>
      <c r="T499">
        <f>[1]!XLSTAT_PDFWeibull(S499,10,1)</f>
        <v>0</v>
      </c>
      <c r="U499">
        <v>499</v>
      </c>
      <c r="W499">
        <f t="shared" si="54"/>
        <v>1.9959921843687252</v>
      </c>
      <c r="X499">
        <f>[1]!XLSTAT_PDFWeibull(W499,10,5)</f>
        <v>5.1485489904191473E-4</v>
      </c>
      <c r="Y499">
        <v>499</v>
      </c>
      <c r="AA499">
        <f t="shared" si="55"/>
        <v>1.9959921843687252</v>
      </c>
      <c r="AB499">
        <f>[1]!XLSTAT_PDFWeibull(AA499,10,5)</f>
        <v>5.1485489904191473E-4</v>
      </c>
    </row>
    <row r="500" spans="1:28" x14ac:dyDescent="0.3">
      <c r="A500">
        <v>500</v>
      </c>
      <c r="C500">
        <f t="shared" si="49"/>
        <v>3.9999999999999938</v>
      </c>
      <c r="D500">
        <f>[1]!XLSTAT_PDFNormal(C500,0,1)</f>
        <v>1.338302257648887E-4</v>
      </c>
      <c r="E500">
        <v>500</v>
      </c>
      <c r="G500">
        <f t="shared" si="50"/>
        <v>1.9999999999999876</v>
      </c>
      <c r="H500">
        <f>[1]!XLSTAT_PDFWeibull(G500,1)</f>
        <v>0.13533528323661437</v>
      </c>
      <c r="I500">
        <v>500</v>
      </c>
      <c r="K500">
        <f t="shared" si="51"/>
        <v>1.9999999999999876</v>
      </c>
      <c r="L500">
        <f>[1]!XLSTAT_PDFWeibull(K500,1,1)</f>
        <v>0.13533528323661437</v>
      </c>
      <c r="M500">
        <v>500</v>
      </c>
      <c r="O500">
        <f t="shared" si="52"/>
        <v>1.9999999999999876</v>
      </c>
      <c r="P500">
        <f>[1]!XLSTAT_PDFWeibull(O500,5,1)</f>
        <v>1.0131332439285163E-12</v>
      </c>
      <c r="Q500">
        <v>500</v>
      </c>
      <c r="S500">
        <f t="shared" si="53"/>
        <v>1.9999999999999876</v>
      </c>
      <c r="T500">
        <f>[1]!XLSTAT_PDFWeibull(S500,10,1)</f>
        <v>0</v>
      </c>
      <c r="U500">
        <v>500</v>
      </c>
      <c r="W500">
        <f t="shared" si="54"/>
        <v>1.9999999999999876</v>
      </c>
      <c r="X500">
        <f>[1]!XLSTAT_PDFWeibull(W500,10,5)</f>
        <v>5.2423302730078558E-4</v>
      </c>
      <c r="Y500">
        <v>500</v>
      </c>
      <c r="AA500">
        <f t="shared" si="55"/>
        <v>1.9999999999999876</v>
      </c>
      <c r="AB500">
        <f>[1]!XLSTAT_PDFWeibull(AA500,10,5)</f>
        <v>5.2423302730078558E-4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84EC20-1CBC-4B12-91B0-1234E015FA72}">
  <sheetPr codeName="Sheet4_HID"/>
  <dimension ref="A1:P1000"/>
  <sheetViews>
    <sheetView workbookViewId="0">
      <selection activeCell="M1" sqref="M1"/>
    </sheetView>
  </sheetViews>
  <sheetFormatPr defaultRowHeight="14.4" x14ac:dyDescent="0.3"/>
  <sheetData>
    <row r="1" spans="1:16" x14ac:dyDescent="0.3">
      <c r="A1">
        <v>1</v>
      </c>
      <c r="B1">
        <f t="shared" ref="B1:B64" si="0">IF(-1^(INT(A1/2)+2)&gt;0,13+2*INT(A1/2-1/2)*0.006,-123456789)</f>
        <v>13</v>
      </c>
      <c r="C1">
        <f t="shared" ref="C1:C64" si="1">13+2*INT(A1/2-1/2)*0.006</f>
        <v>13</v>
      </c>
      <c r="D1">
        <f>[1]!XLSTAT_PDFGeneral(B1,14, 16, 1)</f>
        <v>4.4318484119380075E-3</v>
      </c>
      <c r="E1">
        <v>1</v>
      </c>
      <c r="G1">
        <f t="shared" ref="G1:G64" si="2">12+(E1-1)*0.0160320641282565</f>
        <v>12</v>
      </c>
      <c r="H1">
        <f>[1]!XLSTAT_PDFNormal(G1,16,1)</f>
        <v>1.3383022576488537E-4</v>
      </c>
      <c r="I1">
        <v>1</v>
      </c>
      <c r="J1">
        <f t="shared" ref="J1:J64" si="3">IF(-1^(INT(I1/2)+2)&gt;0,13+2*INT(I1/2-1/2)*-0.007,-123456789)</f>
        <v>13</v>
      </c>
      <c r="K1">
        <f t="shared" ref="K1:K64" si="4">13+2*INT(I1/2-1/2)*-0.007</f>
        <v>13</v>
      </c>
      <c r="L1">
        <f>[1]!XLSTAT_PDFGeneral(J1,17, 1)</f>
        <v>5.9077920724376298E-11</v>
      </c>
      <c r="M1">
        <v>1</v>
      </c>
      <c r="O1">
        <f t="shared" ref="O1:O64" si="5">0+(M1-1)*0.0120240480961924</f>
        <v>0</v>
      </c>
      <c r="P1">
        <f>[1]!XLSTAT_PDFPoisson(O1,1)</f>
        <v>0.36787944117144233</v>
      </c>
    </row>
    <row r="2" spans="1:16" x14ac:dyDescent="0.3">
      <c r="A2">
        <v>2</v>
      </c>
      <c r="B2">
        <f t="shared" si="0"/>
        <v>-123456789</v>
      </c>
      <c r="C2">
        <f t="shared" si="1"/>
        <v>13</v>
      </c>
      <c r="D2">
        <f>[1]!XLSTAT_PDFGeneral(B2,14, 16, 1)</f>
        <v>0</v>
      </c>
      <c r="E2">
        <v>2</v>
      </c>
      <c r="G2">
        <f t="shared" si="2"/>
        <v>12.016032064128256</v>
      </c>
      <c r="H2">
        <f>[1]!XLSTAT_PDFNormal(G2,16,1)</f>
        <v>1.4267534974104663E-4</v>
      </c>
      <c r="I2">
        <v>2</v>
      </c>
      <c r="J2">
        <f t="shared" si="3"/>
        <v>-123456789</v>
      </c>
      <c r="K2">
        <f t="shared" si="4"/>
        <v>13</v>
      </c>
      <c r="L2">
        <f>[1]!XLSTAT_PDFGeneral(J2,17, 1)</f>
        <v>0</v>
      </c>
      <c r="M2">
        <v>2</v>
      </c>
      <c r="O2">
        <f t="shared" si="5"/>
        <v>1.20240480961924E-2</v>
      </c>
      <c r="P2">
        <f>[1]!XLSTAT_PDFPoisson(O2,1)</f>
        <v>0.36787944117144233</v>
      </c>
    </row>
    <row r="3" spans="1:16" x14ac:dyDescent="0.3">
      <c r="A3">
        <v>3</v>
      </c>
      <c r="B3">
        <f t="shared" si="0"/>
        <v>-123456789</v>
      </c>
      <c r="C3">
        <f t="shared" si="1"/>
        <v>13.012</v>
      </c>
      <c r="D3">
        <f>[1]!XLSTAT_PDFGeneral(B3,14, 16, 1)</f>
        <v>0</v>
      </c>
      <c r="E3">
        <v>3</v>
      </c>
      <c r="G3">
        <f t="shared" si="2"/>
        <v>12.032064128256513</v>
      </c>
      <c r="H3">
        <f>[1]!XLSTAT_PDFNormal(G3,16,1)</f>
        <v>1.52065976657072E-4</v>
      </c>
      <c r="I3">
        <v>3</v>
      </c>
      <c r="J3">
        <f t="shared" si="3"/>
        <v>-123456789</v>
      </c>
      <c r="K3">
        <f t="shared" si="4"/>
        <v>12.986000000000001</v>
      </c>
      <c r="L3">
        <f>[1]!XLSTAT_PDFGeneral(J3,17, 1)</f>
        <v>0</v>
      </c>
      <c r="M3">
        <v>3</v>
      </c>
      <c r="O3">
        <f t="shared" si="5"/>
        <v>2.4048096192384801E-2</v>
      </c>
      <c r="P3">
        <f>[1]!XLSTAT_PDFPoisson(O3,1)</f>
        <v>0.36787944117144233</v>
      </c>
    </row>
    <row r="4" spans="1:16" x14ac:dyDescent="0.3">
      <c r="A4">
        <v>4</v>
      </c>
      <c r="B4">
        <f t="shared" si="0"/>
        <v>13.012</v>
      </c>
      <c r="C4">
        <f t="shared" si="1"/>
        <v>13.012</v>
      </c>
      <c r="D4">
        <f>[1]!XLSTAT_PDFGeneral(B4,14, 16, 1)</f>
        <v>4.5939707891923766E-3</v>
      </c>
      <c r="E4">
        <v>4</v>
      </c>
      <c r="G4">
        <f t="shared" si="2"/>
        <v>12.048096192384769</v>
      </c>
      <c r="H4">
        <f>[1]!XLSTAT_PDFNormal(G4,16,1)</f>
        <v>1.6203302499301117E-4</v>
      </c>
      <c r="I4">
        <v>4</v>
      </c>
      <c r="J4">
        <f t="shared" si="3"/>
        <v>12.986000000000001</v>
      </c>
      <c r="K4">
        <f t="shared" si="4"/>
        <v>12.986000000000001</v>
      </c>
      <c r="L4">
        <f>[1]!XLSTAT_PDFGeneral(J4,17, 1)</f>
        <v>7.6801296941689207E-10</v>
      </c>
      <c r="M4">
        <v>4</v>
      </c>
      <c r="O4">
        <f t="shared" si="5"/>
        <v>3.6072144288577204E-2</v>
      </c>
      <c r="P4">
        <f>[1]!XLSTAT_PDFPoisson(O4,1)</f>
        <v>0.36787944117144233</v>
      </c>
    </row>
    <row r="5" spans="1:16" x14ac:dyDescent="0.3">
      <c r="A5">
        <v>5</v>
      </c>
      <c r="B5">
        <f t="shared" si="0"/>
        <v>13.023999999999999</v>
      </c>
      <c r="C5">
        <f t="shared" si="1"/>
        <v>13.023999999999999</v>
      </c>
      <c r="D5">
        <f>[1]!XLSTAT_PDFGeneral(B5,14, 16, 1)</f>
        <v>4.7613381171109923E-3</v>
      </c>
      <c r="E5">
        <v>5</v>
      </c>
      <c r="G5">
        <f t="shared" si="2"/>
        <v>12.064128256513026</v>
      </c>
      <c r="H5">
        <f>[1]!XLSTAT_PDFNormal(G5,16,1)</f>
        <v>1.7260898501672681E-4</v>
      </c>
      <c r="I5">
        <v>5</v>
      </c>
      <c r="J5">
        <f t="shared" si="3"/>
        <v>12.972</v>
      </c>
      <c r="K5">
        <f t="shared" si="4"/>
        <v>12.972</v>
      </c>
      <c r="L5">
        <f>[1]!XLSTAT_PDFGeneral(J5,17, 1)</f>
        <v>7.6801296941689207E-10</v>
      </c>
      <c r="M5">
        <v>5</v>
      </c>
      <c r="O5">
        <f t="shared" si="5"/>
        <v>4.8096192384769601E-2</v>
      </c>
      <c r="P5">
        <f>[1]!XLSTAT_PDFPoisson(O5,1)</f>
        <v>0.36787944117144233</v>
      </c>
    </row>
    <row r="6" spans="1:16" x14ac:dyDescent="0.3">
      <c r="A6">
        <v>6</v>
      </c>
      <c r="B6">
        <f t="shared" si="0"/>
        <v>-123456789</v>
      </c>
      <c r="C6">
        <f t="shared" si="1"/>
        <v>13.023999999999999</v>
      </c>
      <c r="D6">
        <f>[1]!XLSTAT_PDFGeneral(B6,14, 16, 1)</f>
        <v>0</v>
      </c>
      <c r="E6">
        <v>6</v>
      </c>
      <c r="G6">
        <f t="shared" si="2"/>
        <v>12.080160320641282</v>
      </c>
      <c r="H6">
        <f>[1]!XLSTAT_PDFNormal(G6,16,1)</f>
        <v>1.838279873165142E-4</v>
      </c>
      <c r="I6">
        <v>6</v>
      </c>
      <c r="J6">
        <f t="shared" si="3"/>
        <v>-123456789</v>
      </c>
      <c r="K6">
        <f t="shared" si="4"/>
        <v>12.972</v>
      </c>
      <c r="L6">
        <f>[1]!XLSTAT_PDFGeneral(J6,17, 1)</f>
        <v>0</v>
      </c>
      <c r="M6">
        <v>6</v>
      </c>
      <c r="O6">
        <f t="shared" si="5"/>
        <v>6.0120240480961998E-2</v>
      </c>
      <c r="P6">
        <f>[1]!XLSTAT_PDFPoisson(O6,1)</f>
        <v>0.36787944117144233</v>
      </c>
    </row>
    <row r="7" spans="1:16" x14ac:dyDescent="0.3">
      <c r="A7">
        <v>7</v>
      </c>
      <c r="B7">
        <f t="shared" si="0"/>
        <v>-123456789</v>
      </c>
      <c r="C7">
        <f t="shared" si="1"/>
        <v>13.036</v>
      </c>
      <c r="D7">
        <f>[1]!XLSTAT_PDFGeneral(B7,14, 16, 1)</f>
        <v>0</v>
      </c>
      <c r="E7">
        <v>7</v>
      </c>
      <c r="G7">
        <f t="shared" si="2"/>
        <v>12.096192384769539</v>
      </c>
      <c r="H7">
        <f>[1]!XLSTAT_PDFNormal(G7,16,1)</f>
        <v>1.9572587364005087E-4</v>
      </c>
      <c r="I7">
        <v>7</v>
      </c>
      <c r="J7">
        <f t="shared" si="3"/>
        <v>-123456789</v>
      </c>
      <c r="K7">
        <f t="shared" si="4"/>
        <v>12.958</v>
      </c>
      <c r="L7">
        <f>[1]!XLSTAT_PDFGeneral(J7,17, 1)</f>
        <v>0</v>
      </c>
      <c r="M7">
        <v>7</v>
      </c>
      <c r="O7">
        <f t="shared" si="5"/>
        <v>7.2144288577154408E-2</v>
      </c>
      <c r="P7">
        <f>[1]!XLSTAT_PDFPoisson(O7,1)</f>
        <v>0.36787944117144233</v>
      </c>
    </row>
    <row r="8" spans="1:16" x14ac:dyDescent="0.3">
      <c r="A8">
        <v>8</v>
      </c>
      <c r="B8">
        <f t="shared" si="0"/>
        <v>13.036</v>
      </c>
      <c r="C8">
        <f t="shared" si="1"/>
        <v>13.036</v>
      </c>
      <c r="D8">
        <f>[1]!XLSTAT_PDFGeneral(B8,14, 16, 1)</f>
        <v>4.9340924031904968E-3</v>
      </c>
      <c r="E8">
        <v>8</v>
      </c>
      <c r="G8">
        <f t="shared" si="2"/>
        <v>12.112224448897795</v>
      </c>
      <c r="H8">
        <f>[1]!XLSTAT_PDFNormal(G8,16,1)</f>
        <v>2.0834027007741543E-4</v>
      </c>
      <c r="I8">
        <v>8</v>
      </c>
      <c r="J8">
        <f t="shared" si="3"/>
        <v>12.958</v>
      </c>
      <c r="K8">
        <f t="shared" si="4"/>
        <v>12.958</v>
      </c>
      <c r="L8">
        <f>[1]!XLSTAT_PDFGeneral(J8,17, 1)</f>
        <v>7.6801296941689207E-10</v>
      </c>
      <c r="M8">
        <v>8</v>
      </c>
      <c r="O8">
        <f t="shared" si="5"/>
        <v>8.4168336673346805E-2</v>
      </c>
      <c r="P8">
        <f>[1]!XLSTAT_PDFPoisson(O8,1)</f>
        <v>0.36787944117144233</v>
      </c>
    </row>
    <row r="9" spans="1:16" x14ac:dyDescent="0.3">
      <c r="A9">
        <v>9</v>
      </c>
      <c r="B9">
        <f t="shared" si="0"/>
        <v>13.048</v>
      </c>
      <c r="C9">
        <f t="shared" si="1"/>
        <v>13.048</v>
      </c>
      <c r="D9">
        <f>[1]!XLSTAT_PDFGeneral(B9,14, 16, 1)</f>
        <v>5.1123784487336638E-3</v>
      </c>
      <c r="E9">
        <v>9</v>
      </c>
      <c r="G9">
        <f t="shared" si="2"/>
        <v>12.128256513026052</v>
      </c>
      <c r="H9">
        <f>[1]!XLSTAT_PDFNormal(G9,16,1)</f>
        <v>2.2171066262409103E-4</v>
      </c>
      <c r="I9">
        <v>9</v>
      </c>
      <c r="J9">
        <f t="shared" si="3"/>
        <v>12.944000000000001</v>
      </c>
      <c r="K9">
        <f t="shared" si="4"/>
        <v>12.944000000000001</v>
      </c>
      <c r="L9">
        <f>[1]!XLSTAT_PDFGeneral(J9,17, 1)</f>
        <v>7.6801296941689207E-10</v>
      </c>
      <c r="M9">
        <v>9</v>
      </c>
      <c r="O9">
        <f t="shared" si="5"/>
        <v>9.6192384769539202E-2</v>
      </c>
      <c r="P9">
        <f>[1]!XLSTAT_PDFPoisson(O9,1)</f>
        <v>0.36787944117144233</v>
      </c>
    </row>
    <row r="10" spans="1:16" x14ac:dyDescent="0.3">
      <c r="A10">
        <v>10</v>
      </c>
      <c r="B10">
        <f t="shared" si="0"/>
        <v>-123456789</v>
      </c>
      <c r="C10">
        <f t="shared" si="1"/>
        <v>13.048</v>
      </c>
      <c r="D10">
        <f>[1]!XLSTAT_PDFGeneral(B10,14, 16, 1)</f>
        <v>0</v>
      </c>
      <c r="E10">
        <v>10</v>
      </c>
      <c r="G10">
        <f t="shared" si="2"/>
        <v>12.144288577154308</v>
      </c>
      <c r="H10">
        <f>[1]!XLSTAT_PDFNormal(G10,16,1)</f>
        <v>2.3587847515770688E-4</v>
      </c>
      <c r="I10">
        <v>10</v>
      </c>
      <c r="J10">
        <f t="shared" si="3"/>
        <v>-123456789</v>
      </c>
      <c r="K10">
        <f t="shared" si="4"/>
        <v>12.944000000000001</v>
      </c>
      <c r="L10">
        <f>[1]!XLSTAT_PDFGeneral(J10,17, 1)</f>
        <v>0</v>
      </c>
      <c r="M10">
        <v>10</v>
      </c>
      <c r="O10">
        <f t="shared" si="5"/>
        <v>0.1082164328657316</v>
      </c>
      <c r="P10">
        <f>[1]!XLSTAT_PDFPoisson(O10,1)</f>
        <v>0.36787944117144233</v>
      </c>
    </row>
    <row r="11" spans="1:16" x14ac:dyDescent="0.3">
      <c r="A11">
        <v>11</v>
      </c>
      <c r="B11">
        <f t="shared" si="0"/>
        <v>-123456789</v>
      </c>
      <c r="C11">
        <f t="shared" si="1"/>
        <v>13.06</v>
      </c>
      <c r="D11">
        <f>[1]!XLSTAT_PDFGeneral(B11,14, 16, 1)</f>
        <v>0</v>
      </c>
      <c r="E11">
        <v>11</v>
      </c>
      <c r="G11">
        <f t="shared" si="2"/>
        <v>12.160320641282565</v>
      </c>
      <c r="H11">
        <f>[1]!XLSTAT_PDFNormal(G11,16,1)</f>
        <v>2.5088714986004981E-4</v>
      </c>
      <c r="I11">
        <v>11</v>
      </c>
      <c r="J11">
        <f t="shared" si="3"/>
        <v>-123456789</v>
      </c>
      <c r="K11">
        <f t="shared" si="4"/>
        <v>12.93</v>
      </c>
      <c r="L11">
        <f>[1]!XLSTAT_PDFGeneral(J11,17, 1)</f>
        <v>0</v>
      </c>
      <c r="M11">
        <v>11</v>
      </c>
      <c r="O11">
        <f t="shared" si="5"/>
        <v>0.120240480961924</v>
      </c>
      <c r="P11">
        <f>[1]!XLSTAT_PDFPoisson(O11,1)</f>
        <v>0.36787944117144233</v>
      </c>
    </row>
    <row r="12" spans="1:16" x14ac:dyDescent="0.3">
      <c r="A12">
        <v>12</v>
      </c>
      <c r="B12">
        <f t="shared" si="0"/>
        <v>13.06</v>
      </c>
      <c r="C12">
        <f t="shared" si="1"/>
        <v>13.06</v>
      </c>
      <c r="D12">
        <f>[1]!XLSTAT_PDFGeneral(B12,14, 16, 1)</f>
        <v>5.2963438653110245E-3</v>
      </c>
      <c r="E12">
        <v>12</v>
      </c>
      <c r="G12">
        <f t="shared" si="2"/>
        <v>12.176352705410821</v>
      </c>
      <c r="H12">
        <f>[1]!XLSTAT_PDFNormal(G12,16,1)</f>
        <v>2.6678223011328039E-4</v>
      </c>
      <c r="I12">
        <v>12</v>
      </c>
      <c r="J12">
        <f t="shared" si="3"/>
        <v>12.93</v>
      </c>
      <c r="K12">
        <f t="shared" si="4"/>
        <v>12.93</v>
      </c>
      <c r="L12">
        <f>[1]!XLSTAT_PDFGeneral(J12,17, 1)</f>
        <v>7.6801296941689207E-10</v>
      </c>
      <c r="M12">
        <v>12</v>
      </c>
      <c r="O12">
        <f t="shared" si="5"/>
        <v>0.13226452905811639</v>
      </c>
      <c r="P12">
        <f>[1]!XLSTAT_PDFPoisson(O12,1)</f>
        <v>0.36787944117144233</v>
      </c>
    </row>
    <row r="13" spans="1:16" x14ac:dyDescent="0.3">
      <c r="A13">
        <v>13</v>
      </c>
      <c r="B13">
        <f t="shared" si="0"/>
        <v>13.071999999999999</v>
      </c>
      <c r="C13">
        <f t="shared" si="1"/>
        <v>13.071999999999999</v>
      </c>
      <c r="D13">
        <f>[1]!XLSTAT_PDFGeneral(B13,14, 16, 1)</f>
        <v>5.4861390897587908E-3</v>
      </c>
      <c r="E13">
        <v>13</v>
      </c>
      <c r="G13">
        <f t="shared" si="2"/>
        <v>12.192384769539078</v>
      </c>
      <c r="H13">
        <f>[1]!XLSTAT_PDFNormal(G13,16,1)</f>
        <v>2.8361144589664471E-4</v>
      </c>
      <c r="I13">
        <v>13</v>
      </c>
      <c r="J13">
        <f t="shared" si="3"/>
        <v>12.916</v>
      </c>
      <c r="K13">
        <f t="shared" si="4"/>
        <v>12.916</v>
      </c>
      <c r="L13">
        <f>[1]!XLSTAT_PDFGeneral(J13,17, 1)</f>
        <v>7.6801296941689207E-10</v>
      </c>
      <c r="M13">
        <v>13</v>
      </c>
      <c r="O13">
        <f t="shared" si="5"/>
        <v>0.14428857715430882</v>
      </c>
      <c r="P13">
        <f>[1]!XLSTAT_PDFPoisson(O13,1)</f>
        <v>0.36787944117144233</v>
      </c>
    </row>
    <row r="14" spans="1:16" x14ac:dyDescent="0.3">
      <c r="A14">
        <v>14</v>
      </c>
      <c r="B14">
        <f t="shared" si="0"/>
        <v>-123456789</v>
      </c>
      <c r="C14">
        <f t="shared" si="1"/>
        <v>13.071999999999999</v>
      </c>
      <c r="D14">
        <f>[1]!XLSTAT_PDFGeneral(B14,14, 16, 1)</f>
        <v>0</v>
      </c>
      <c r="E14">
        <v>14</v>
      </c>
      <c r="G14">
        <f t="shared" si="2"/>
        <v>12.208416833667334</v>
      </c>
      <c r="H14">
        <f>[1]!XLSTAT_PDFNormal(G14,16,1)</f>
        <v>3.0142480170690692E-4</v>
      </c>
      <c r="I14">
        <v>14</v>
      </c>
      <c r="J14">
        <f t="shared" si="3"/>
        <v>-123456789</v>
      </c>
      <c r="K14">
        <f t="shared" si="4"/>
        <v>12.916</v>
      </c>
      <c r="L14">
        <f>[1]!XLSTAT_PDFGeneral(J14,17, 1)</f>
        <v>0</v>
      </c>
      <c r="M14">
        <v>14</v>
      </c>
      <c r="O14">
        <f t="shared" si="5"/>
        <v>0.15631262525050121</v>
      </c>
      <c r="P14">
        <f>[1]!XLSTAT_PDFPoisson(O14,1)</f>
        <v>0.36787944117144233</v>
      </c>
    </row>
    <row r="15" spans="1:16" x14ac:dyDescent="0.3">
      <c r="A15">
        <v>15</v>
      </c>
      <c r="B15">
        <f t="shared" si="0"/>
        <v>-123456789</v>
      </c>
      <c r="C15">
        <f t="shared" si="1"/>
        <v>13.084</v>
      </c>
      <c r="D15">
        <f>[1]!XLSTAT_PDFGeneral(B15,14, 16, 1)</f>
        <v>0</v>
      </c>
      <c r="E15">
        <v>15</v>
      </c>
      <c r="G15">
        <f t="shared" si="2"/>
        <v>12.224448897795591</v>
      </c>
      <c r="H15">
        <f>[1]!XLSTAT_PDFNormal(G15,16,1)</f>
        <v>3.2027466702263163E-4</v>
      </c>
      <c r="I15">
        <v>15</v>
      </c>
      <c r="J15">
        <f t="shared" si="3"/>
        <v>-123456789</v>
      </c>
      <c r="K15">
        <f t="shared" si="4"/>
        <v>12.901999999999999</v>
      </c>
      <c r="L15">
        <f>[1]!XLSTAT_PDFGeneral(J15,17, 1)</f>
        <v>0</v>
      </c>
      <c r="M15">
        <v>15</v>
      </c>
      <c r="O15">
        <f t="shared" si="5"/>
        <v>0.16833667334669361</v>
      </c>
      <c r="P15">
        <f>[1]!XLSTAT_PDFPoisson(O15,1)</f>
        <v>0.36787944117144233</v>
      </c>
    </row>
    <row r="16" spans="1:16" x14ac:dyDescent="0.3">
      <c r="A16">
        <v>16</v>
      </c>
      <c r="B16">
        <f t="shared" si="0"/>
        <v>13.084</v>
      </c>
      <c r="C16">
        <f t="shared" si="1"/>
        <v>13.084</v>
      </c>
      <c r="D16">
        <f>[1]!XLSTAT_PDFGeneral(B16,14, 16, 1)</f>
        <v>5.6819173976473672E-3</v>
      </c>
      <c r="E16">
        <v>16</v>
      </c>
      <c r="G16">
        <f t="shared" si="2"/>
        <v>12.240480961923847</v>
      </c>
      <c r="H16">
        <f>[1]!XLSTAT_PDFNormal(G16,16,1)</f>
        <v>3.402158693288796E-4</v>
      </c>
      <c r="I16">
        <v>16</v>
      </c>
      <c r="J16">
        <f t="shared" si="3"/>
        <v>12.901999999999999</v>
      </c>
      <c r="K16">
        <f t="shared" si="4"/>
        <v>12.901999999999999</v>
      </c>
      <c r="L16">
        <f>[1]!XLSTAT_PDFGeneral(J16,17, 1)</f>
        <v>7.6801296941689207E-10</v>
      </c>
      <c r="M16">
        <v>16</v>
      </c>
      <c r="O16">
        <f t="shared" si="5"/>
        <v>0.18036072144288601</v>
      </c>
      <c r="P16">
        <f>[1]!XLSTAT_PDFPoisson(O16,1)</f>
        <v>0.36787944117144233</v>
      </c>
    </row>
    <row r="17" spans="1:16" x14ac:dyDescent="0.3">
      <c r="A17">
        <v>17</v>
      </c>
      <c r="B17">
        <f t="shared" si="0"/>
        <v>13.096</v>
      </c>
      <c r="C17">
        <f t="shared" si="1"/>
        <v>13.096</v>
      </c>
      <c r="D17">
        <f>[1]!XLSTAT_PDFGeneral(B17,14, 16, 1)</f>
        <v>5.883834915153101E-3</v>
      </c>
      <c r="E17">
        <v>17</v>
      </c>
      <c r="G17">
        <f t="shared" si="2"/>
        <v>12.256513026052104</v>
      </c>
      <c r="H17">
        <f>[1]!XLSTAT_PDFNormal(G17,16,1)</f>
        <v>3.6130578971529953E-4</v>
      </c>
      <c r="I17">
        <v>17</v>
      </c>
      <c r="J17">
        <f t="shared" si="3"/>
        <v>12.888</v>
      </c>
      <c r="K17">
        <f t="shared" si="4"/>
        <v>12.888</v>
      </c>
      <c r="L17">
        <f>[1]!XLSTAT_PDFGeneral(J17,17, 1)</f>
        <v>7.6801296941689207E-10</v>
      </c>
      <c r="M17">
        <v>17</v>
      </c>
      <c r="O17">
        <f t="shared" si="5"/>
        <v>0.1923847695390784</v>
      </c>
      <c r="P17">
        <f>[1]!XLSTAT_PDFPoisson(O17,1)</f>
        <v>0.36787944117144233</v>
      </c>
    </row>
    <row r="18" spans="1:16" x14ac:dyDescent="0.3">
      <c r="A18">
        <v>18</v>
      </c>
      <c r="B18">
        <f t="shared" si="0"/>
        <v>-123456789</v>
      </c>
      <c r="C18">
        <f t="shared" si="1"/>
        <v>13.096</v>
      </c>
      <c r="D18">
        <f>[1]!XLSTAT_PDFGeneral(B18,14, 16, 1)</f>
        <v>0</v>
      </c>
      <c r="E18">
        <v>18</v>
      </c>
      <c r="G18">
        <f t="shared" si="2"/>
        <v>12.27254509018036</v>
      </c>
      <c r="H18">
        <f>[1]!XLSTAT_PDFNormal(G18,16,1)</f>
        <v>3.8360446105650987E-4</v>
      </c>
      <c r="I18">
        <v>18</v>
      </c>
      <c r="J18">
        <f t="shared" si="3"/>
        <v>-123456789</v>
      </c>
      <c r="K18">
        <f t="shared" si="4"/>
        <v>12.888</v>
      </c>
      <c r="L18">
        <f>[1]!XLSTAT_PDFGeneral(J18,17, 1)</f>
        <v>0</v>
      </c>
      <c r="M18">
        <v>18</v>
      </c>
      <c r="O18">
        <f t="shared" si="5"/>
        <v>0.2044088176352708</v>
      </c>
      <c r="P18">
        <f>[1]!XLSTAT_PDFPoisson(O18,1)</f>
        <v>0.36787944117144233</v>
      </c>
    </row>
    <row r="19" spans="1:16" x14ac:dyDescent="0.3">
      <c r="A19">
        <v>19</v>
      </c>
      <c r="B19">
        <f t="shared" si="0"/>
        <v>-123456789</v>
      </c>
      <c r="C19">
        <f t="shared" si="1"/>
        <v>13.108000000000001</v>
      </c>
      <c r="D19">
        <f>[1]!XLSTAT_PDFGeneral(B19,14, 16, 1)</f>
        <v>0</v>
      </c>
      <c r="E19">
        <v>19</v>
      </c>
      <c r="G19">
        <f t="shared" si="2"/>
        <v>12.288577154308618</v>
      </c>
      <c r="H19">
        <f>[1]!XLSTAT_PDFNormal(G19,16,1)</f>
        <v>4.0717466877956612E-4</v>
      </c>
      <c r="I19">
        <v>19</v>
      </c>
      <c r="J19">
        <f t="shared" si="3"/>
        <v>-123456789</v>
      </c>
      <c r="K19">
        <f t="shared" si="4"/>
        <v>12.874000000000001</v>
      </c>
      <c r="L19">
        <f>[1]!XLSTAT_PDFGeneral(J19,17, 1)</f>
        <v>0</v>
      </c>
      <c r="M19">
        <v>19</v>
      </c>
      <c r="O19">
        <f t="shared" si="5"/>
        <v>0.2164328657314632</v>
      </c>
      <c r="P19">
        <f>[1]!XLSTAT_PDFPoisson(O19,1)</f>
        <v>0.36787944117144233</v>
      </c>
    </row>
    <row r="20" spans="1:16" x14ac:dyDescent="0.3">
      <c r="A20">
        <v>20</v>
      </c>
      <c r="B20">
        <f t="shared" si="0"/>
        <v>13.108000000000001</v>
      </c>
      <c r="C20">
        <f t="shared" si="1"/>
        <v>13.108000000000001</v>
      </c>
      <c r="D20">
        <f>[1]!XLSTAT_PDFGeneral(B20,14, 16, 1)</f>
        <v>6.0920506292661868E-3</v>
      </c>
      <c r="E20">
        <v>20</v>
      </c>
      <c r="G20">
        <f t="shared" si="2"/>
        <v>12.304609218436873</v>
      </c>
      <c r="H20">
        <f>[1]!XLSTAT_PDFNormal(G20,16,1)</f>
        <v>4.3208205421867249E-4</v>
      </c>
      <c r="I20">
        <v>20</v>
      </c>
      <c r="J20">
        <f t="shared" si="3"/>
        <v>12.874000000000001</v>
      </c>
      <c r="K20">
        <f t="shared" si="4"/>
        <v>12.874000000000001</v>
      </c>
      <c r="L20">
        <f>[1]!XLSTAT_PDFGeneral(J20,17, 1)</f>
        <v>7.6801296941689207E-10</v>
      </c>
      <c r="M20">
        <v>20</v>
      </c>
      <c r="O20">
        <f t="shared" si="5"/>
        <v>0.22845691382765559</v>
      </c>
      <c r="P20">
        <f>[1]!XLSTAT_PDFPoisson(O20,1)</f>
        <v>0.36787944117144233</v>
      </c>
    </row>
    <row r="21" spans="1:16" x14ac:dyDescent="0.3">
      <c r="A21">
        <v>21</v>
      </c>
      <c r="B21">
        <f t="shared" si="0"/>
        <v>13.12</v>
      </c>
      <c r="C21">
        <f t="shared" si="1"/>
        <v>13.12</v>
      </c>
      <c r="D21">
        <f>[1]!XLSTAT_PDFGeneral(B21,14, 16, 1)</f>
        <v>6.3067263962659111E-3</v>
      </c>
      <c r="E21">
        <v>21</v>
      </c>
      <c r="G21">
        <f t="shared" si="2"/>
        <v>12.320641282565131</v>
      </c>
      <c r="H21">
        <f>[1]!XLSTAT_PDFNormal(G21,16,1)</f>
        <v>4.583952205526534E-4</v>
      </c>
      <c r="I21">
        <v>21</v>
      </c>
      <c r="J21">
        <f t="shared" si="3"/>
        <v>12.86</v>
      </c>
      <c r="K21">
        <f t="shared" si="4"/>
        <v>12.86</v>
      </c>
      <c r="L21">
        <f>[1]!XLSTAT_PDFGeneral(J21,17, 1)</f>
        <v>7.6801296941689207E-10</v>
      </c>
      <c r="M21">
        <v>21</v>
      </c>
      <c r="O21">
        <f t="shared" si="5"/>
        <v>0.24048096192384799</v>
      </c>
      <c r="P21">
        <f>[1]!XLSTAT_PDFPoisson(O21,1)</f>
        <v>0.36787944117144233</v>
      </c>
    </row>
    <row r="22" spans="1:16" x14ac:dyDescent="0.3">
      <c r="A22">
        <v>22</v>
      </c>
      <c r="B22">
        <f t="shared" si="0"/>
        <v>-123456789</v>
      </c>
      <c r="C22">
        <f t="shared" si="1"/>
        <v>13.12</v>
      </c>
      <c r="D22">
        <f>[1]!XLSTAT_PDFGeneral(B22,14, 16, 1)</f>
        <v>0</v>
      </c>
      <c r="E22">
        <v>22</v>
      </c>
      <c r="G22">
        <f t="shared" si="2"/>
        <v>12.336673346693386</v>
      </c>
      <c r="H22">
        <f>[1]!XLSTAT_PDFNormal(G22,16,1)</f>
        <v>4.8618584131548617E-4</v>
      </c>
      <c r="I22">
        <v>22</v>
      </c>
      <c r="J22">
        <f t="shared" si="3"/>
        <v>-123456789</v>
      </c>
      <c r="K22">
        <f t="shared" si="4"/>
        <v>12.86</v>
      </c>
      <c r="L22">
        <f>[1]!XLSTAT_PDFGeneral(J22,17, 1)</f>
        <v>0</v>
      </c>
      <c r="M22">
        <v>22</v>
      </c>
      <c r="O22">
        <f t="shared" si="5"/>
        <v>0.25250501002004039</v>
      </c>
      <c r="P22">
        <f>[1]!XLSTAT_PDFPoisson(O22,1)</f>
        <v>0.36787944117144233</v>
      </c>
    </row>
    <row r="23" spans="1:16" x14ac:dyDescent="0.3">
      <c r="A23">
        <v>23</v>
      </c>
      <c r="B23">
        <f t="shared" si="0"/>
        <v>-123456789</v>
      </c>
      <c r="C23">
        <f t="shared" si="1"/>
        <v>13.132</v>
      </c>
      <c r="D23">
        <f>[1]!XLSTAT_PDFGeneral(B23,14, 16, 1)</f>
        <v>0</v>
      </c>
      <c r="E23">
        <v>23</v>
      </c>
      <c r="G23">
        <f t="shared" si="2"/>
        <v>12.352705410821644</v>
      </c>
      <c r="H23">
        <f>[1]!XLSTAT_PDFNormal(G23,16,1)</f>
        <v>5.1552877146499672E-4</v>
      </c>
      <c r="I23">
        <v>23</v>
      </c>
      <c r="J23">
        <f t="shared" si="3"/>
        <v>-123456789</v>
      </c>
      <c r="K23">
        <f t="shared" si="4"/>
        <v>12.846</v>
      </c>
      <c r="L23">
        <f>[1]!XLSTAT_PDFGeneral(J23,17, 1)</f>
        <v>0</v>
      </c>
      <c r="M23">
        <v>23</v>
      </c>
      <c r="O23">
        <f t="shared" si="5"/>
        <v>0.26452905811623278</v>
      </c>
      <c r="P23">
        <f>[1]!XLSTAT_PDFPoisson(O23,1)</f>
        <v>0.36787944117144233</v>
      </c>
    </row>
    <row r="24" spans="1:16" x14ac:dyDescent="0.3">
      <c r="A24">
        <v>24</v>
      </c>
      <c r="B24">
        <f t="shared" si="0"/>
        <v>13.132</v>
      </c>
      <c r="C24">
        <f t="shared" si="1"/>
        <v>13.132</v>
      </c>
      <c r="D24">
        <f>[1]!XLSTAT_PDFGeneral(B24,14, 16, 1)</f>
        <v>6.5280269483946347E-3</v>
      </c>
      <c r="E24">
        <v>24</v>
      </c>
      <c r="G24">
        <f t="shared" si="2"/>
        <v>12.368737474949899</v>
      </c>
      <c r="H24">
        <f>[1]!XLSTAT_PDFNormal(G24,16,1)</f>
        <v>5.4650216098899571E-4</v>
      </c>
      <c r="I24">
        <v>24</v>
      </c>
      <c r="J24">
        <f t="shared" si="3"/>
        <v>12.846</v>
      </c>
      <c r="K24">
        <f t="shared" si="4"/>
        <v>12.846</v>
      </c>
      <c r="L24">
        <f>[1]!XLSTAT_PDFGeneral(J24,17, 1)</f>
        <v>7.6801296941689207E-10</v>
      </c>
      <c r="M24">
        <v>24</v>
      </c>
      <c r="O24">
        <f t="shared" si="5"/>
        <v>0.27655310621242518</v>
      </c>
      <c r="P24">
        <f>[1]!XLSTAT_PDFPoisson(O24,1)</f>
        <v>0.36787944117144233</v>
      </c>
    </row>
    <row r="25" spans="1:16" x14ac:dyDescent="0.3">
      <c r="A25">
        <v>25</v>
      </c>
      <c r="B25">
        <f t="shared" si="0"/>
        <v>13.144</v>
      </c>
      <c r="C25">
        <f t="shared" si="1"/>
        <v>13.144</v>
      </c>
      <c r="D25">
        <f>[1]!XLSTAT_PDFGeneral(B25,14, 16, 1)</f>
        <v>6.7561198986603012E-3</v>
      </c>
      <c r="E25">
        <v>25</v>
      </c>
      <c r="G25">
        <f t="shared" si="2"/>
        <v>12.384769539078157</v>
      </c>
      <c r="H25">
        <f>[1]!XLSTAT_PDFNormal(G25,16,1)</f>
        <v>5.791875710223557E-4</v>
      </c>
      <c r="I25">
        <v>25</v>
      </c>
      <c r="J25">
        <f t="shared" si="3"/>
        <v>12.832000000000001</v>
      </c>
      <c r="K25">
        <f t="shared" si="4"/>
        <v>12.832000000000001</v>
      </c>
      <c r="L25">
        <f>[1]!XLSTAT_PDFGeneral(J25,17, 1)</f>
        <v>7.6801296941689207E-10</v>
      </c>
      <c r="M25">
        <v>25</v>
      </c>
      <c r="O25">
        <f t="shared" si="5"/>
        <v>0.28857715430861763</v>
      </c>
      <c r="P25">
        <f>[1]!XLSTAT_PDFPoisson(O25,1)</f>
        <v>0.36787944117144233</v>
      </c>
    </row>
    <row r="26" spans="1:16" x14ac:dyDescent="0.3">
      <c r="A26">
        <v>26</v>
      </c>
      <c r="B26">
        <f t="shared" si="0"/>
        <v>-123456789</v>
      </c>
      <c r="C26">
        <f t="shared" si="1"/>
        <v>13.144</v>
      </c>
      <c r="D26">
        <f>[1]!XLSTAT_PDFGeneral(B26,14, 16, 1)</f>
        <v>0</v>
      </c>
      <c r="E26">
        <v>26</v>
      </c>
      <c r="G26">
        <f t="shared" si="2"/>
        <v>12.400801603206412</v>
      </c>
      <c r="H26">
        <f>[1]!XLSTAT_PDFNormal(G26,16,1)</f>
        <v>6.1367009244208532E-4</v>
      </c>
      <c r="I26">
        <v>26</v>
      </c>
      <c r="J26">
        <f t="shared" si="3"/>
        <v>-123456789</v>
      </c>
      <c r="K26">
        <f t="shared" si="4"/>
        <v>12.832000000000001</v>
      </c>
      <c r="L26">
        <f>[1]!XLSTAT_PDFGeneral(J26,17, 1)</f>
        <v>0</v>
      </c>
      <c r="M26">
        <v>26</v>
      </c>
      <c r="O26">
        <f t="shared" si="5"/>
        <v>0.30060120240481003</v>
      </c>
      <c r="P26">
        <f>[1]!XLSTAT_PDFPoisson(O26,1)</f>
        <v>0.36787944117144233</v>
      </c>
    </row>
    <row r="27" spans="1:16" x14ac:dyDescent="0.3">
      <c r="A27">
        <v>27</v>
      </c>
      <c r="B27">
        <f t="shared" si="0"/>
        <v>-123456789</v>
      </c>
      <c r="C27">
        <f t="shared" si="1"/>
        <v>13.156000000000001</v>
      </c>
      <c r="D27">
        <f>[1]!XLSTAT_PDFGeneral(B27,14, 16, 1)</f>
        <v>0</v>
      </c>
      <c r="E27">
        <v>27</v>
      </c>
      <c r="G27">
        <f t="shared" si="2"/>
        <v>12.41683366733467</v>
      </c>
      <c r="H27">
        <f>[1]!XLSTAT_PDFNormal(G27,16,1)</f>
        <v>6.5003846690108336E-4</v>
      </c>
      <c r="I27">
        <v>27</v>
      </c>
      <c r="J27">
        <f t="shared" si="3"/>
        <v>-123456789</v>
      </c>
      <c r="K27">
        <f t="shared" si="4"/>
        <v>12.818</v>
      </c>
      <c r="L27">
        <f>[1]!XLSTAT_PDFGeneral(J27,17, 1)</f>
        <v>0</v>
      </c>
      <c r="M27">
        <v>27</v>
      </c>
      <c r="O27">
        <f t="shared" si="5"/>
        <v>0.31262525050100243</v>
      </c>
      <c r="P27">
        <f>[1]!XLSTAT_PDFPoisson(O27,1)</f>
        <v>0.36787944117144233</v>
      </c>
    </row>
    <row r="28" spans="1:16" x14ac:dyDescent="0.3">
      <c r="A28">
        <v>28</v>
      </c>
      <c r="B28">
        <f t="shared" si="0"/>
        <v>13.156000000000001</v>
      </c>
      <c r="C28">
        <f t="shared" si="1"/>
        <v>13.156000000000001</v>
      </c>
      <c r="D28">
        <f>[1]!XLSTAT_PDFGeneral(B28,14, 16, 1)</f>
        <v>6.9911757436980334E-3</v>
      </c>
      <c r="E28">
        <v>28</v>
      </c>
      <c r="G28">
        <f t="shared" si="2"/>
        <v>12.432865731462925</v>
      </c>
      <c r="H28">
        <f>[1]!XLSTAT_PDFNormal(G28,16,1)</f>
        <v>6.8838521025416924E-4</v>
      </c>
      <c r="I28">
        <v>28</v>
      </c>
      <c r="J28">
        <f t="shared" si="3"/>
        <v>12.818</v>
      </c>
      <c r="K28">
        <f t="shared" si="4"/>
        <v>12.818</v>
      </c>
      <c r="L28">
        <f>[1]!XLSTAT_PDFGeneral(J28,17, 1)</f>
        <v>7.6801296941689207E-10</v>
      </c>
      <c r="M28">
        <v>28</v>
      </c>
      <c r="O28">
        <f t="shared" si="5"/>
        <v>0.32464929859719482</v>
      </c>
      <c r="P28">
        <f>[1]!XLSTAT_PDFPoisson(O28,1)</f>
        <v>0.36787944117144233</v>
      </c>
    </row>
    <row r="29" spans="1:16" x14ac:dyDescent="0.3">
      <c r="A29">
        <v>29</v>
      </c>
      <c r="B29">
        <f t="shared" si="0"/>
        <v>13.167999999999999</v>
      </c>
      <c r="C29">
        <f t="shared" si="1"/>
        <v>13.167999999999999</v>
      </c>
      <c r="D29">
        <f>[1]!XLSTAT_PDFGeneral(B29,14, 16, 1)</f>
        <v>7.2333678646196685E-3</v>
      </c>
      <c r="E29">
        <v>29</v>
      </c>
      <c r="G29">
        <f t="shared" si="2"/>
        <v>12.448897795591183</v>
      </c>
      <c r="H29">
        <f>[1]!XLSTAT_PDFNormal(G29,16,1)</f>
        <v>7.2880673832301701E-4</v>
      </c>
      <c r="I29">
        <v>29</v>
      </c>
      <c r="J29">
        <f t="shared" si="3"/>
        <v>12.804</v>
      </c>
      <c r="K29">
        <f t="shared" si="4"/>
        <v>12.804</v>
      </c>
      <c r="L29">
        <f>[1]!XLSTAT_PDFGeneral(J29,17, 1)</f>
        <v>7.6801296941689207E-10</v>
      </c>
      <c r="M29">
        <v>29</v>
      </c>
      <c r="O29">
        <f t="shared" si="5"/>
        <v>0.33667334669338722</v>
      </c>
      <c r="P29">
        <f>[1]!XLSTAT_PDFPoisson(O29,1)</f>
        <v>0.36787944117144233</v>
      </c>
    </row>
    <row r="30" spans="1:16" x14ac:dyDescent="0.3">
      <c r="A30">
        <v>30</v>
      </c>
      <c r="B30">
        <f t="shared" si="0"/>
        <v>-123456789</v>
      </c>
      <c r="C30">
        <f t="shared" si="1"/>
        <v>13.167999999999999</v>
      </c>
      <c r="D30">
        <f>[1]!XLSTAT_PDFGeneral(B30,14, 16, 1)</f>
        <v>0</v>
      </c>
      <c r="E30">
        <v>30</v>
      </c>
      <c r="G30">
        <f t="shared" si="2"/>
        <v>12.464929859719438</v>
      </c>
      <c r="H30">
        <f>[1]!XLSTAT_PDFNormal(G30,16,1)</f>
        <v>7.7140349493887638E-4</v>
      </c>
      <c r="I30">
        <v>30</v>
      </c>
      <c r="J30">
        <f t="shared" si="3"/>
        <v>-123456789</v>
      </c>
      <c r="K30">
        <f t="shared" si="4"/>
        <v>12.804</v>
      </c>
      <c r="L30">
        <f>[1]!XLSTAT_PDFGeneral(J30,17, 1)</f>
        <v>0</v>
      </c>
      <c r="M30">
        <v>30</v>
      </c>
      <c r="O30">
        <f t="shared" si="5"/>
        <v>0.34869739478957962</v>
      </c>
      <c r="P30">
        <f>[1]!XLSTAT_PDFPoisson(O30,1)</f>
        <v>0.36787944117144233</v>
      </c>
    </row>
    <row r="31" spans="1:16" x14ac:dyDescent="0.3">
      <c r="A31">
        <v>31</v>
      </c>
      <c r="B31">
        <f t="shared" si="0"/>
        <v>-123456789</v>
      </c>
      <c r="C31">
        <f t="shared" si="1"/>
        <v>13.18</v>
      </c>
      <c r="D31">
        <f>[1]!XLSTAT_PDFGeneral(B31,14, 16, 1)</f>
        <v>0</v>
      </c>
      <c r="E31">
        <v>31</v>
      </c>
      <c r="G31">
        <f t="shared" si="2"/>
        <v>12.480961923847696</v>
      </c>
      <c r="H31">
        <f>[1]!XLSTAT_PDFNormal(G31,16,1)</f>
        <v>8.1628008219438906E-4</v>
      </c>
      <c r="I31">
        <v>31</v>
      </c>
      <c r="J31">
        <f t="shared" si="3"/>
        <v>-123456789</v>
      </c>
      <c r="K31">
        <f t="shared" si="4"/>
        <v>12.79</v>
      </c>
      <c r="L31">
        <f>[1]!XLSTAT_PDFGeneral(J31,17, 1)</f>
        <v>0</v>
      </c>
      <c r="M31">
        <v>31</v>
      </c>
      <c r="O31">
        <f t="shared" si="5"/>
        <v>0.36072144288577201</v>
      </c>
      <c r="P31">
        <f>[1]!XLSTAT_PDFPoisson(O31,1)</f>
        <v>0.36787944117144233</v>
      </c>
    </row>
    <row r="32" spans="1:16" x14ac:dyDescent="0.3">
      <c r="A32">
        <v>32</v>
      </c>
      <c r="B32">
        <f t="shared" si="0"/>
        <v>13.18</v>
      </c>
      <c r="C32">
        <f t="shared" si="1"/>
        <v>13.18</v>
      </c>
      <c r="D32">
        <f>[1]!XLSTAT_PDFGeneral(B32,14, 16, 1)</f>
        <v>7.4828725257805534E-3</v>
      </c>
      <c r="E32">
        <v>32</v>
      </c>
      <c r="G32">
        <f t="shared" si="2"/>
        <v>12.496993987975952</v>
      </c>
      <c r="H32">
        <f>[1]!XLSTAT_PDFNormal(G32,16,1)</f>
        <v>8.6354539282741032E-4</v>
      </c>
      <c r="I32">
        <v>32</v>
      </c>
      <c r="J32">
        <f t="shared" si="3"/>
        <v>12.79</v>
      </c>
      <c r="K32">
        <f t="shared" si="4"/>
        <v>12.79</v>
      </c>
      <c r="L32">
        <f>[1]!XLSTAT_PDFGeneral(J32,17, 1)</f>
        <v>7.6801296941689207E-10</v>
      </c>
      <c r="M32">
        <v>32</v>
      </c>
      <c r="O32">
        <f t="shared" si="5"/>
        <v>0.37274549098196441</v>
      </c>
      <c r="P32">
        <f>[1]!XLSTAT_PDFPoisson(O32,1)</f>
        <v>0.36787944117144233</v>
      </c>
    </row>
    <row r="33" spans="1:16" x14ac:dyDescent="0.3">
      <c r="A33">
        <v>33</v>
      </c>
      <c r="B33">
        <f t="shared" si="0"/>
        <v>13.192</v>
      </c>
      <c r="C33">
        <f t="shared" si="1"/>
        <v>13.192</v>
      </c>
      <c r="D33">
        <f>[1]!XLSTAT_PDFGeneral(B33,14, 16, 1)</f>
        <v>7.739868871391698E-3</v>
      </c>
      <c r="E33">
        <v>33</v>
      </c>
      <c r="G33">
        <f t="shared" si="2"/>
        <v>12.513026052104209</v>
      </c>
      <c r="H33">
        <f>[1]!XLSTAT_PDFNormal(G33,16,1)</f>
        <v>9.1331274465156469E-4</v>
      </c>
      <c r="I33">
        <v>33</v>
      </c>
      <c r="J33">
        <f t="shared" si="3"/>
        <v>12.776</v>
      </c>
      <c r="K33">
        <f t="shared" si="4"/>
        <v>12.776</v>
      </c>
      <c r="L33">
        <f>[1]!XLSTAT_PDFGeneral(J33,17, 1)</f>
        <v>7.6801296941689207E-10</v>
      </c>
      <c r="M33">
        <v>33</v>
      </c>
      <c r="O33">
        <f t="shared" si="5"/>
        <v>0.38476953907815681</v>
      </c>
      <c r="P33">
        <f>[1]!XLSTAT_PDFPoisson(O33,1)</f>
        <v>0.36787944117144233</v>
      </c>
    </row>
    <row r="34" spans="1:16" x14ac:dyDescent="0.3">
      <c r="A34">
        <v>34</v>
      </c>
      <c r="B34">
        <f t="shared" si="0"/>
        <v>-123456789</v>
      </c>
      <c r="C34">
        <f t="shared" si="1"/>
        <v>13.192</v>
      </c>
      <c r="D34">
        <f>[1]!XLSTAT_PDFGeneral(B34,14, 16, 1)</f>
        <v>0</v>
      </c>
      <c r="E34">
        <v>34</v>
      </c>
      <c r="G34">
        <f t="shared" si="2"/>
        <v>12.529058116232465</v>
      </c>
      <c r="H34">
        <f>[1]!XLSTAT_PDFNormal(G34,16,1)</f>
        <v>9.657000169392137E-4</v>
      </c>
      <c r="I34">
        <v>34</v>
      </c>
      <c r="J34">
        <f t="shared" si="3"/>
        <v>-123456789</v>
      </c>
      <c r="K34">
        <f t="shared" si="4"/>
        <v>12.776</v>
      </c>
      <c r="L34">
        <f>[1]!XLSTAT_PDFGeneral(J34,17, 1)</f>
        <v>0</v>
      </c>
      <c r="M34">
        <v>34</v>
      </c>
      <c r="O34">
        <f t="shared" si="5"/>
        <v>0.3967935871743492</v>
      </c>
      <c r="P34">
        <f>[1]!XLSTAT_PDFPoisson(O34,1)</f>
        <v>0.36787944117144233</v>
      </c>
    </row>
    <row r="35" spans="1:16" x14ac:dyDescent="0.3">
      <c r="A35">
        <v>35</v>
      </c>
      <c r="B35">
        <f t="shared" si="0"/>
        <v>-123456789</v>
      </c>
      <c r="C35">
        <f t="shared" si="1"/>
        <v>13.204000000000001</v>
      </c>
      <c r="D35">
        <f>[1]!XLSTAT_PDFGeneral(B35,14, 16, 1)</f>
        <v>0</v>
      </c>
      <c r="E35">
        <v>35</v>
      </c>
      <c r="G35">
        <f t="shared" si="2"/>
        <v>12.54509018036072</v>
      </c>
      <c r="H35">
        <f>[1]!XLSTAT_PDFNormal(G35,16,1)</f>
        <v>1.0208297886537304E-3</v>
      </c>
      <c r="I35">
        <v>35</v>
      </c>
      <c r="J35">
        <f t="shared" si="3"/>
        <v>-123456789</v>
      </c>
      <c r="K35">
        <f t="shared" si="4"/>
        <v>12.762</v>
      </c>
      <c r="L35">
        <f>[1]!XLSTAT_PDFGeneral(J35,17, 1)</f>
        <v>0</v>
      </c>
      <c r="M35">
        <v>35</v>
      </c>
      <c r="O35">
        <f t="shared" si="5"/>
        <v>0.4088176352705416</v>
      </c>
      <c r="P35">
        <f>[1]!XLSTAT_PDFPoisson(O35,1)</f>
        <v>0.36787944117144233</v>
      </c>
    </row>
    <row r="36" spans="1:16" x14ac:dyDescent="0.3">
      <c r="A36">
        <v>36</v>
      </c>
      <c r="B36">
        <f t="shared" si="0"/>
        <v>13.204000000000001</v>
      </c>
      <c r="C36">
        <f t="shared" si="1"/>
        <v>13.204000000000001</v>
      </c>
      <c r="D36">
        <f>[1]!XLSTAT_PDFGeneral(B36,14, 16, 1)</f>
        <v>8.0045389199063371E-3</v>
      </c>
      <c r="E36">
        <v>36</v>
      </c>
      <c r="G36">
        <f t="shared" si="2"/>
        <v>12.561122244488978</v>
      </c>
      <c r="H36">
        <f>[1]!XLSTAT_PDFNormal(G36,16,1)</f>
        <v>1.0788294784183051E-3</v>
      </c>
      <c r="I36">
        <v>36</v>
      </c>
      <c r="J36">
        <f t="shared" si="3"/>
        <v>12.762</v>
      </c>
      <c r="K36">
        <f t="shared" si="4"/>
        <v>12.762</v>
      </c>
      <c r="L36">
        <f>[1]!XLSTAT_PDFGeneral(J36,17, 1)</f>
        <v>7.6801296941689207E-10</v>
      </c>
      <c r="M36">
        <v>36</v>
      </c>
      <c r="O36">
        <f t="shared" si="5"/>
        <v>0.420841683366734</v>
      </c>
      <c r="P36">
        <f>[1]!XLSTAT_PDFPoisson(O36,1)</f>
        <v>0.36787944117144233</v>
      </c>
    </row>
    <row r="37" spans="1:16" x14ac:dyDescent="0.3">
      <c r="A37">
        <v>37</v>
      </c>
      <c r="B37">
        <f t="shared" si="0"/>
        <v>13.215999999999999</v>
      </c>
      <c r="C37">
        <f t="shared" si="1"/>
        <v>13.215999999999999</v>
      </c>
      <c r="D37">
        <f>[1]!XLSTAT_PDFGeneral(B37,14, 16, 1)</f>
        <v>8.277067556108476E-3</v>
      </c>
      <c r="E37">
        <v>37</v>
      </c>
      <c r="G37">
        <f t="shared" si="2"/>
        <v>12.577154308617233</v>
      </c>
      <c r="H37">
        <f>[1]!XLSTAT_PDFNormal(G37,16,1)</f>
        <v>1.1398314860990165E-3</v>
      </c>
      <c r="I37">
        <v>37</v>
      </c>
      <c r="J37">
        <f t="shared" si="3"/>
        <v>12.747999999999999</v>
      </c>
      <c r="K37">
        <f t="shared" si="4"/>
        <v>12.747999999999999</v>
      </c>
      <c r="L37">
        <f>[1]!XLSTAT_PDFGeneral(J37,17, 1)</f>
        <v>7.6801296941689207E-10</v>
      </c>
      <c r="M37">
        <v>37</v>
      </c>
      <c r="O37">
        <f t="shared" si="5"/>
        <v>0.4328657314629264</v>
      </c>
      <c r="P37">
        <f>[1]!XLSTAT_PDFPoisson(O37,1)</f>
        <v>0.36787944117144233</v>
      </c>
    </row>
    <row r="38" spans="1:16" x14ac:dyDescent="0.3">
      <c r="A38">
        <v>38</v>
      </c>
      <c r="B38">
        <f t="shared" si="0"/>
        <v>-123456789</v>
      </c>
      <c r="C38">
        <f t="shared" si="1"/>
        <v>13.215999999999999</v>
      </c>
      <c r="D38">
        <f>[1]!XLSTAT_PDFGeneral(B38,14, 16, 1)</f>
        <v>0</v>
      </c>
      <c r="E38">
        <v>38</v>
      </c>
      <c r="G38">
        <f t="shared" si="2"/>
        <v>12.593186372745491</v>
      </c>
      <c r="H38">
        <f>[1]!XLSTAT_PDFNormal(G38,16,1)</f>
        <v>1.2039733358699158E-3</v>
      </c>
      <c r="I38">
        <v>38</v>
      </c>
      <c r="J38">
        <f t="shared" si="3"/>
        <v>-123456789</v>
      </c>
      <c r="K38">
        <f t="shared" si="4"/>
        <v>12.747999999999999</v>
      </c>
      <c r="L38">
        <f>[1]!XLSTAT_PDFGeneral(J38,17, 1)</f>
        <v>0</v>
      </c>
      <c r="M38">
        <v>38</v>
      </c>
      <c r="O38">
        <f t="shared" si="5"/>
        <v>0.44488977955911879</v>
      </c>
      <c r="P38">
        <f>[1]!XLSTAT_PDFPoisson(O38,1)</f>
        <v>0.36787944117144233</v>
      </c>
    </row>
    <row r="39" spans="1:16" x14ac:dyDescent="0.3">
      <c r="A39">
        <v>39</v>
      </c>
      <c r="B39">
        <f t="shared" si="0"/>
        <v>-123456789</v>
      </c>
      <c r="C39">
        <f t="shared" si="1"/>
        <v>13.228</v>
      </c>
      <c r="D39">
        <f>[1]!XLSTAT_PDFGeneral(B39,14, 16, 1)</f>
        <v>0</v>
      </c>
      <c r="E39">
        <v>39</v>
      </c>
      <c r="G39">
        <f t="shared" si="2"/>
        <v>12.609218436873746</v>
      </c>
      <c r="H39">
        <f>[1]!XLSTAT_PDFNormal(G39,16,1)</f>
        <v>1.2713978206173602E-3</v>
      </c>
      <c r="I39">
        <v>39</v>
      </c>
      <c r="J39">
        <f t="shared" si="3"/>
        <v>-123456789</v>
      </c>
      <c r="K39">
        <f t="shared" si="4"/>
        <v>12.734</v>
      </c>
      <c r="L39">
        <f>[1]!XLSTAT_PDFGeneral(J39,17, 1)</f>
        <v>0</v>
      </c>
      <c r="M39">
        <v>39</v>
      </c>
      <c r="O39">
        <f t="shared" si="5"/>
        <v>0.45691382765531119</v>
      </c>
      <c r="P39">
        <f>[1]!XLSTAT_PDFPoisson(O39,1)</f>
        <v>0.36787944117144233</v>
      </c>
    </row>
    <row r="40" spans="1:16" x14ac:dyDescent="0.3">
      <c r="A40">
        <v>40</v>
      </c>
      <c r="B40">
        <f t="shared" si="0"/>
        <v>13.228</v>
      </c>
      <c r="C40">
        <f t="shared" si="1"/>
        <v>13.228</v>
      </c>
      <c r="D40">
        <f>[1]!XLSTAT_PDFGeneral(B40,14, 16, 1)</f>
        <v>8.5576425208319339E-3</v>
      </c>
      <c r="E40">
        <v>40</v>
      </c>
      <c r="G40">
        <f t="shared" si="2"/>
        <v>12.625250501002004</v>
      </c>
      <c r="H40">
        <f>[1]!XLSTAT_PDFNormal(G40,16,1)</f>
        <v>1.3422531475306928E-3</v>
      </c>
      <c r="I40">
        <v>40</v>
      </c>
      <c r="J40">
        <f t="shared" si="3"/>
        <v>12.734</v>
      </c>
      <c r="K40">
        <f t="shared" si="4"/>
        <v>12.734</v>
      </c>
      <c r="L40">
        <f>[1]!XLSTAT_PDFGeneral(J40,17, 1)</f>
        <v>7.6801296941689207E-10</v>
      </c>
      <c r="M40">
        <v>40</v>
      </c>
      <c r="O40">
        <f t="shared" si="5"/>
        <v>0.46893787575150359</v>
      </c>
      <c r="P40">
        <f>[1]!XLSTAT_PDFPoisson(O40,1)</f>
        <v>0.36787944117144233</v>
      </c>
    </row>
    <row r="41" spans="1:16" x14ac:dyDescent="0.3">
      <c r="A41">
        <v>41</v>
      </c>
      <c r="B41">
        <f t="shared" si="0"/>
        <v>13.24</v>
      </c>
      <c r="C41">
        <f t="shared" si="1"/>
        <v>13.24</v>
      </c>
      <c r="D41">
        <f>[1]!XLSTAT_PDFGeneral(B41,14, 16, 1)</f>
        <v>8.8464543982372315E-3</v>
      </c>
      <c r="E41">
        <v>41</v>
      </c>
      <c r="G41">
        <f t="shared" si="2"/>
        <v>12.641282565130259</v>
      </c>
      <c r="H41">
        <f>[1]!XLSTAT_PDFNormal(G41,16,1)</f>
        <v>1.4166930847150257E-3</v>
      </c>
      <c r="I41">
        <v>41</v>
      </c>
      <c r="J41">
        <f t="shared" si="3"/>
        <v>12.72</v>
      </c>
      <c r="K41">
        <f t="shared" si="4"/>
        <v>12.72</v>
      </c>
      <c r="L41">
        <f>[1]!XLSTAT_PDFGeneral(J41,17, 1)</f>
        <v>7.6801296941689207E-10</v>
      </c>
      <c r="M41">
        <v>41</v>
      </c>
      <c r="O41">
        <f t="shared" si="5"/>
        <v>0.48096192384769598</v>
      </c>
      <c r="P41">
        <f>[1]!XLSTAT_PDFPoisson(O41,1)</f>
        <v>0.36787944117144233</v>
      </c>
    </row>
    <row r="42" spans="1:16" x14ac:dyDescent="0.3">
      <c r="A42">
        <v>42</v>
      </c>
      <c r="B42">
        <f t="shared" si="0"/>
        <v>-123456789</v>
      </c>
      <c r="C42">
        <f t="shared" si="1"/>
        <v>13.24</v>
      </c>
      <c r="D42">
        <f>[1]!XLSTAT_PDFGeneral(B42,14, 16, 1)</f>
        <v>0</v>
      </c>
      <c r="E42">
        <v>42</v>
      </c>
      <c r="G42">
        <f t="shared" si="2"/>
        <v>12.657314629258517</v>
      </c>
      <c r="H42">
        <f>[1]!XLSTAT_PDFNormal(G42,16,1)</f>
        <v>1.4948771086513331E-3</v>
      </c>
      <c r="I42">
        <v>42</v>
      </c>
      <c r="J42">
        <f t="shared" si="3"/>
        <v>-123456789</v>
      </c>
      <c r="K42">
        <f t="shared" si="4"/>
        <v>12.72</v>
      </c>
      <c r="L42">
        <f>[1]!XLSTAT_PDFGeneral(J42,17, 1)</f>
        <v>0</v>
      </c>
      <c r="M42">
        <v>42</v>
      </c>
      <c r="O42">
        <f t="shared" si="5"/>
        <v>0.49298597194388843</v>
      </c>
      <c r="P42">
        <f>[1]!XLSTAT_PDFPoisson(O42,1)</f>
        <v>0.36787944117144233</v>
      </c>
    </row>
    <row r="43" spans="1:16" x14ac:dyDescent="0.3">
      <c r="A43">
        <v>43</v>
      </c>
      <c r="B43">
        <f t="shared" si="0"/>
        <v>-123456789</v>
      </c>
      <c r="C43">
        <f t="shared" si="1"/>
        <v>13.252000000000001</v>
      </c>
      <c r="D43">
        <f>[1]!XLSTAT_PDFGeneral(B43,14, 16, 1)</f>
        <v>0</v>
      </c>
      <c r="E43">
        <v>43</v>
      </c>
      <c r="G43">
        <f t="shared" si="2"/>
        <v>12.673346693386772</v>
      </c>
      <c r="H43">
        <f>[1]!XLSTAT_PDFNormal(G43,16,1)</f>
        <v>1.5769705523171567E-3</v>
      </c>
      <c r="I43">
        <v>43</v>
      </c>
      <c r="J43">
        <f t="shared" si="3"/>
        <v>-123456789</v>
      </c>
      <c r="K43">
        <f t="shared" si="4"/>
        <v>12.706</v>
      </c>
      <c r="L43">
        <f>[1]!XLSTAT_PDFGeneral(J43,17, 1)</f>
        <v>0</v>
      </c>
      <c r="M43">
        <v>43</v>
      </c>
      <c r="O43">
        <f t="shared" si="5"/>
        <v>0.50501002004008078</v>
      </c>
      <c r="P43">
        <f>[1]!XLSTAT_PDFPoisson(O43,1)</f>
        <v>0.36787944117144233</v>
      </c>
    </row>
    <row r="44" spans="1:16" x14ac:dyDescent="0.3">
      <c r="A44">
        <v>44</v>
      </c>
      <c r="B44">
        <f t="shared" si="0"/>
        <v>13.252000000000001</v>
      </c>
      <c r="C44">
        <f t="shared" si="1"/>
        <v>13.252000000000001</v>
      </c>
      <c r="D44">
        <f>[1]!XLSTAT_PDFGeneral(B44,14, 16, 1)</f>
        <v>9.1436966005751779E-3</v>
      </c>
      <c r="E44">
        <v>44</v>
      </c>
      <c r="G44">
        <f t="shared" si="2"/>
        <v>12.68937875751503</v>
      </c>
      <c r="H44">
        <f>[1]!XLSTAT_PDFNormal(G44,16,1)</f>
        <v>1.6631447537702158E-3</v>
      </c>
      <c r="I44">
        <v>44</v>
      </c>
      <c r="J44">
        <f t="shared" si="3"/>
        <v>12.706</v>
      </c>
      <c r="K44">
        <f t="shared" si="4"/>
        <v>12.706</v>
      </c>
      <c r="L44">
        <f>[1]!XLSTAT_PDFGeneral(J44,17, 1)</f>
        <v>7.6801296941689207E-10</v>
      </c>
      <c r="M44">
        <v>44</v>
      </c>
      <c r="O44">
        <f t="shared" si="5"/>
        <v>0.51703406813627317</v>
      </c>
      <c r="P44">
        <f>[1]!XLSTAT_PDFPoisson(O44,1)</f>
        <v>0.36787944117144233</v>
      </c>
    </row>
    <row r="45" spans="1:16" x14ac:dyDescent="0.3">
      <c r="A45">
        <v>45</v>
      </c>
      <c r="B45">
        <f t="shared" si="0"/>
        <v>13.263999999999999</v>
      </c>
      <c r="C45">
        <f t="shared" si="1"/>
        <v>13.263999999999999</v>
      </c>
      <c r="D45">
        <f>[1]!XLSTAT_PDFGeneral(B45,14, 16, 1)</f>
        <v>9.449565350364706E-3</v>
      </c>
      <c r="E45">
        <v>45</v>
      </c>
      <c r="G45">
        <f t="shared" si="2"/>
        <v>12.705410821643286</v>
      </c>
      <c r="H45">
        <f>[1]!XLSTAT_PDFNormal(G45,16,1)</f>
        <v>1.7535772049848267E-3</v>
      </c>
      <c r="I45">
        <v>45</v>
      </c>
      <c r="J45">
        <f t="shared" si="3"/>
        <v>12.692</v>
      </c>
      <c r="K45">
        <f t="shared" si="4"/>
        <v>12.692</v>
      </c>
      <c r="L45">
        <f>[1]!XLSTAT_PDFGeneral(J45,17, 1)</f>
        <v>7.6801296941689207E-10</v>
      </c>
      <c r="M45">
        <v>45</v>
      </c>
      <c r="O45">
        <f t="shared" si="5"/>
        <v>0.52905811623246557</v>
      </c>
      <c r="P45">
        <f>[1]!XLSTAT_PDFPoisson(O45,1)</f>
        <v>0.36787944117144233</v>
      </c>
    </row>
    <row r="46" spans="1:16" x14ac:dyDescent="0.3">
      <c r="A46">
        <v>46</v>
      </c>
      <c r="B46">
        <f t="shared" si="0"/>
        <v>-123456789</v>
      </c>
      <c r="C46">
        <f t="shared" si="1"/>
        <v>13.263999999999999</v>
      </c>
      <c r="D46">
        <f>[1]!XLSTAT_PDFGeneral(B46,14, 16, 1)</f>
        <v>0</v>
      </c>
      <c r="E46">
        <v>46</v>
      </c>
      <c r="G46">
        <f t="shared" si="2"/>
        <v>12.721442885771543</v>
      </c>
      <c r="H46">
        <f>[1]!XLSTAT_PDFNormal(G46,16,1)</f>
        <v>1.8484517007195998E-3</v>
      </c>
      <c r="I46">
        <v>46</v>
      </c>
      <c r="J46">
        <f t="shared" si="3"/>
        <v>-123456789</v>
      </c>
      <c r="K46">
        <f t="shared" si="4"/>
        <v>12.692</v>
      </c>
      <c r="L46">
        <f>[1]!XLSTAT_PDFGeneral(J46,17, 1)</f>
        <v>0</v>
      </c>
      <c r="M46">
        <v>46</v>
      </c>
      <c r="O46">
        <f t="shared" si="5"/>
        <v>0.54108216432865797</v>
      </c>
      <c r="P46">
        <f>[1]!XLSTAT_PDFPoisson(O46,1)</f>
        <v>0.36787944117144233</v>
      </c>
    </row>
    <row r="47" spans="1:16" x14ac:dyDescent="0.3">
      <c r="A47">
        <v>47</v>
      </c>
      <c r="B47">
        <f t="shared" si="0"/>
        <v>-123456789</v>
      </c>
      <c r="C47">
        <f t="shared" si="1"/>
        <v>13.276</v>
      </c>
      <c r="D47">
        <f>[1]!XLSTAT_PDFGeneral(B47,14, 16, 1)</f>
        <v>0</v>
      </c>
      <c r="E47">
        <v>47</v>
      </c>
      <c r="G47">
        <f t="shared" si="2"/>
        <v>12.737474949899799</v>
      </c>
      <c r="H47">
        <f>[1]!XLSTAT_PDFNormal(G47,16,1)</f>
        <v>1.9479584871820996E-3</v>
      </c>
      <c r="I47">
        <v>47</v>
      </c>
      <c r="J47">
        <f t="shared" si="3"/>
        <v>-123456789</v>
      </c>
      <c r="K47">
        <f t="shared" si="4"/>
        <v>12.678000000000001</v>
      </c>
      <c r="L47">
        <f>[1]!XLSTAT_PDFGeneral(J47,17, 1)</f>
        <v>0</v>
      </c>
      <c r="M47">
        <v>47</v>
      </c>
      <c r="O47">
        <f t="shared" si="5"/>
        <v>0.55310621242485036</v>
      </c>
      <c r="P47">
        <f>[1]!XLSTAT_PDFPoisson(O47,1)</f>
        <v>0.36787944117144233</v>
      </c>
    </row>
    <row r="48" spans="1:16" x14ac:dyDescent="0.3">
      <c r="A48">
        <v>48</v>
      </c>
      <c r="B48">
        <f t="shared" si="0"/>
        <v>13.276</v>
      </c>
      <c r="C48">
        <f t="shared" si="1"/>
        <v>13.276</v>
      </c>
      <c r="D48">
        <f>[1]!XLSTAT_PDFGeneral(B48,14, 16, 1)</f>
        <v>9.7642596599138518E-3</v>
      </c>
      <c r="E48">
        <v>48</v>
      </c>
      <c r="G48">
        <f t="shared" si="2"/>
        <v>12.753507014028056</v>
      </c>
      <c r="H48">
        <f>[1]!XLSTAT_PDFNormal(G48,16,1)</f>
        <v>2.0522944102443499E-3</v>
      </c>
      <c r="I48">
        <v>48</v>
      </c>
      <c r="J48">
        <f t="shared" si="3"/>
        <v>12.678000000000001</v>
      </c>
      <c r="K48">
        <f t="shared" si="4"/>
        <v>12.678000000000001</v>
      </c>
      <c r="L48">
        <f>[1]!XLSTAT_PDFGeneral(J48,17, 1)</f>
        <v>7.6801296941689207E-10</v>
      </c>
      <c r="M48">
        <v>48</v>
      </c>
      <c r="O48">
        <f t="shared" si="5"/>
        <v>0.56513026052104276</v>
      </c>
      <c r="P48">
        <f>[1]!XLSTAT_PDFPoisson(O48,1)</f>
        <v>0.36787944117144233</v>
      </c>
    </row>
    <row r="49" spans="1:16" x14ac:dyDescent="0.3">
      <c r="A49">
        <v>49</v>
      </c>
      <c r="B49">
        <f t="shared" si="0"/>
        <v>13.288</v>
      </c>
      <c r="C49">
        <f t="shared" si="1"/>
        <v>13.288</v>
      </c>
      <c r="D49">
        <f>[1]!XLSTAT_PDFGeneral(B49,14, 16, 1)</f>
        <v>1.008798130811189E-2</v>
      </c>
      <c r="E49">
        <v>49</v>
      </c>
      <c r="G49">
        <f t="shared" si="2"/>
        <v>12.769539078156312</v>
      </c>
      <c r="H49">
        <f>[1]!XLSTAT_PDFNormal(G49,16,1)</f>
        <v>2.1616630629499403E-3</v>
      </c>
      <c r="I49">
        <v>49</v>
      </c>
      <c r="J49">
        <f t="shared" si="3"/>
        <v>12.664</v>
      </c>
      <c r="K49">
        <f t="shared" si="4"/>
        <v>12.664</v>
      </c>
      <c r="L49">
        <f>[1]!XLSTAT_PDFGeneral(J49,17, 1)</f>
        <v>7.6801296941689207E-10</v>
      </c>
      <c r="M49">
        <v>49</v>
      </c>
      <c r="O49">
        <f t="shared" si="5"/>
        <v>0.57715430861723527</v>
      </c>
      <c r="P49">
        <f>[1]!XLSTAT_PDFPoisson(O49,1)</f>
        <v>0.36787944117144233</v>
      </c>
    </row>
    <row r="50" spans="1:16" x14ac:dyDescent="0.3">
      <c r="A50">
        <v>50</v>
      </c>
      <c r="B50">
        <f t="shared" si="0"/>
        <v>-123456789</v>
      </c>
      <c r="C50">
        <f t="shared" si="1"/>
        <v>13.288</v>
      </c>
      <c r="D50">
        <f>[1]!XLSTAT_PDFGeneral(B50,14, 16, 1)</f>
        <v>0</v>
      </c>
      <c r="E50">
        <v>50</v>
      </c>
      <c r="G50">
        <f t="shared" si="2"/>
        <v>12.785571142284569</v>
      </c>
      <c r="H50">
        <f>[1]!XLSTAT_PDFNormal(G50,16,1)</f>
        <v>2.2762749320414557E-3</v>
      </c>
      <c r="I50">
        <v>50</v>
      </c>
      <c r="J50">
        <f t="shared" si="3"/>
        <v>-123456789</v>
      </c>
      <c r="K50">
        <f t="shared" si="4"/>
        <v>12.664</v>
      </c>
      <c r="L50">
        <f>[1]!XLSTAT_PDFGeneral(J50,17, 1)</f>
        <v>0</v>
      </c>
      <c r="M50">
        <v>50</v>
      </c>
      <c r="O50">
        <f t="shared" si="5"/>
        <v>0.58917835671342766</v>
      </c>
      <c r="P50">
        <f>[1]!XLSTAT_PDFPoisson(O50,1)</f>
        <v>0.36787944117144233</v>
      </c>
    </row>
    <row r="51" spans="1:16" x14ac:dyDescent="0.3">
      <c r="A51">
        <v>51</v>
      </c>
      <c r="B51">
        <f t="shared" si="0"/>
        <v>-123456789</v>
      </c>
      <c r="C51">
        <f t="shared" si="1"/>
        <v>13.3</v>
      </c>
      <c r="D51">
        <f>[1]!XLSTAT_PDFGeneral(B51,14, 16, 1)</f>
        <v>0</v>
      </c>
      <c r="E51">
        <v>51</v>
      </c>
      <c r="G51">
        <f t="shared" si="2"/>
        <v>12.801603206412825</v>
      </c>
      <c r="H51">
        <f>[1]!XLSTAT_PDFNormal(G51,16,1)</f>
        <v>2.3963475432235027E-3</v>
      </c>
      <c r="I51">
        <v>51</v>
      </c>
      <c r="J51">
        <f t="shared" si="3"/>
        <v>-123456789</v>
      </c>
      <c r="K51">
        <f t="shared" si="4"/>
        <v>12.65</v>
      </c>
      <c r="L51">
        <f>[1]!XLSTAT_PDFGeneral(J51,17, 1)</f>
        <v>0</v>
      </c>
      <c r="M51">
        <v>51</v>
      </c>
      <c r="O51">
        <f t="shared" si="5"/>
        <v>0.60120240480962006</v>
      </c>
      <c r="P51">
        <f>[1]!XLSTAT_PDFPoisson(O51,1)</f>
        <v>0.36787944117144233</v>
      </c>
    </row>
    <row r="52" spans="1:16" x14ac:dyDescent="0.3">
      <c r="A52">
        <v>52</v>
      </c>
      <c r="B52">
        <f t="shared" si="0"/>
        <v>13.3</v>
      </c>
      <c r="C52">
        <f t="shared" si="1"/>
        <v>13.3</v>
      </c>
      <c r="D52">
        <f>[1]!XLSTAT_PDFGeneral(B52,14, 16, 1)</f>
        <v>1.0420934814422614E-2</v>
      </c>
      <c r="E52">
        <v>52</v>
      </c>
      <c r="G52">
        <f t="shared" si="2"/>
        <v>12.817635270541082</v>
      </c>
      <c r="H52">
        <f>[1]!XLSTAT_PDFNormal(G52,16,1)</f>
        <v>2.5221056048644556E-3</v>
      </c>
      <c r="I52">
        <v>52</v>
      </c>
      <c r="J52">
        <f t="shared" si="3"/>
        <v>12.65</v>
      </c>
      <c r="K52">
        <f t="shared" si="4"/>
        <v>12.65</v>
      </c>
      <c r="L52">
        <f>[1]!XLSTAT_PDFGeneral(J52,17, 1)</f>
        <v>7.6801296941689207E-10</v>
      </c>
      <c r="M52">
        <v>52</v>
      </c>
      <c r="O52">
        <f t="shared" si="5"/>
        <v>0.61322645290581246</v>
      </c>
      <c r="P52">
        <f>[1]!XLSTAT_PDFPoisson(O52,1)</f>
        <v>0.36787944117144233</v>
      </c>
    </row>
    <row r="53" spans="1:16" x14ac:dyDescent="0.3">
      <c r="A53">
        <v>53</v>
      </c>
      <c r="B53">
        <f t="shared" si="0"/>
        <v>13.311999999999999</v>
      </c>
      <c r="C53">
        <f t="shared" si="1"/>
        <v>13.311999999999999</v>
      </c>
      <c r="D53">
        <f>[1]!XLSTAT_PDFGeneral(B53,14, 16, 1)</f>
        <v>1.0763327410007729E-2</v>
      </c>
      <c r="E53">
        <v>53</v>
      </c>
      <c r="G53">
        <f t="shared" si="2"/>
        <v>12.833667334669338</v>
      </c>
      <c r="H53">
        <f>[1]!XLSTAT_PDFNormal(G53,16,1)</f>
        <v>2.6537811498264035E-3</v>
      </c>
      <c r="I53">
        <v>53</v>
      </c>
      <c r="J53">
        <f t="shared" si="3"/>
        <v>12.635999999999999</v>
      </c>
      <c r="K53">
        <f t="shared" si="4"/>
        <v>12.635999999999999</v>
      </c>
      <c r="L53">
        <f>[1]!XLSTAT_PDFGeneral(J53,17, 1)</f>
        <v>7.6801296941689207E-10</v>
      </c>
      <c r="M53">
        <v>53</v>
      </c>
      <c r="O53">
        <f t="shared" si="5"/>
        <v>0.62525050100200485</v>
      </c>
      <c r="P53">
        <f>[1]!XLSTAT_PDFPoisson(O53,1)</f>
        <v>0.36787944117144233</v>
      </c>
    </row>
    <row r="54" spans="1:16" x14ac:dyDescent="0.3">
      <c r="A54">
        <v>54</v>
      </c>
      <c r="B54">
        <f t="shared" si="0"/>
        <v>-123456789</v>
      </c>
      <c r="C54">
        <f t="shared" si="1"/>
        <v>13.311999999999999</v>
      </c>
      <c r="D54">
        <f>[1]!XLSTAT_PDFGeneral(B54,14, 16, 1)</f>
        <v>0</v>
      </c>
      <c r="E54">
        <v>54</v>
      </c>
      <c r="G54">
        <f t="shared" si="2"/>
        <v>12.849699398797595</v>
      </c>
      <c r="H54">
        <f>[1]!XLSTAT_PDFNormal(G54,16,1)</f>
        <v>2.7916136751006135E-3</v>
      </c>
      <c r="I54">
        <v>54</v>
      </c>
      <c r="J54">
        <f t="shared" si="3"/>
        <v>-123456789</v>
      </c>
      <c r="K54">
        <f t="shared" si="4"/>
        <v>12.635999999999999</v>
      </c>
      <c r="L54">
        <f>[1]!XLSTAT_PDFGeneral(J54,17, 1)</f>
        <v>0</v>
      </c>
      <c r="M54">
        <v>54</v>
      </c>
      <c r="O54">
        <f t="shared" si="5"/>
        <v>0.63727454909819725</v>
      </c>
      <c r="P54">
        <f>[1]!XLSTAT_PDFPoisson(O54,1)</f>
        <v>0.36787944117144233</v>
      </c>
    </row>
    <row r="55" spans="1:16" x14ac:dyDescent="0.3">
      <c r="A55">
        <v>55</v>
      </c>
      <c r="B55">
        <f t="shared" si="0"/>
        <v>-123456789</v>
      </c>
      <c r="C55">
        <f t="shared" si="1"/>
        <v>13.324</v>
      </c>
      <c r="D55">
        <f>[1]!XLSTAT_PDFGeneral(B55,14, 16, 1)</f>
        <v>0</v>
      </c>
      <c r="E55">
        <v>55</v>
      </c>
      <c r="G55">
        <f t="shared" si="2"/>
        <v>12.865731462925851</v>
      </c>
      <c r="H55">
        <f>[1]!XLSTAT_PDFNormal(G55,16,1)</f>
        <v>2.935850278911994E-3</v>
      </c>
      <c r="I55">
        <v>55</v>
      </c>
      <c r="J55">
        <f t="shared" si="3"/>
        <v>-123456789</v>
      </c>
      <c r="K55">
        <f t="shared" si="4"/>
        <v>12.622</v>
      </c>
      <c r="L55">
        <f>[1]!XLSTAT_PDFGeneral(J55,17, 1)</f>
        <v>0</v>
      </c>
      <c r="M55">
        <v>55</v>
      </c>
      <c r="O55">
        <f t="shared" si="5"/>
        <v>0.64929859719438965</v>
      </c>
      <c r="P55">
        <f>[1]!XLSTAT_PDFPoisson(O55,1)</f>
        <v>0.36787944117144233</v>
      </c>
    </row>
    <row r="56" spans="1:16" x14ac:dyDescent="0.3">
      <c r="A56">
        <v>56</v>
      </c>
      <c r="B56">
        <f t="shared" si="0"/>
        <v>13.324</v>
      </c>
      <c r="C56">
        <f t="shared" si="1"/>
        <v>13.324</v>
      </c>
      <c r="D56">
        <f>[1]!XLSTAT_PDFGeneral(B56,14, 16, 1)</f>
        <v>1.1115369005911058E-2</v>
      </c>
      <c r="E56">
        <v>56</v>
      </c>
      <c r="G56">
        <f t="shared" si="2"/>
        <v>12.881763527054108</v>
      </c>
      <c r="H56">
        <f>[1]!XLSTAT_PDFNormal(G56,16,1)</f>
        <v>3.0867457949441154E-3</v>
      </c>
      <c r="I56">
        <v>56</v>
      </c>
      <c r="J56">
        <f t="shared" si="3"/>
        <v>12.622</v>
      </c>
      <c r="K56">
        <f t="shared" si="4"/>
        <v>12.622</v>
      </c>
      <c r="L56">
        <f>[1]!XLSTAT_PDFGeneral(J56,17, 1)</f>
        <v>7.6801296941689207E-10</v>
      </c>
      <c r="M56">
        <v>56</v>
      </c>
      <c r="O56">
        <f t="shared" si="5"/>
        <v>0.66132264529058205</v>
      </c>
      <c r="P56">
        <f>[1]!XLSTAT_PDFPoisson(O56,1)</f>
        <v>0.36787944117144233</v>
      </c>
    </row>
    <row r="57" spans="1:16" x14ac:dyDescent="0.3">
      <c r="A57">
        <v>57</v>
      </c>
      <c r="B57">
        <f t="shared" si="0"/>
        <v>13.336</v>
      </c>
      <c r="C57">
        <f t="shared" si="1"/>
        <v>13.336</v>
      </c>
      <c r="D57">
        <f>[1]!XLSTAT_PDFGeneral(B57,14, 16, 1)</f>
        <v>1.1477272158233767E-2</v>
      </c>
      <c r="E57">
        <v>57</v>
      </c>
      <c r="G57">
        <f t="shared" si="2"/>
        <v>12.897795591182364</v>
      </c>
      <c r="H57">
        <f>[1]!XLSTAT_PDFNormal(G57,16,1)</f>
        <v>3.2445629233224678E-3</v>
      </c>
      <c r="I57">
        <v>57</v>
      </c>
      <c r="J57">
        <f t="shared" si="3"/>
        <v>12.608000000000001</v>
      </c>
      <c r="K57">
        <f t="shared" si="4"/>
        <v>12.608000000000001</v>
      </c>
      <c r="L57">
        <f>[1]!XLSTAT_PDFGeneral(J57,17, 1)</f>
        <v>7.6801296941689207E-10</v>
      </c>
      <c r="M57">
        <v>57</v>
      </c>
      <c r="O57">
        <f t="shared" si="5"/>
        <v>0.67334669338677444</v>
      </c>
      <c r="P57">
        <f>[1]!XLSTAT_PDFPoisson(O57,1)</f>
        <v>0.36787944117144233</v>
      </c>
    </row>
    <row r="58" spans="1:16" x14ac:dyDescent="0.3">
      <c r="A58">
        <v>58</v>
      </c>
      <c r="B58">
        <f t="shared" si="0"/>
        <v>-123456789</v>
      </c>
      <c r="C58">
        <f t="shared" si="1"/>
        <v>13.336</v>
      </c>
      <c r="D58">
        <f>[1]!XLSTAT_PDFGeneral(B58,14, 16, 1)</f>
        <v>0</v>
      </c>
      <c r="E58">
        <v>58</v>
      </c>
      <c r="G58">
        <f t="shared" si="2"/>
        <v>12.913827655310621</v>
      </c>
      <c r="H58">
        <f>[1]!XLSTAT_PDFNormal(G58,16,1)</f>
        <v>3.4095723579818638E-3</v>
      </c>
      <c r="I58">
        <v>58</v>
      </c>
      <c r="J58">
        <f t="shared" si="3"/>
        <v>-123456789</v>
      </c>
      <c r="K58">
        <f t="shared" si="4"/>
        <v>12.608000000000001</v>
      </c>
      <c r="L58">
        <f>[1]!XLSTAT_PDFGeneral(J58,17, 1)</f>
        <v>0</v>
      </c>
      <c r="M58">
        <v>58</v>
      </c>
      <c r="O58">
        <f t="shared" si="5"/>
        <v>0.68537074148296684</v>
      </c>
      <c r="P58">
        <f>[1]!XLSTAT_PDFPoisson(O58,1)</f>
        <v>0.36787944117144233</v>
      </c>
    </row>
    <row r="59" spans="1:16" x14ac:dyDescent="0.3">
      <c r="A59">
        <v>59</v>
      </c>
      <c r="B59">
        <f t="shared" si="0"/>
        <v>-123456789</v>
      </c>
      <c r="C59">
        <f t="shared" si="1"/>
        <v>13.348000000000001</v>
      </c>
      <c r="D59">
        <f>[1]!XLSTAT_PDFGeneral(B59,14, 16, 1)</f>
        <v>0</v>
      </c>
      <c r="E59">
        <v>59</v>
      </c>
      <c r="G59">
        <f t="shared" si="2"/>
        <v>12.929859719438877</v>
      </c>
      <c r="H59">
        <f>[1]!XLSTAT_PDFNormal(G59,16,1)</f>
        <v>3.5820529100303016E-3</v>
      </c>
      <c r="I59">
        <v>59</v>
      </c>
      <c r="J59">
        <f t="shared" si="3"/>
        <v>-123456789</v>
      </c>
      <c r="K59">
        <f t="shared" si="4"/>
        <v>12.593999999999999</v>
      </c>
      <c r="L59">
        <f>[1]!XLSTAT_PDFGeneral(J59,17, 1)</f>
        <v>0</v>
      </c>
      <c r="M59">
        <v>59</v>
      </c>
      <c r="O59">
        <f t="shared" si="5"/>
        <v>0.69739478957915924</v>
      </c>
      <c r="P59">
        <f>[1]!XLSTAT_PDFPoisson(O59,1)</f>
        <v>0.36787944117144233</v>
      </c>
    </row>
    <row r="60" spans="1:16" x14ac:dyDescent="0.3">
      <c r="A60">
        <v>60</v>
      </c>
      <c r="B60">
        <f t="shared" si="0"/>
        <v>13.348000000000001</v>
      </c>
      <c r="C60">
        <f t="shared" si="1"/>
        <v>13.348000000000001</v>
      </c>
      <c r="D60">
        <f>[1]!XLSTAT_PDFGeneral(B60,14, 16, 1)</f>
        <v>1.1849252030233313E-2</v>
      </c>
      <c r="E60">
        <v>60</v>
      </c>
      <c r="G60">
        <f t="shared" si="2"/>
        <v>12.945891783567134</v>
      </c>
      <c r="H60">
        <f>[1]!XLSTAT_PDFNormal(G60,16,1)</f>
        <v>3.7622916267101257E-3</v>
      </c>
      <c r="I60">
        <v>60</v>
      </c>
      <c r="J60">
        <f t="shared" si="3"/>
        <v>12.593999999999999</v>
      </c>
      <c r="K60">
        <f t="shared" si="4"/>
        <v>12.593999999999999</v>
      </c>
      <c r="L60">
        <f>[1]!XLSTAT_PDFGeneral(J60,17, 1)</f>
        <v>7.6801296941689207E-10</v>
      </c>
      <c r="M60">
        <v>60</v>
      </c>
      <c r="O60">
        <f t="shared" si="5"/>
        <v>0.70941883767535163</v>
      </c>
      <c r="P60">
        <f>[1]!XLSTAT_PDFPoisson(O60,1)</f>
        <v>0.36787944117144233</v>
      </c>
    </row>
    <row r="61" spans="1:16" x14ac:dyDescent="0.3">
      <c r="A61">
        <v>61</v>
      </c>
      <c r="B61">
        <f t="shared" si="0"/>
        <v>13.36</v>
      </c>
      <c r="C61">
        <f t="shared" si="1"/>
        <v>13.36</v>
      </c>
      <c r="D61">
        <f>[1]!XLSTAT_PDFGeneral(B61,14, 16, 1)</f>
        <v>1.2231526351277954E-2</v>
      </c>
      <c r="E61">
        <v>61</v>
      </c>
      <c r="G61">
        <f t="shared" si="2"/>
        <v>12.96192384769539</v>
      </c>
      <c r="H61">
        <f>[1]!XLSTAT_PDFNormal(G61,16,1)</f>
        <v>3.9505839055440249E-3</v>
      </c>
      <c r="I61">
        <v>61</v>
      </c>
      <c r="J61">
        <f t="shared" si="3"/>
        <v>12.58</v>
      </c>
      <c r="K61">
        <f t="shared" si="4"/>
        <v>12.58</v>
      </c>
      <c r="L61">
        <f>[1]!XLSTAT_PDFGeneral(J61,17, 1)</f>
        <v>7.6801296941689207E-10</v>
      </c>
      <c r="M61">
        <v>61</v>
      </c>
      <c r="O61">
        <f t="shared" si="5"/>
        <v>0.72144288577154403</v>
      </c>
      <c r="P61">
        <f>[1]!XLSTAT_PDFPoisson(O61,1)</f>
        <v>0.36787944117144233</v>
      </c>
    </row>
    <row r="62" spans="1:16" x14ac:dyDescent="0.3">
      <c r="A62">
        <v>62</v>
      </c>
      <c r="B62">
        <f t="shared" si="0"/>
        <v>-123456789</v>
      </c>
      <c r="C62">
        <f t="shared" si="1"/>
        <v>13.36</v>
      </c>
      <c r="D62">
        <f>[1]!XLSTAT_PDFGeneral(B62,14, 16, 1)</f>
        <v>0</v>
      </c>
      <c r="E62">
        <v>62</v>
      </c>
      <c r="G62">
        <f t="shared" si="2"/>
        <v>12.977955911823647</v>
      </c>
      <c r="H62">
        <f>[1]!XLSTAT_PDFNormal(G62,16,1)</f>
        <v>4.147233603242503E-3</v>
      </c>
      <c r="I62">
        <v>62</v>
      </c>
      <c r="J62">
        <f t="shared" si="3"/>
        <v>-123456789</v>
      </c>
      <c r="K62">
        <f t="shared" si="4"/>
        <v>12.58</v>
      </c>
      <c r="L62">
        <f>[1]!XLSTAT_PDFGeneral(J62,17, 1)</f>
        <v>0</v>
      </c>
      <c r="M62">
        <v>62</v>
      </c>
      <c r="O62">
        <f t="shared" si="5"/>
        <v>0.73346693386773643</v>
      </c>
      <c r="P62">
        <f>[1]!XLSTAT_PDFPoisson(O62,1)</f>
        <v>0.36787944117144233</v>
      </c>
    </row>
    <row r="63" spans="1:16" x14ac:dyDescent="0.3">
      <c r="A63">
        <v>63</v>
      </c>
      <c r="B63">
        <f t="shared" si="0"/>
        <v>-123456789</v>
      </c>
      <c r="C63">
        <f t="shared" si="1"/>
        <v>13.372</v>
      </c>
      <c r="D63">
        <f>[1]!XLSTAT_PDFGeneral(B63,14, 16, 1)</f>
        <v>0</v>
      </c>
      <c r="E63">
        <v>63</v>
      </c>
      <c r="G63">
        <f t="shared" si="2"/>
        <v>12.993987975951903</v>
      </c>
      <c r="H63">
        <f>[1]!XLSTAT_PDFNormal(G63,16,1)</f>
        <v>4.3525531389365622E-3</v>
      </c>
      <c r="I63">
        <v>63</v>
      </c>
      <c r="J63">
        <f t="shared" si="3"/>
        <v>-123456789</v>
      </c>
      <c r="K63">
        <f t="shared" si="4"/>
        <v>12.566000000000001</v>
      </c>
      <c r="L63">
        <f>[1]!XLSTAT_PDFGeneral(J63,17, 1)</f>
        <v>0</v>
      </c>
      <c r="M63">
        <v>63</v>
      </c>
      <c r="O63">
        <f t="shared" si="5"/>
        <v>0.74549098196392882</v>
      </c>
      <c r="P63">
        <f>[1]!XLSTAT_PDFPoisson(O63,1)</f>
        <v>0.36787944117144233</v>
      </c>
    </row>
    <row r="64" spans="1:16" x14ac:dyDescent="0.3">
      <c r="A64">
        <v>64</v>
      </c>
      <c r="B64">
        <f t="shared" si="0"/>
        <v>13.372</v>
      </c>
      <c r="C64">
        <f t="shared" si="1"/>
        <v>13.372</v>
      </c>
      <c r="D64">
        <f>[1]!XLSTAT_PDFGeneral(B64,14, 16, 1)</f>
        <v>1.2624315372591137E-2</v>
      </c>
      <c r="E64">
        <v>64</v>
      </c>
      <c r="G64">
        <f t="shared" si="2"/>
        <v>13.01002004008016</v>
      </c>
      <c r="H64">
        <f>[1]!XLSTAT_PDFNormal(G64,16,1)</f>
        <v>4.5668635912891557E-3</v>
      </c>
      <c r="I64">
        <v>64</v>
      </c>
      <c r="J64">
        <f t="shared" si="3"/>
        <v>12.566000000000001</v>
      </c>
      <c r="K64">
        <f t="shared" si="4"/>
        <v>12.566000000000001</v>
      </c>
      <c r="L64">
        <f>[1]!XLSTAT_PDFGeneral(J64,17, 1)</f>
        <v>7.6801296941689207E-10</v>
      </c>
      <c r="M64">
        <v>64</v>
      </c>
      <c r="O64">
        <f t="shared" si="5"/>
        <v>0.75751503006012122</v>
      </c>
      <c r="P64">
        <f>[1]!XLSTAT_PDFPoisson(O64,1)</f>
        <v>0.36787944117144233</v>
      </c>
    </row>
    <row r="65" spans="1:16" x14ac:dyDescent="0.3">
      <c r="A65">
        <v>65</v>
      </c>
      <c r="B65">
        <f t="shared" ref="B65:B128" si="6">IF(-1^(INT(A65/2)+2)&gt;0,13+2*INT(A65/2-1/2)*0.006,-123456789)</f>
        <v>13.384</v>
      </c>
      <c r="C65">
        <f t="shared" ref="C65:C128" si="7">13+2*INT(A65/2-1/2)*0.006</f>
        <v>13.384</v>
      </c>
      <c r="D65">
        <f>[1]!XLSTAT_PDFGeneral(B65,14, 16, 1)</f>
        <v>1.3027841819719683E-2</v>
      </c>
      <c r="E65">
        <v>65</v>
      </c>
      <c r="G65">
        <f t="shared" ref="G65:G128" si="8">12+(E65-1)*0.0160320641282565</f>
        <v>13.026052104208416</v>
      </c>
      <c r="H65">
        <f>[1]!XLSTAT_PDFNormal(G65,16,1)</f>
        <v>4.790494789026655E-3</v>
      </c>
      <c r="I65">
        <v>65</v>
      </c>
      <c r="J65">
        <f t="shared" ref="J65:J128" si="9">IF(-1^(INT(I65/2)+2)&gt;0,13+2*INT(I65/2-1/2)*-0.007,-123456789)</f>
        <v>12.552</v>
      </c>
      <c r="K65">
        <f t="shared" ref="K65:K128" si="10">13+2*INT(I65/2-1/2)*-0.007</f>
        <v>12.552</v>
      </c>
      <c r="L65">
        <f>[1]!XLSTAT_PDFGeneral(J65,17, 1)</f>
        <v>7.6801296941689207E-10</v>
      </c>
      <c r="M65">
        <v>65</v>
      </c>
      <c r="O65">
        <f t="shared" ref="O65:O128" si="11">0+(M65-1)*0.0120240480961924</f>
        <v>0.76953907815631362</v>
      </c>
      <c r="P65">
        <f>[1]!XLSTAT_PDFPoisson(O65,1)</f>
        <v>0.36787944117144233</v>
      </c>
    </row>
    <row r="66" spans="1:16" x14ac:dyDescent="0.3">
      <c r="A66">
        <v>66</v>
      </c>
      <c r="B66">
        <f t="shared" si="6"/>
        <v>-123456789</v>
      </c>
      <c r="C66">
        <f t="shared" si="7"/>
        <v>13.384</v>
      </c>
      <c r="D66">
        <f>[1]!XLSTAT_PDFGeneral(B66,14, 16, 1)</f>
        <v>0</v>
      </c>
      <c r="E66">
        <v>66</v>
      </c>
      <c r="G66">
        <f t="shared" si="8"/>
        <v>13.042084168336672</v>
      </c>
      <c r="H66">
        <f>[1]!XLSTAT_PDFNormal(G66,16,1)</f>
        <v>5.0237853944223457E-3</v>
      </c>
      <c r="I66">
        <v>66</v>
      </c>
      <c r="J66">
        <f t="shared" si="9"/>
        <v>-123456789</v>
      </c>
      <c r="K66">
        <f t="shared" si="10"/>
        <v>12.552</v>
      </c>
      <c r="L66">
        <f>[1]!XLSTAT_PDFGeneral(J66,17, 1)</f>
        <v>0</v>
      </c>
      <c r="M66">
        <v>66</v>
      </c>
      <c r="O66">
        <f t="shared" si="11"/>
        <v>0.78156312625250601</v>
      </c>
      <c r="P66">
        <f>[1]!XLSTAT_PDFPoisson(O66,1)</f>
        <v>0.36787944117144233</v>
      </c>
    </row>
    <row r="67" spans="1:16" x14ac:dyDescent="0.3">
      <c r="A67">
        <v>67</v>
      </c>
      <c r="B67">
        <f t="shared" si="6"/>
        <v>-123456789</v>
      </c>
      <c r="C67">
        <f t="shared" si="7"/>
        <v>13.396000000000001</v>
      </c>
      <c r="D67">
        <f>[1]!XLSTAT_PDFGeneral(B67,14, 16, 1)</f>
        <v>0</v>
      </c>
      <c r="E67">
        <v>67</v>
      </c>
      <c r="G67">
        <f t="shared" si="8"/>
        <v>13.058116232464929</v>
      </c>
      <c r="H67">
        <f>[1]!XLSTAT_PDFNormal(G67,16,1)</f>
        <v>5.2670829792524666E-3</v>
      </c>
      <c r="I67">
        <v>67</v>
      </c>
      <c r="J67">
        <f t="shared" si="9"/>
        <v>-123456789</v>
      </c>
      <c r="K67">
        <f t="shared" si="10"/>
        <v>12.538</v>
      </c>
      <c r="L67">
        <f>[1]!XLSTAT_PDFGeneral(J67,17, 1)</f>
        <v>0</v>
      </c>
      <c r="M67">
        <v>67</v>
      </c>
      <c r="O67">
        <f t="shared" si="11"/>
        <v>0.79358717434869841</v>
      </c>
      <c r="P67">
        <f>[1]!XLSTAT_PDFPoisson(O67,1)</f>
        <v>0.36787944117144233</v>
      </c>
    </row>
    <row r="68" spans="1:16" x14ac:dyDescent="0.3">
      <c r="A68">
        <v>68</v>
      </c>
      <c r="B68">
        <f t="shared" si="6"/>
        <v>13.396000000000001</v>
      </c>
      <c r="C68">
        <f t="shared" si="7"/>
        <v>13.396000000000001</v>
      </c>
      <c r="D68">
        <f>[1]!XLSTAT_PDFGeneral(B68,14, 16, 1)</f>
        <v>1.3442330841662881E-2</v>
      </c>
      <c r="E68">
        <v>68</v>
      </c>
      <c r="G68">
        <f t="shared" si="8"/>
        <v>13.074148296593187</v>
      </c>
      <c r="H68">
        <f>[1]!XLSTAT_PDFNormal(G68,16,1)</f>
        <v>5.5207440927366241E-3</v>
      </c>
      <c r="I68">
        <v>68</v>
      </c>
      <c r="J68">
        <f t="shared" si="9"/>
        <v>12.538</v>
      </c>
      <c r="K68">
        <f t="shared" si="10"/>
        <v>12.538</v>
      </c>
      <c r="L68">
        <f>[1]!XLSTAT_PDFGeneral(J68,17, 1)</f>
        <v>7.6801296941689207E-10</v>
      </c>
      <c r="M68">
        <v>68</v>
      </c>
      <c r="O68">
        <f t="shared" si="11"/>
        <v>0.80561122244489081</v>
      </c>
      <c r="P68">
        <f>[1]!XLSTAT_PDFPoisson(O68,1)</f>
        <v>0.36787944117144233</v>
      </c>
    </row>
    <row r="69" spans="1:16" x14ac:dyDescent="0.3">
      <c r="A69">
        <v>69</v>
      </c>
      <c r="B69">
        <f t="shared" si="6"/>
        <v>13.407999999999999</v>
      </c>
      <c r="C69">
        <f t="shared" si="7"/>
        <v>13.407999999999999</v>
      </c>
      <c r="D69">
        <f>[1]!XLSTAT_PDFGeneral(B69,14, 16, 1)</f>
        <v>1.3868009956599162E-2</v>
      </c>
      <c r="E69">
        <v>69</v>
      </c>
      <c r="G69">
        <f t="shared" si="8"/>
        <v>13.090180360721442</v>
      </c>
      <c r="H69">
        <f>[1]!XLSTAT_PDFNormal(G69,16,1)</f>
        <v>5.7851343209649846E-3</v>
      </c>
      <c r="I69">
        <v>69</v>
      </c>
      <c r="J69">
        <f t="shared" si="9"/>
        <v>12.523999999999999</v>
      </c>
      <c r="K69">
        <f t="shared" si="10"/>
        <v>12.523999999999999</v>
      </c>
      <c r="L69">
        <f>[1]!XLSTAT_PDFGeneral(J69,17, 1)</f>
        <v>7.6801296941689207E-10</v>
      </c>
      <c r="M69">
        <v>69</v>
      </c>
      <c r="O69">
        <f t="shared" si="11"/>
        <v>0.8176352705410832</v>
      </c>
      <c r="P69">
        <f>[1]!XLSTAT_PDFPoisson(O69,1)</f>
        <v>0.36787944117144233</v>
      </c>
    </row>
    <row r="70" spans="1:16" x14ac:dyDescent="0.3">
      <c r="A70">
        <v>70</v>
      </c>
      <c r="B70">
        <f t="shared" si="6"/>
        <v>-123456789</v>
      </c>
      <c r="C70">
        <f t="shared" si="7"/>
        <v>13.407999999999999</v>
      </c>
      <c r="D70">
        <f>[1]!XLSTAT_PDFGeneral(B70,14, 16, 1)</f>
        <v>0</v>
      </c>
      <c r="E70">
        <v>70</v>
      </c>
      <c r="G70">
        <f t="shared" si="8"/>
        <v>13.106212424849698</v>
      </c>
      <c r="H70">
        <f>[1]!XLSTAT_PDFNormal(G70,16,1)</f>
        <v>6.0606283373062465E-3</v>
      </c>
      <c r="I70">
        <v>70</v>
      </c>
      <c r="J70">
        <f t="shared" si="9"/>
        <v>-123456789</v>
      </c>
      <c r="K70">
        <f t="shared" si="10"/>
        <v>12.523999999999999</v>
      </c>
      <c r="L70">
        <f>[1]!XLSTAT_PDFGeneral(J70,17, 1)</f>
        <v>0</v>
      </c>
      <c r="M70">
        <v>70</v>
      </c>
      <c r="O70">
        <f t="shared" si="11"/>
        <v>0.8296593186372756</v>
      </c>
      <c r="P70">
        <f>[1]!XLSTAT_PDFPoisson(O70,1)</f>
        <v>0.36787944117144233</v>
      </c>
    </row>
    <row r="71" spans="1:16" x14ac:dyDescent="0.3">
      <c r="A71">
        <v>71</v>
      </c>
      <c r="B71">
        <f t="shared" si="6"/>
        <v>-123456789</v>
      </c>
      <c r="C71">
        <f t="shared" si="7"/>
        <v>13.42</v>
      </c>
      <c r="D71">
        <f>[1]!XLSTAT_PDFGeneral(B71,14, 16, 1)</f>
        <v>0</v>
      </c>
      <c r="E71">
        <v>71</v>
      </c>
      <c r="G71">
        <f t="shared" si="8"/>
        <v>13.122244488977955</v>
      </c>
      <c r="H71">
        <f>[1]!XLSTAT_PDFNormal(G71,16,1)</f>
        <v>6.347609943282229E-3</v>
      </c>
      <c r="I71">
        <v>71</v>
      </c>
      <c r="J71">
        <f t="shared" si="9"/>
        <v>-123456789</v>
      </c>
      <c r="K71">
        <f t="shared" si="10"/>
        <v>12.51</v>
      </c>
      <c r="L71">
        <f>[1]!XLSTAT_PDFGeneral(J71,17, 1)</f>
        <v>0</v>
      </c>
      <c r="M71">
        <v>71</v>
      </c>
      <c r="O71">
        <f t="shared" si="11"/>
        <v>0.841683366733468</v>
      </c>
      <c r="P71">
        <f>[1]!XLSTAT_PDFPoisson(O71,1)</f>
        <v>0.36787944117144233</v>
      </c>
    </row>
    <row r="72" spans="1:16" x14ac:dyDescent="0.3">
      <c r="A72">
        <v>72</v>
      </c>
      <c r="B72">
        <f t="shared" si="6"/>
        <v>13.42</v>
      </c>
      <c r="C72">
        <f t="shared" si="7"/>
        <v>13.42</v>
      </c>
      <c r="D72">
        <f>[1]!XLSTAT_PDFGeneral(B72,14, 16, 1)</f>
        <v>1.4305108994149692E-2</v>
      </c>
      <c r="E72">
        <v>72</v>
      </c>
      <c r="G72">
        <f t="shared" si="8"/>
        <v>13.138276553106211</v>
      </c>
      <c r="H72">
        <f>[1]!XLSTAT_PDFNormal(G72,16,1)</f>
        <v>6.6464720993882577E-3</v>
      </c>
      <c r="I72">
        <v>72</v>
      </c>
      <c r="J72">
        <f t="shared" si="9"/>
        <v>12.51</v>
      </c>
      <c r="K72">
        <f t="shared" si="10"/>
        <v>12.51</v>
      </c>
      <c r="L72">
        <f>[1]!XLSTAT_PDFGeneral(J72,17, 1)</f>
        <v>7.6801296941689207E-10</v>
      </c>
      <c r="M72">
        <v>72</v>
      </c>
      <c r="O72">
        <f t="shared" si="11"/>
        <v>0.85370741482966039</v>
      </c>
      <c r="P72">
        <f>[1]!XLSTAT_PDFPoisson(O72,1)</f>
        <v>0.36787944117144233</v>
      </c>
    </row>
    <row r="73" spans="1:16" x14ac:dyDescent="0.3">
      <c r="A73">
        <v>73</v>
      </c>
      <c r="B73">
        <f t="shared" si="6"/>
        <v>13.432</v>
      </c>
      <c r="C73">
        <f t="shared" si="7"/>
        <v>13.432</v>
      </c>
      <c r="D73">
        <f>[1]!XLSTAT_PDFGeneral(B73,14, 16, 1)</f>
        <v>1.4753860034118656E-2</v>
      </c>
      <c r="E73">
        <v>73</v>
      </c>
      <c r="G73">
        <f t="shared" si="8"/>
        <v>13.154308617234468</v>
      </c>
      <c r="H73">
        <f>[1]!XLSTAT_PDFNormal(G73,16,1)</f>
        <v>6.9576169453322784E-3</v>
      </c>
      <c r="I73">
        <v>73</v>
      </c>
      <c r="J73">
        <f t="shared" si="9"/>
        <v>12.496</v>
      </c>
      <c r="K73">
        <f t="shared" si="10"/>
        <v>12.496</v>
      </c>
      <c r="L73">
        <f>[1]!XLSTAT_PDFGeneral(J73,17, 1)</f>
        <v>7.6801296941689207E-10</v>
      </c>
      <c r="M73">
        <v>73</v>
      </c>
      <c r="O73">
        <f t="shared" si="11"/>
        <v>0.86573146292585279</v>
      </c>
      <c r="P73">
        <f>[1]!XLSTAT_PDFPoisson(O73,1)</f>
        <v>0.36787944117144233</v>
      </c>
    </row>
    <row r="74" spans="1:16" x14ac:dyDescent="0.3">
      <c r="A74">
        <v>74</v>
      </c>
      <c r="B74">
        <f t="shared" si="6"/>
        <v>-123456789</v>
      </c>
      <c r="C74">
        <f t="shared" si="7"/>
        <v>13.432</v>
      </c>
      <c r="D74">
        <f>[1]!XLSTAT_PDFGeneral(B74,14, 16, 1)</f>
        <v>0</v>
      </c>
      <c r="E74">
        <v>74</v>
      </c>
      <c r="G74">
        <f t="shared" si="8"/>
        <v>13.170340681362724</v>
      </c>
      <c r="H74">
        <f>[1]!XLSTAT_PDFNormal(G74,16,1)</f>
        <v>7.2814558091589881E-3</v>
      </c>
      <c r="I74">
        <v>74</v>
      </c>
      <c r="J74">
        <f t="shared" si="9"/>
        <v>-123456789</v>
      </c>
      <c r="K74">
        <f t="shared" si="10"/>
        <v>12.496</v>
      </c>
      <c r="L74">
        <f>[1]!XLSTAT_PDFGeneral(J74,17, 1)</f>
        <v>0</v>
      </c>
      <c r="M74">
        <v>74</v>
      </c>
      <c r="O74">
        <f t="shared" si="11"/>
        <v>0.87775551102204519</v>
      </c>
      <c r="P74">
        <f>[1]!XLSTAT_PDFPoisson(O74,1)</f>
        <v>0.36787944117144233</v>
      </c>
    </row>
    <row r="75" spans="1:16" x14ac:dyDescent="0.3">
      <c r="A75">
        <v>75</v>
      </c>
      <c r="B75">
        <f t="shared" si="6"/>
        <v>-123456789</v>
      </c>
      <c r="C75">
        <f t="shared" si="7"/>
        <v>13.444000000000001</v>
      </c>
      <c r="D75">
        <f>[1]!XLSTAT_PDFGeneral(B75,14, 16, 1)</f>
        <v>0</v>
      </c>
      <c r="E75">
        <v>75</v>
      </c>
      <c r="G75">
        <f t="shared" si="8"/>
        <v>13.186372745490981</v>
      </c>
      <c r="H75">
        <f>[1]!XLSTAT_PDFNormal(G75,16,1)</f>
        <v>7.6184092047224157E-3</v>
      </c>
      <c r="I75">
        <v>75</v>
      </c>
      <c r="J75">
        <f t="shared" si="9"/>
        <v>-123456789</v>
      </c>
      <c r="K75">
        <f t="shared" si="10"/>
        <v>12.481999999999999</v>
      </c>
      <c r="L75">
        <f>[1]!XLSTAT_PDFGeneral(J75,17, 1)</f>
        <v>0</v>
      </c>
      <c r="M75">
        <v>75</v>
      </c>
      <c r="O75">
        <f t="shared" si="11"/>
        <v>0.88977955911823758</v>
      </c>
      <c r="P75">
        <f>[1]!XLSTAT_PDFPoisson(O75,1)</f>
        <v>0.36787944117144233</v>
      </c>
    </row>
    <row r="76" spans="1:16" x14ac:dyDescent="0.3">
      <c r="A76">
        <v>76</v>
      </c>
      <c r="B76">
        <f t="shared" si="6"/>
        <v>13.444000000000001</v>
      </c>
      <c r="C76">
        <f t="shared" si="7"/>
        <v>13.444000000000001</v>
      </c>
      <c r="D76">
        <f>[1]!XLSTAT_PDFGeneral(B76,14, 16, 1)</f>
        <v>1.5214497341653472E-2</v>
      </c>
      <c r="E76">
        <v>76</v>
      </c>
      <c r="G76">
        <f t="shared" si="8"/>
        <v>13.202404809619237</v>
      </c>
      <c r="H76">
        <f>[1]!XLSTAT_PDFNormal(G76,16,1)</f>
        <v>7.9689068169643516E-3</v>
      </c>
      <c r="I76">
        <v>76</v>
      </c>
      <c r="J76">
        <f t="shared" si="9"/>
        <v>12.481999999999999</v>
      </c>
      <c r="K76">
        <f t="shared" si="10"/>
        <v>12.481999999999999</v>
      </c>
      <c r="L76">
        <f>[1]!XLSTAT_PDFGeneral(J76,17, 1)</f>
        <v>7.6801296941689207E-10</v>
      </c>
      <c r="M76">
        <v>76</v>
      </c>
      <c r="O76">
        <f t="shared" si="11"/>
        <v>0.90180360721442998</v>
      </c>
      <c r="P76">
        <f>[1]!XLSTAT_PDFPoisson(O76,1)</f>
        <v>0.36787944117144233</v>
      </c>
    </row>
    <row r="77" spans="1:16" x14ac:dyDescent="0.3">
      <c r="A77">
        <v>77</v>
      </c>
      <c r="B77">
        <f t="shared" si="6"/>
        <v>13.456</v>
      </c>
      <c r="C77">
        <f t="shared" si="7"/>
        <v>13.456</v>
      </c>
      <c r="D77">
        <f>[1]!XLSTAT_PDFGeneral(B77,14, 16, 1)</f>
        <v>1.56872572987681E-2</v>
      </c>
      <c r="E77">
        <v>77</v>
      </c>
      <c r="G77">
        <f t="shared" si="8"/>
        <v>13.218436873747494</v>
      </c>
      <c r="H77">
        <f>[1]!XLSTAT_PDFNormal(G77,16,1)</f>
        <v>8.3333874744556027E-3</v>
      </c>
      <c r="I77">
        <v>77</v>
      </c>
      <c r="J77">
        <f t="shared" si="9"/>
        <v>12.468</v>
      </c>
      <c r="K77">
        <f t="shared" si="10"/>
        <v>12.468</v>
      </c>
      <c r="L77">
        <f>[1]!XLSTAT_PDFGeneral(J77,17, 1)</f>
        <v>7.6801296941689207E-10</v>
      </c>
      <c r="M77">
        <v>77</v>
      </c>
      <c r="O77">
        <f t="shared" si="11"/>
        <v>0.91382765531062238</v>
      </c>
      <c r="P77">
        <f>[1]!XLSTAT_PDFPoisson(O77,1)</f>
        <v>0.36787944117144233</v>
      </c>
    </row>
    <row r="78" spans="1:16" x14ac:dyDescent="0.3">
      <c r="A78">
        <v>78</v>
      </c>
      <c r="B78">
        <f t="shared" si="6"/>
        <v>-123456789</v>
      </c>
      <c r="C78">
        <f t="shared" si="7"/>
        <v>13.456</v>
      </c>
      <c r="D78">
        <f>[1]!XLSTAT_PDFGeneral(B78,14, 16, 1)</f>
        <v>0</v>
      </c>
      <c r="E78">
        <v>78</v>
      </c>
      <c r="G78">
        <f t="shared" si="8"/>
        <v>13.23446893787575</v>
      </c>
      <c r="H78">
        <f>[1]!XLSTAT_PDFNormal(G78,16,1)</f>
        <v>8.7122991086527862E-3</v>
      </c>
      <c r="I78">
        <v>78</v>
      </c>
      <c r="J78">
        <f t="shared" si="9"/>
        <v>-123456789</v>
      </c>
      <c r="K78">
        <f t="shared" si="10"/>
        <v>12.468</v>
      </c>
      <c r="L78">
        <f>[1]!XLSTAT_PDFGeneral(J78,17, 1)</f>
        <v>0</v>
      </c>
      <c r="M78">
        <v>78</v>
      </c>
      <c r="O78">
        <f t="shared" si="11"/>
        <v>0.92585170340681477</v>
      </c>
      <c r="P78">
        <f>[1]!XLSTAT_PDFPoisson(O78,1)</f>
        <v>0.36787944117144233</v>
      </c>
    </row>
    <row r="79" spans="1:16" x14ac:dyDescent="0.3">
      <c r="A79">
        <v>79</v>
      </c>
      <c r="B79">
        <f t="shared" si="6"/>
        <v>-123456789</v>
      </c>
      <c r="C79">
        <f t="shared" si="7"/>
        <v>13.468</v>
      </c>
      <c r="D79">
        <f>[1]!XLSTAT_PDFGeneral(B79,14, 16, 1)</f>
        <v>0</v>
      </c>
      <c r="E79">
        <v>79</v>
      </c>
      <c r="G79">
        <f t="shared" si="8"/>
        <v>13.250501002004007</v>
      </c>
      <c r="H79">
        <f>[1]!XLSTAT_PDFNormal(G79,16,1)</f>
        <v>9.1060986993250961E-3</v>
      </c>
      <c r="I79">
        <v>79</v>
      </c>
      <c r="J79">
        <f t="shared" si="9"/>
        <v>-123456789</v>
      </c>
      <c r="K79">
        <f t="shared" si="10"/>
        <v>12.454000000000001</v>
      </c>
      <c r="L79">
        <f>[1]!XLSTAT_PDFGeneral(J79,17, 1)</f>
        <v>0</v>
      </c>
      <c r="M79">
        <v>79</v>
      </c>
      <c r="O79">
        <f t="shared" si="11"/>
        <v>0.93787575150300717</v>
      </c>
      <c r="P79">
        <f>[1]!XLSTAT_PDFPoisson(O79,1)</f>
        <v>0.36787944117144233</v>
      </c>
    </row>
    <row r="80" spans="1:16" x14ac:dyDescent="0.3">
      <c r="A80">
        <v>80</v>
      </c>
      <c r="B80">
        <f t="shared" si="6"/>
        <v>13.468</v>
      </c>
      <c r="C80">
        <f t="shared" si="7"/>
        <v>13.468</v>
      </c>
      <c r="D80">
        <f>[1]!XLSTAT_PDFGeneral(B80,14, 16, 1)</f>
        <v>1.6172378332176187E-2</v>
      </c>
      <c r="E80">
        <v>80</v>
      </c>
      <c r="G80">
        <f t="shared" si="8"/>
        <v>13.266533066132263</v>
      </c>
      <c r="H80">
        <f>[1]!XLSTAT_PDFNormal(G80,16,1)</f>
        <v>9.5152522056032411E-3</v>
      </c>
      <c r="I80">
        <v>80</v>
      </c>
      <c r="J80">
        <f t="shared" si="9"/>
        <v>12.454000000000001</v>
      </c>
      <c r="K80">
        <f t="shared" si="10"/>
        <v>12.454000000000001</v>
      </c>
      <c r="L80">
        <f>[1]!XLSTAT_PDFGeneral(J80,17, 1)</f>
        <v>7.6801296941689207E-10</v>
      </c>
      <c r="M80">
        <v>80</v>
      </c>
      <c r="O80">
        <f t="shared" si="11"/>
        <v>0.94989979959919957</v>
      </c>
      <c r="P80">
        <f>[1]!XLSTAT_PDFPoisson(O80,1)</f>
        <v>0.36787944117144233</v>
      </c>
    </row>
    <row r="81" spans="1:16" x14ac:dyDescent="0.3">
      <c r="A81">
        <v>81</v>
      </c>
      <c r="B81">
        <f t="shared" si="6"/>
        <v>13.48</v>
      </c>
      <c r="C81">
        <f t="shared" si="7"/>
        <v>13.48</v>
      </c>
      <c r="D81">
        <f>[1]!XLSTAT_PDFGeneral(B81,14, 16, 1)</f>
        <v>1.6670100837381078E-2</v>
      </c>
      <c r="E81">
        <v>81</v>
      </c>
      <c r="G81">
        <f t="shared" si="8"/>
        <v>13.282565130260521</v>
      </c>
      <c r="H81">
        <f>[1]!XLSTAT_PDFNormal(G81,16,1)</f>
        <v>9.9402344821070947E-3</v>
      </c>
      <c r="I81">
        <v>81</v>
      </c>
      <c r="J81">
        <f t="shared" si="9"/>
        <v>12.44</v>
      </c>
      <c r="K81">
        <f t="shared" si="10"/>
        <v>12.44</v>
      </c>
      <c r="L81">
        <f>[1]!XLSTAT_PDFGeneral(J81,17, 1)</f>
        <v>7.6801296941689207E-10</v>
      </c>
      <c r="M81">
        <v>81</v>
      </c>
      <c r="O81">
        <f t="shared" si="11"/>
        <v>0.96192384769539196</v>
      </c>
      <c r="P81">
        <f>[1]!XLSTAT_PDFPoisson(O81,1)</f>
        <v>0.36787944117144233</v>
      </c>
    </row>
    <row r="82" spans="1:16" x14ac:dyDescent="0.3">
      <c r="A82">
        <v>82</v>
      </c>
      <c r="B82">
        <f t="shared" si="6"/>
        <v>-123456789</v>
      </c>
      <c r="C82">
        <f t="shared" si="7"/>
        <v>13.48</v>
      </c>
      <c r="D82">
        <f>[1]!XLSTAT_PDFGeneral(B82,14, 16, 1)</f>
        <v>0</v>
      </c>
      <c r="E82">
        <v>82</v>
      </c>
      <c r="G82">
        <f t="shared" si="8"/>
        <v>13.298597194388776</v>
      </c>
      <c r="H82">
        <f>[1]!XLSTAT_PDFNormal(G82,16,1)</f>
        <v>1.0381529179608318E-2</v>
      </c>
      <c r="I82">
        <v>82</v>
      </c>
      <c r="J82">
        <f t="shared" si="9"/>
        <v>-123456789</v>
      </c>
      <c r="K82">
        <f t="shared" si="10"/>
        <v>12.44</v>
      </c>
      <c r="L82">
        <f>[1]!XLSTAT_PDFGeneral(J82,17, 1)</f>
        <v>0</v>
      </c>
      <c r="M82">
        <v>82</v>
      </c>
      <c r="O82">
        <f t="shared" si="11"/>
        <v>0.97394789579158447</v>
      </c>
      <c r="P82">
        <f>[1]!XLSTAT_PDFPoisson(O82,1)</f>
        <v>0.36787944117144233</v>
      </c>
    </row>
    <row r="83" spans="1:16" x14ac:dyDescent="0.3">
      <c r="A83">
        <v>83</v>
      </c>
      <c r="B83">
        <f t="shared" si="6"/>
        <v>-123456789</v>
      </c>
      <c r="C83">
        <f t="shared" si="7"/>
        <v>13.492000000000001</v>
      </c>
      <c r="D83">
        <f>[1]!XLSTAT_PDFGeneral(B83,14, 16, 1)</f>
        <v>0</v>
      </c>
      <c r="E83">
        <v>83</v>
      </c>
      <c r="G83">
        <f t="shared" si="8"/>
        <v>13.314629258517034</v>
      </c>
      <c r="H83">
        <f>[1]!XLSTAT_PDFNormal(G83,16,1)</f>
        <v>1.0839628629691385E-2</v>
      </c>
      <c r="I83">
        <v>83</v>
      </c>
      <c r="J83">
        <f t="shared" si="9"/>
        <v>-123456789</v>
      </c>
      <c r="K83">
        <f t="shared" si="10"/>
        <v>12.426</v>
      </c>
      <c r="L83">
        <f>[1]!XLSTAT_PDFGeneral(J83,17, 1)</f>
        <v>0</v>
      </c>
      <c r="M83">
        <v>83</v>
      </c>
      <c r="O83">
        <f t="shared" si="11"/>
        <v>0.98597194388777687</v>
      </c>
      <c r="P83">
        <f>[1]!XLSTAT_PDFPoisson(O83,1)</f>
        <v>0.36787944117144233</v>
      </c>
    </row>
    <row r="84" spans="1:16" x14ac:dyDescent="0.3">
      <c r="A84">
        <v>84</v>
      </c>
      <c r="B84">
        <f t="shared" si="6"/>
        <v>13.492000000000001</v>
      </c>
      <c r="C84">
        <f t="shared" si="7"/>
        <v>13.492000000000001</v>
      </c>
      <c r="D84">
        <f>[1]!XLSTAT_PDFGeneral(B84,14, 16, 1)</f>
        <v>1.7180667098974301E-2</v>
      </c>
      <c r="E84">
        <v>84</v>
      </c>
      <c r="G84">
        <f t="shared" si="8"/>
        <v>13.330661322645289</v>
      </c>
      <c r="H84">
        <f>[1]!XLSTAT_PDFNormal(G84,16,1)</f>
        <v>1.1315033712878479E-2</v>
      </c>
      <c r="I84">
        <v>84</v>
      </c>
      <c r="J84">
        <f t="shared" si="9"/>
        <v>12.426</v>
      </c>
      <c r="K84">
        <f t="shared" si="10"/>
        <v>12.426</v>
      </c>
      <c r="L84">
        <f>[1]!XLSTAT_PDFGeneral(J84,17, 1)</f>
        <v>7.6801296941689207E-10</v>
      </c>
      <c r="M84">
        <v>84</v>
      </c>
      <c r="O84">
        <f t="shared" si="11"/>
        <v>0.99799599198396927</v>
      </c>
      <c r="P84">
        <f>[1]!XLSTAT_PDFPoisson(O84,1)</f>
        <v>0.36787944117144233</v>
      </c>
    </row>
    <row r="85" spans="1:16" x14ac:dyDescent="0.3">
      <c r="A85">
        <v>85</v>
      </c>
      <c r="B85">
        <f t="shared" si="6"/>
        <v>13.504</v>
      </c>
      <c r="C85">
        <f t="shared" si="7"/>
        <v>13.504</v>
      </c>
      <c r="D85">
        <f>[1]!XLSTAT_PDFGeneral(B85,14, 16, 1)</f>
        <v>1.7704321207094198E-2</v>
      </c>
      <c r="E85">
        <v>85</v>
      </c>
      <c r="G85">
        <f t="shared" si="8"/>
        <v>13.346693386773547</v>
      </c>
      <c r="H85">
        <f>[1]!XLSTAT_PDFNormal(G85,16,1)</f>
        <v>1.1808253709693821E-2</v>
      </c>
      <c r="I85">
        <v>85</v>
      </c>
      <c r="J85">
        <f t="shared" si="9"/>
        <v>12.412000000000001</v>
      </c>
      <c r="K85">
        <f t="shared" si="10"/>
        <v>12.412000000000001</v>
      </c>
      <c r="L85">
        <f>[1]!XLSTAT_PDFGeneral(J85,17, 1)</f>
        <v>7.6801296941689207E-10</v>
      </c>
      <c r="M85">
        <v>85</v>
      </c>
      <c r="O85">
        <f t="shared" si="11"/>
        <v>1.0100200400801616</v>
      </c>
      <c r="P85">
        <f>[1]!XLSTAT_PDFPoisson(O85,1)</f>
        <v>0.36787944117144233</v>
      </c>
    </row>
    <row r="86" spans="1:16" x14ac:dyDescent="0.3">
      <c r="A86">
        <v>86</v>
      </c>
      <c r="B86">
        <f t="shared" si="6"/>
        <v>-123456789</v>
      </c>
      <c r="C86">
        <f t="shared" si="7"/>
        <v>13.504</v>
      </c>
      <c r="D86">
        <f>[1]!XLSTAT_PDFGeneral(B86,14, 16, 1)</f>
        <v>0</v>
      </c>
      <c r="E86">
        <v>86</v>
      </c>
      <c r="G86">
        <f t="shared" si="8"/>
        <v>13.362725450901802</v>
      </c>
      <c r="H86">
        <f>[1]!XLSTAT_PDFNormal(G86,16,1)</f>
        <v>1.2319806134147508E-2</v>
      </c>
      <c r="I86">
        <v>86</v>
      </c>
      <c r="J86">
        <f t="shared" si="9"/>
        <v>-123456789</v>
      </c>
      <c r="K86">
        <f t="shared" si="10"/>
        <v>12.412000000000001</v>
      </c>
      <c r="L86">
        <f>[1]!XLSTAT_PDFGeneral(J86,17, 1)</f>
        <v>0</v>
      </c>
      <c r="M86">
        <v>86</v>
      </c>
      <c r="O86">
        <f t="shared" si="11"/>
        <v>1.0220440881763539</v>
      </c>
      <c r="P86">
        <f>[1]!XLSTAT_PDFPoisson(O86,1)</f>
        <v>0.36787944117144233</v>
      </c>
    </row>
    <row r="87" spans="1:16" x14ac:dyDescent="0.3">
      <c r="A87">
        <v>87</v>
      </c>
      <c r="B87">
        <f t="shared" si="6"/>
        <v>-123456789</v>
      </c>
      <c r="C87">
        <f t="shared" si="7"/>
        <v>13.516</v>
      </c>
      <c r="D87">
        <f>[1]!XLSTAT_PDFGeneral(B87,14, 16, 1)</f>
        <v>0</v>
      </c>
      <c r="E87">
        <v>87</v>
      </c>
      <c r="G87">
        <f t="shared" si="8"/>
        <v>13.37875751503006</v>
      </c>
      <c r="H87">
        <f>[1]!XLSTAT_PDFNormal(G87,16,1)</f>
        <v>1.2850216549132095E-2</v>
      </c>
      <c r="I87">
        <v>87</v>
      </c>
      <c r="J87">
        <f t="shared" si="9"/>
        <v>-123456789</v>
      </c>
      <c r="K87">
        <f t="shared" si="10"/>
        <v>12.398</v>
      </c>
      <c r="L87">
        <f>[1]!XLSTAT_PDFGeneral(J87,17, 1)</f>
        <v>0</v>
      </c>
      <c r="M87">
        <v>87</v>
      </c>
      <c r="O87">
        <f t="shared" si="11"/>
        <v>1.0340681362725463</v>
      </c>
      <c r="P87">
        <f>[1]!XLSTAT_PDFPoisson(O87,1)</f>
        <v>0.36787944117144233</v>
      </c>
    </row>
    <row r="88" spans="1:16" x14ac:dyDescent="0.3">
      <c r="A88">
        <v>88</v>
      </c>
      <c r="B88">
        <f t="shared" si="6"/>
        <v>13.516</v>
      </c>
      <c r="C88">
        <f t="shared" si="7"/>
        <v>13.516</v>
      </c>
      <c r="D88">
        <f>[1]!XLSTAT_PDFGeneral(B88,14, 16, 1)</f>
        <v>1.824130897000055E-2</v>
      </c>
      <c r="E88">
        <v>88</v>
      </c>
      <c r="G88">
        <f t="shared" si="8"/>
        <v>13.394789579158315</v>
      </c>
      <c r="H88">
        <f>[1]!XLSTAT_PDFNormal(G88,16,1)</f>
        <v>1.3400018363232482E-2</v>
      </c>
      <c r="I88">
        <v>88</v>
      </c>
      <c r="J88">
        <f t="shared" si="9"/>
        <v>12.398</v>
      </c>
      <c r="K88">
        <f t="shared" si="10"/>
        <v>12.398</v>
      </c>
      <c r="L88">
        <f>[1]!XLSTAT_PDFGeneral(J88,17, 1)</f>
        <v>7.6801296941689207E-10</v>
      </c>
      <c r="M88">
        <v>88</v>
      </c>
      <c r="O88">
        <f t="shared" si="11"/>
        <v>1.0460921843687387</v>
      </c>
      <c r="P88">
        <f>[1]!XLSTAT_PDFPoisson(O88,1)</f>
        <v>0.36787944117144233</v>
      </c>
    </row>
    <row r="89" spans="1:16" x14ac:dyDescent="0.3">
      <c r="A89">
        <v>89</v>
      </c>
      <c r="B89">
        <f t="shared" si="6"/>
        <v>13.528</v>
      </c>
      <c r="C89">
        <f t="shared" si="7"/>
        <v>13.528</v>
      </c>
      <c r="D89">
        <f>[1]!XLSTAT_PDFGeneral(B89,14, 16, 1)</f>
        <v>1.8791877822721854E-2</v>
      </c>
      <c r="E89">
        <v>89</v>
      </c>
      <c r="G89">
        <f t="shared" si="8"/>
        <v>13.410821643286573</v>
      </c>
      <c r="H89">
        <f>[1]!XLSTAT_PDFNormal(G89,16,1)</f>
        <v>1.3969752608465979E-2</v>
      </c>
      <c r="I89">
        <v>89</v>
      </c>
      <c r="J89">
        <f t="shared" si="9"/>
        <v>12.384</v>
      </c>
      <c r="K89">
        <f t="shared" si="10"/>
        <v>12.384</v>
      </c>
      <c r="L89">
        <f>[1]!XLSTAT_PDFGeneral(J89,17, 1)</f>
        <v>7.6801296941689207E-10</v>
      </c>
      <c r="M89">
        <v>89</v>
      </c>
      <c r="O89">
        <f t="shared" si="11"/>
        <v>1.0581162324649311</v>
      </c>
      <c r="P89">
        <f>[1]!XLSTAT_PDFPoisson(O89,1)</f>
        <v>0.36787944117144233</v>
      </c>
    </row>
    <row r="90" spans="1:16" x14ac:dyDescent="0.3">
      <c r="A90">
        <v>90</v>
      </c>
      <c r="B90">
        <f t="shared" si="6"/>
        <v>-123456789</v>
      </c>
      <c r="C90">
        <f t="shared" si="7"/>
        <v>13.528</v>
      </c>
      <c r="D90">
        <f>[1]!XLSTAT_PDFGeneral(B90,14, 16, 1)</f>
        <v>0</v>
      </c>
      <c r="E90">
        <v>90</v>
      </c>
      <c r="G90">
        <f t="shared" si="8"/>
        <v>13.426853707414828</v>
      </c>
      <c r="H90">
        <f>[1]!XLSTAT_PDFNormal(G90,16,1)</f>
        <v>1.4559967698479528E-2</v>
      </c>
      <c r="I90">
        <v>90</v>
      </c>
      <c r="J90">
        <f t="shared" si="9"/>
        <v>-123456789</v>
      </c>
      <c r="K90">
        <f t="shared" si="10"/>
        <v>12.384</v>
      </c>
      <c r="L90">
        <f>[1]!XLSTAT_PDFGeneral(J90,17, 1)</f>
        <v>0</v>
      </c>
      <c r="M90">
        <v>90</v>
      </c>
      <c r="O90">
        <f t="shared" si="11"/>
        <v>1.0701402805611235</v>
      </c>
      <c r="P90">
        <f>[1]!XLSTAT_PDFPoisson(O90,1)</f>
        <v>0.36787944117144233</v>
      </c>
    </row>
    <row r="91" spans="1:16" x14ac:dyDescent="0.3">
      <c r="A91">
        <v>91</v>
      </c>
      <c r="B91">
        <f t="shared" si="6"/>
        <v>-123456789</v>
      </c>
      <c r="C91">
        <f t="shared" si="7"/>
        <v>13.54</v>
      </c>
      <c r="D91">
        <f>[1]!XLSTAT_PDFGeneral(B91,14, 16, 1)</f>
        <v>0</v>
      </c>
      <c r="E91">
        <v>91</v>
      </c>
      <c r="G91">
        <f t="shared" si="8"/>
        <v>13.442885771543086</v>
      </c>
      <c r="H91">
        <f>[1]!XLSTAT_PDFNormal(G91,16,1)</f>
        <v>1.5171219166750958E-2</v>
      </c>
      <c r="I91">
        <v>91</v>
      </c>
      <c r="J91">
        <f t="shared" si="9"/>
        <v>-123456789</v>
      </c>
      <c r="K91">
        <f t="shared" si="10"/>
        <v>12.37</v>
      </c>
      <c r="L91">
        <f>[1]!XLSTAT_PDFGeneral(J91,17, 1)</f>
        <v>0</v>
      </c>
      <c r="M91">
        <v>91</v>
      </c>
      <c r="O91">
        <f t="shared" si="11"/>
        <v>1.0821643286573159</v>
      </c>
      <c r="P91">
        <f>[1]!XLSTAT_PDFPoisson(O91,1)</f>
        <v>0.36787944117144233</v>
      </c>
    </row>
    <row r="92" spans="1:16" x14ac:dyDescent="0.3">
      <c r="A92">
        <v>92</v>
      </c>
      <c r="B92">
        <f t="shared" si="6"/>
        <v>13.54</v>
      </c>
      <c r="C92">
        <f t="shared" si="7"/>
        <v>13.54</v>
      </c>
      <c r="D92">
        <f>[1]!XLSTAT_PDFGeneral(B92,14, 16, 1)</f>
        <v>1.9356276731736923E-2</v>
      </c>
      <c r="E92">
        <v>92</v>
      </c>
      <c r="G92">
        <f t="shared" si="8"/>
        <v>13.458917835671341</v>
      </c>
      <c r="H92">
        <f>[1]!XLSTAT_PDFNormal(G92,16,1)</f>
        <v>1.5804069384354111E-2</v>
      </c>
      <c r="I92">
        <v>92</v>
      </c>
      <c r="J92">
        <f t="shared" si="9"/>
        <v>12.37</v>
      </c>
      <c r="K92">
        <f t="shared" si="10"/>
        <v>12.37</v>
      </c>
      <c r="L92">
        <f>[1]!XLSTAT_PDFGeneral(J92,17, 1)</f>
        <v>7.6801296941689207E-10</v>
      </c>
      <c r="M92">
        <v>92</v>
      </c>
      <c r="O92">
        <f t="shared" si="11"/>
        <v>1.0941883767535083</v>
      </c>
      <c r="P92">
        <f>[1]!XLSTAT_PDFPoisson(O92,1)</f>
        <v>0.36787944117144233</v>
      </c>
    </row>
    <row r="93" spans="1:16" x14ac:dyDescent="0.3">
      <c r="A93">
        <v>93</v>
      </c>
      <c r="B93">
        <f t="shared" si="6"/>
        <v>13.552</v>
      </c>
      <c r="C93">
        <f t="shared" si="7"/>
        <v>13.552</v>
      </c>
      <c r="D93">
        <f>[1]!XLSTAT_PDFGeneral(B93,14, 16, 1)</f>
        <v>1.9934756095653629E-2</v>
      </c>
      <c r="E93">
        <v>93</v>
      </c>
      <c r="G93">
        <f t="shared" si="8"/>
        <v>13.474949899799597</v>
      </c>
      <c r="H93">
        <f>[1]!XLSTAT_PDFNormal(G93,16,1)</f>
        <v>1.6459087256870925E-2</v>
      </c>
      <c r="I93">
        <v>93</v>
      </c>
      <c r="J93">
        <f t="shared" si="9"/>
        <v>12.356</v>
      </c>
      <c r="K93">
        <f t="shared" si="10"/>
        <v>12.356</v>
      </c>
      <c r="L93">
        <f>[1]!XLSTAT_PDFGeneral(J93,17, 1)</f>
        <v>7.6801296941689207E-10</v>
      </c>
      <c r="M93">
        <v>93</v>
      </c>
      <c r="O93">
        <f t="shared" si="11"/>
        <v>1.1062124248497007</v>
      </c>
      <c r="P93">
        <f>[1]!XLSTAT_PDFPoisson(O93,1)</f>
        <v>0.36787944117144233</v>
      </c>
    </row>
    <row r="94" spans="1:16" x14ac:dyDescent="0.3">
      <c r="A94">
        <v>94</v>
      </c>
      <c r="B94">
        <f t="shared" si="6"/>
        <v>-123456789</v>
      </c>
      <c r="C94">
        <f t="shared" si="7"/>
        <v>13.552</v>
      </c>
      <c r="D94">
        <f>[1]!XLSTAT_PDFGeneral(B94,14, 16, 1)</f>
        <v>0</v>
      </c>
      <c r="E94">
        <v>94</v>
      </c>
      <c r="G94">
        <f t="shared" si="8"/>
        <v>13.490981963927855</v>
      </c>
      <c r="H94">
        <f>[1]!XLSTAT_PDFNormal(G94,16,1)</f>
        <v>1.7136847900050569E-2</v>
      </c>
      <c r="I94">
        <v>94</v>
      </c>
      <c r="J94">
        <f t="shared" si="9"/>
        <v>-123456789</v>
      </c>
      <c r="K94">
        <f t="shared" si="10"/>
        <v>12.356</v>
      </c>
      <c r="L94">
        <f>[1]!XLSTAT_PDFGeneral(J94,17, 1)</f>
        <v>0</v>
      </c>
      <c r="M94">
        <v>94</v>
      </c>
      <c r="O94">
        <f t="shared" si="11"/>
        <v>1.1182364729458931</v>
      </c>
      <c r="P94">
        <f>[1]!XLSTAT_PDFPoisson(O94,1)</f>
        <v>0.36787944117144233</v>
      </c>
    </row>
    <row r="95" spans="1:16" x14ac:dyDescent="0.3">
      <c r="A95">
        <v>95</v>
      </c>
      <c r="B95">
        <f t="shared" si="6"/>
        <v>-123456789</v>
      </c>
      <c r="C95">
        <f t="shared" si="7"/>
        <v>13.564</v>
      </c>
      <c r="D95">
        <f>[1]!XLSTAT_PDFGeneral(B95,14, 16, 1)</f>
        <v>0</v>
      </c>
      <c r="E95">
        <v>95</v>
      </c>
      <c r="G95">
        <f t="shared" si="8"/>
        <v>13.507014028056112</v>
      </c>
      <c r="H95">
        <f>[1]!XLSTAT_PDFNormal(G95,16,1)</f>
        <v>1.7837932293840075E-2</v>
      </c>
      <c r="I95">
        <v>95</v>
      </c>
      <c r="J95">
        <f t="shared" si="9"/>
        <v>-123456789</v>
      </c>
      <c r="K95">
        <f t="shared" si="10"/>
        <v>12.342000000000001</v>
      </c>
      <c r="L95">
        <f>[1]!XLSTAT_PDFGeneral(J95,17, 1)</f>
        <v>0</v>
      </c>
      <c r="M95">
        <v>95</v>
      </c>
      <c r="O95">
        <f t="shared" si="11"/>
        <v>1.1302605210420855</v>
      </c>
      <c r="P95">
        <f>[1]!XLSTAT_PDFPoisson(O95,1)</f>
        <v>0.36787944117144233</v>
      </c>
    </row>
    <row r="96" spans="1:16" x14ac:dyDescent="0.3">
      <c r="A96">
        <v>96</v>
      </c>
      <c r="B96">
        <f t="shared" si="6"/>
        <v>13.564</v>
      </c>
      <c r="C96">
        <f t="shared" si="7"/>
        <v>13.564</v>
      </c>
      <c r="D96">
        <f>[1]!XLSTAT_PDFGeneral(B96,14, 16, 1)</f>
        <v>2.0527567641850292E-2</v>
      </c>
      <c r="E96">
        <v>96</v>
      </c>
      <c r="G96">
        <f t="shared" si="8"/>
        <v>13.523046092184368</v>
      </c>
      <c r="H96">
        <f>[1]!XLSTAT_PDFNormal(G96,16,1)</f>
        <v>1.8562926914435115E-2</v>
      </c>
      <c r="I96">
        <v>96</v>
      </c>
      <c r="J96">
        <f t="shared" si="9"/>
        <v>12.342000000000001</v>
      </c>
      <c r="K96">
        <f t="shared" si="10"/>
        <v>12.342000000000001</v>
      </c>
      <c r="L96">
        <f>[1]!XLSTAT_PDFGeneral(J96,17, 1)</f>
        <v>7.6801296941689207E-10</v>
      </c>
      <c r="M96">
        <v>96</v>
      </c>
      <c r="O96">
        <f t="shared" si="11"/>
        <v>1.1422845691382779</v>
      </c>
      <c r="P96">
        <f>[1]!XLSTAT_PDFPoisson(O96,1)</f>
        <v>0.36787944117144233</v>
      </c>
    </row>
    <row r="97" spans="1:16" x14ac:dyDescent="0.3">
      <c r="A97">
        <v>97</v>
      </c>
      <c r="B97">
        <f t="shared" si="6"/>
        <v>13.576000000000001</v>
      </c>
      <c r="C97">
        <f t="shared" si="7"/>
        <v>13.576000000000001</v>
      </c>
      <c r="D97">
        <f>[1]!XLSTAT_PDFGeneral(B97,14, 16, 1)</f>
        <v>2.1134964319050507E-2</v>
      </c>
      <c r="E97">
        <v>97</v>
      </c>
      <c r="G97">
        <f t="shared" si="8"/>
        <v>13.539078156312623</v>
      </c>
      <c r="H97">
        <f>[1]!XLSTAT_PDFNormal(G97,16,1)</f>
        <v>1.931242334402428E-2</v>
      </c>
      <c r="I97">
        <v>97</v>
      </c>
      <c r="J97">
        <f t="shared" si="9"/>
        <v>12.327999999999999</v>
      </c>
      <c r="K97">
        <f t="shared" si="10"/>
        <v>12.327999999999999</v>
      </c>
      <c r="L97">
        <f>[1]!XLSTAT_PDFGeneral(J97,17, 1)</f>
        <v>7.6801296941689207E-10</v>
      </c>
      <c r="M97">
        <v>97</v>
      </c>
      <c r="O97">
        <f t="shared" si="11"/>
        <v>1.1543086172344705</v>
      </c>
      <c r="P97">
        <f>[1]!XLSTAT_PDFPoisson(O97,1)</f>
        <v>0.36787944117144233</v>
      </c>
    </row>
    <row r="98" spans="1:16" x14ac:dyDescent="0.3">
      <c r="A98">
        <v>98</v>
      </c>
      <c r="B98">
        <f t="shared" si="6"/>
        <v>-123456789</v>
      </c>
      <c r="C98">
        <f t="shared" si="7"/>
        <v>13.576000000000001</v>
      </c>
      <c r="D98">
        <f>[1]!XLSTAT_PDFGeneral(B98,14, 16, 1)</f>
        <v>0</v>
      </c>
      <c r="E98">
        <v>98</v>
      </c>
      <c r="G98">
        <f t="shared" si="8"/>
        <v>13.555110220440881</v>
      </c>
      <c r="H98">
        <f>[1]!XLSTAT_PDFNormal(G98,16,1)</f>
        <v>2.0087017857928116E-2</v>
      </c>
      <c r="I98">
        <v>98</v>
      </c>
      <c r="J98">
        <f t="shared" si="9"/>
        <v>-123456789</v>
      </c>
      <c r="K98">
        <f t="shared" si="10"/>
        <v>12.327999999999999</v>
      </c>
      <c r="L98">
        <f>[1]!XLSTAT_PDFGeneral(J98,17, 1)</f>
        <v>0</v>
      </c>
      <c r="M98">
        <v>98</v>
      </c>
      <c r="O98">
        <f t="shared" si="11"/>
        <v>1.1663326653306629</v>
      </c>
      <c r="P98">
        <f>[1]!XLSTAT_PDFPoisson(O98,1)</f>
        <v>0.36787944117144233</v>
      </c>
    </row>
    <row r="99" spans="1:16" x14ac:dyDescent="0.3">
      <c r="A99">
        <v>99</v>
      </c>
      <c r="B99">
        <f t="shared" si="6"/>
        <v>-123456789</v>
      </c>
      <c r="C99">
        <f t="shared" si="7"/>
        <v>13.587999999999999</v>
      </c>
      <c r="D99">
        <f>[1]!XLSTAT_PDFGeneral(B99,14, 16, 1)</f>
        <v>0</v>
      </c>
      <c r="E99">
        <v>99</v>
      </c>
      <c r="G99">
        <f t="shared" si="8"/>
        <v>13.571142284569138</v>
      </c>
      <c r="H99">
        <f>[1]!XLSTAT_PDFNormal(G99,16,1)</f>
        <v>2.0887310988863816E-2</v>
      </c>
      <c r="I99">
        <v>99</v>
      </c>
      <c r="J99">
        <f t="shared" si="9"/>
        <v>-123456789</v>
      </c>
      <c r="K99">
        <f t="shared" si="10"/>
        <v>12.314</v>
      </c>
      <c r="L99">
        <f>[1]!XLSTAT_PDFGeneral(J99,17, 1)</f>
        <v>0</v>
      </c>
      <c r="M99">
        <v>99</v>
      </c>
      <c r="O99">
        <f t="shared" si="11"/>
        <v>1.1783567134268553</v>
      </c>
      <c r="P99">
        <f>[1]!XLSTAT_PDFPoisson(O99,1)</f>
        <v>0.36787944117144233</v>
      </c>
    </row>
    <row r="100" spans="1:16" x14ac:dyDescent="0.3">
      <c r="A100">
        <v>100</v>
      </c>
      <c r="B100">
        <f t="shared" si="6"/>
        <v>13.587999999999999</v>
      </c>
      <c r="C100">
        <f t="shared" si="7"/>
        <v>13.587999999999999</v>
      </c>
      <c r="D100">
        <f>[1]!XLSTAT_PDFGeneral(B100,14, 16, 1)</f>
        <v>2.1757200185802923E-2</v>
      </c>
      <c r="E100">
        <v>100</v>
      </c>
      <c r="G100">
        <f t="shared" si="8"/>
        <v>13.587174348697394</v>
      </c>
      <c r="H100">
        <f>[1]!XLSTAT_PDFNormal(G100,16,1)</f>
        <v>2.1713907068097948E-2</v>
      </c>
      <c r="I100">
        <v>100</v>
      </c>
      <c r="J100">
        <f t="shared" si="9"/>
        <v>12.314</v>
      </c>
      <c r="K100">
        <f t="shared" si="10"/>
        <v>12.314</v>
      </c>
      <c r="L100">
        <f>[1]!XLSTAT_PDFGeneral(J100,17, 1)</f>
        <v>7.6801296941689207E-10</v>
      </c>
      <c r="M100">
        <v>100</v>
      </c>
      <c r="O100">
        <f t="shared" si="11"/>
        <v>1.1903807615230477</v>
      </c>
      <c r="P100">
        <f>[1]!XLSTAT_PDFPoisson(O100,1)</f>
        <v>0.36787944117144233</v>
      </c>
    </row>
    <row r="101" spans="1:16" x14ac:dyDescent="0.3">
      <c r="A101">
        <v>101</v>
      </c>
      <c r="B101">
        <f t="shared" si="6"/>
        <v>13.6</v>
      </c>
      <c r="C101">
        <f t="shared" si="7"/>
        <v>13.6</v>
      </c>
      <c r="D101">
        <f>[1]!XLSTAT_PDFGeneral(B101,14, 16, 1)</f>
        <v>2.2394530294842882E-2</v>
      </c>
      <c r="E101">
        <v>101</v>
      </c>
      <c r="G101">
        <f t="shared" si="8"/>
        <v>13.603206412825649</v>
      </c>
      <c r="H101">
        <f>[1]!XLSTAT_PDFNormal(G101,16,1)</f>
        <v>2.2567413743281216E-2</v>
      </c>
      <c r="I101">
        <v>101</v>
      </c>
      <c r="J101">
        <f t="shared" si="9"/>
        <v>12.3</v>
      </c>
      <c r="K101">
        <f t="shared" si="10"/>
        <v>12.3</v>
      </c>
      <c r="L101">
        <f>[1]!XLSTAT_PDFGeneral(J101,17, 1)</f>
        <v>7.6801296941689207E-10</v>
      </c>
      <c r="M101">
        <v>101</v>
      </c>
      <c r="O101">
        <f t="shared" si="11"/>
        <v>1.2024048096192401</v>
      </c>
      <c r="P101">
        <f>[1]!XLSTAT_PDFPoisson(O101,1)</f>
        <v>0.36787944117144233</v>
      </c>
    </row>
    <row r="102" spans="1:16" x14ac:dyDescent="0.3">
      <c r="A102">
        <v>102</v>
      </c>
      <c r="B102">
        <f t="shared" si="6"/>
        <v>-123456789</v>
      </c>
      <c r="C102">
        <f t="shared" si="7"/>
        <v>13.6</v>
      </c>
      <c r="D102">
        <f>[1]!XLSTAT_PDFGeneral(B102,14, 16, 1)</f>
        <v>0</v>
      </c>
      <c r="E102">
        <v>102</v>
      </c>
      <c r="G102">
        <f t="shared" si="8"/>
        <v>13.619238476953907</v>
      </c>
      <c r="H102">
        <f>[1]!XLSTAT_PDFNormal(G102,16,1)</f>
        <v>2.3448441472794432E-2</v>
      </c>
      <c r="I102">
        <v>102</v>
      </c>
      <c r="J102">
        <f t="shared" si="9"/>
        <v>-123456789</v>
      </c>
      <c r="K102">
        <f t="shared" si="10"/>
        <v>12.3</v>
      </c>
      <c r="L102">
        <f>[1]!XLSTAT_PDFGeneral(J102,17, 1)</f>
        <v>0</v>
      </c>
      <c r="M102">
        <v>102</v>
      </c>
      <c r="O102">
        <f t="shared" si="11"/>
        <v>1.2144288577154325</v>
      </c>
      <c r="P102">
        <f>[1]!XLSTAT_PDFPoisson(O102,1)</f>
        <v>0.36787944117144233</v>
      </c>
    </row>
    <row r="103" spans="1:16" x14ac:dyDescent="0.3">
      <c r="A103">
        <v>103</v>
      </c>
      <c r="B103">
        <f t="shared" si="6"/>
        <v>-123456789</v>
      </c>
      <c r="C103">
        <f t="shared" si="7"/>
        <v>13.612</v>
      </c>
      <c r="D103">
        <f>[1]!XLSTAT_PDFGeneral(B103,14, 16, 1)</f>
        <v>0</v>
      </c>
      <c r="E103">
        <v>103</v>
      </c>
      <c r="G103">
        <f t="shared" si="8"/>
        <v>13.635270541082162</v>
      </c>
      <c r="H103">
        <f>[1]!XLSTAT_PDFNormal(G103,16,1)</f>
        <v>2.4357602996471137E-2</v>
      </c>
      <c r="I103">
        <v>103</v>
      </c>
      <c r="J103">
        <f t="shared" si="9"/>
        <v>-123456789</v>
      </c>
      <c r="K103">
        <f t="shared" si="10"/>
        <v>12.286</v>
      </c>
      <c r="L103">
        <f>[1]!XLSTAT_PDFGeneral(J103,17, 1)</f>
        <v>0</v>
      </c>
      <c r="M103">
        <v>103</v>
      </c>
      <c r="O103">
        <f t="shared" si="11"/>
        <v>1.2264529058116249</v>
      </c>
      <c r="P103">
        <f>[1]!XLSTAT_PDFPoisson(O103,1)</f>
        <v>0.36787944117144233</v>
      </c>
    </row>
    <row r="104" spans="1:16" x14ac:dyDescent="0.3">
      <c r="A104">
        <v>104</v>
      </c>
      <c r="B104">
        <f t="shared" si="6"/>
        <v>13.612</v>
      </c>
      <c r="C104">
        <f t="shared" si="7"/>
        <v>13.612</v>
      </c>
      <c r="D104">
        <f>[1]!XLSTAT_PDFGeneral(B104,14, 16, 1)</f>
        <v>2.304721057331403E-2</v>
      </c>
      <c r="E104">
        <v>104</v>
      </c>
      <c r="G104">
        <f t="shared" si="8"/>
        <v>13.65130260521042</v>
      </c>
      <c r="H104">
        <f>[1]!XLSTAT_PDFNormal(G104,16,1)</f>
        <v>2.5295512782601549E-2</v>
      </c>
      <c r="I104">
        <v>104</v>
      </c>
      <c r="J104">
        <f t="shared" si="9"/>
        <v>12.286</v>
      </c>
      <c r="K104">
        <f t="shared" si="10"/>
        <v>12.286</v>
      </c>
      <c r="L104">
        <f>[1]!XLSTAT_PDFGeneral(J104,17, 1)</f>
        <v>7.6801296941689207E-10</v>
      </c>
      <c r="M104">
        <v>104</v>
      </c>
      <c r="O104">
        <f t="shared" si="11"/>
        <v>1.2384769539078173</v>
      </c>
      <c r="P104">
        <f>[1]!XLSTAT_PDFPoisson(O104,1)</f>
        <v>0.36787944117144233</v>
      </c>
    </row>
    <row r="105" spans="1:16" x14ac:dyDescent="0.3">
      <c r="A105">
        <v>105</v>
      </c>
      <c r="B105">
        <f t="shared" si="6"/>
        <v>13.624000000000001</v>
      </c>
      <c r="C105">
        <f t="shared" si="7"/>
        <v>13.624000000000001</v>
      </c>
      <c r="D105">
        <f>[1]!XLSTAT_PDFGeneral(B105,14, 16, 1)</f>
        <v>2.3715497698834888E-2</v>
      </c>
      <c r="E105">
        <v>105</v>
      </c>
      <c r="G105">
        <f t="shared" si="8"/>
        <v>13.667334669338675</v>
      </c>
      <c r="H105">
        <f>[1]!XLSTAT_PDFNormal(G105,16,1)</f>
        <v>2.6262786451158756E-2</v>
      </c>
      <c r="I105">
        <v>105</v>
      </c>
      <c r="J105">
        <f t="shared" si="9"/>
        <v>12.272</v>
      </c>
      <c r="K105">
        <f t="shared" si="10"/>
        <v>12.272</v>
      </c>
      <c r="L105">
        <f>[1]!XLSTAT_PDFGeneral(J105,17, 1)</f>
        <v>7.6801296941689207E-10</v>
      </c>
      <c r="M105">
        <v>105</v>
      </c>
      <c r="O105">
        <f t="shared" si="11"/>
        <v>1.2505010020040097</v>
      </c>
      <c r="P105">
        <f>[1]!XLSTAT_PDFPoisson(O105,1)</f>
        <v>0.36787944117144233</v>
      </c>
    </row>
    <row r="106" spans="1:16" x14ac:dyDescent="0.3">
      <c r="A106">
        <v>106</v>
      </c>
      <c r="B106">
        <f t="shared" si="6"/>
        <v>-123456789</v>
      </c>
      <c r="C106">
        <f t="shared" si="7"/>
        <v>13.624000000000001</v>
      </c>
      <c r="D106">
        <f>[1]!XLSTAT_PDFGeneral(B106,14, 16, 1)</f>
        <v>0</v>
      </c>
      <c r="E106">
        <v>106</v>
      </c>
      <c r="G106">
        <f t="shared" si="8"/>
        <v>13.683366733466933</v>
      </c>
      <c r="H106">
        <f>[1]!XLSTAT_PDFNormal(G106,16,1)</f>
        <v>2.7260040173234541E-2</v>
      </c>
      <c r="I106">
        <v>106</v>
      </c>
      <c r="J106">
        <f t="shared" si="9"/>
        <v>-123456789</v>
      </c>
      <c r="K106">
        <f t="shared" si="10"/>
        <v>12.272</v>
      </c>
      <c r="L106">
        <f>[1]!XLSTAT_PDFGeneral(J106,17, 1)</f>
        <v>0</v>
      </c>
      <c r="M106">
        <v>106</v>
      </c>
      <c r="O106">
        <f t="shared" si="11"/>
        <v>1.2625250501002021</v>
      </c>
      <c r="P106">
        <f>[1]!XLSTAT_PDFPoisson(O106,1)</f>
        <v>0.36787944117144233</v>
      </c>
    </row>
    <row r="107" spans="1:16" x14ac:dyDescent="0.3">
      <c r="A107">
        <v>107</v>
      </c>
      <c r="B107">
        <f t="shared" si="6"/>
        <v>-123456789</v>
      </c>
      <c r="C107">
        <f t="shared" si="7"/>
        <v>13.635999999999999</v>
      </c>
      <c r="D107">
        <f>[1]!XLSTAT_PDFGeneral(B107,14, 16, 1)</f>
        <v>0</v>
      </c>
      <c r="E107">
        <v>107</v>
      </c>
      <c r="G107">
        <f t="shared" si="8"/>
        <v>13.699398797595189</v>
      </c>
      <c r="H107">
        <f>[1]!XLSTAT_PDFNormal(G107,16,1)</f>
        <v>2.8287890046709542E-2</v>
      </c>
      <c r="I107">
        <v>107</v>
      </c>
      <c r="J107">
        <f t="shared" si="9"/>
        <v>-123456789</v>
      </c>
      <c r="K107">
        <f t="shared" si="10"/>
        <v>12.257999999999999</v>
      </c>
      <c r="L107">
        <f>[1]!XLSTAT_PDFGeneral(J107,17, 1)</f>
        <v>0</v>
      </c>
      <c r="M107">
        <v>107</v>
      </c>
      <c r="O107">
        <f t="shared" si="11"/>
        <v>1.2745490981963945</v>
      </c>
      <c r="P107">
        <f>[1]!XLSTAT_PDFPoisson(O107,1)</f>
        <v>0.36787944117144233</v>
      </c>
    </row>
    <row r="108" spans="1:16" x14ac:dyDescent="0.3">
      <c r="A108">
        <v>108</v>
      </c>
      <c r="B108">
        <f t="shared" si="6"/>
        <v>13.635999999999999</v>
      </c>
      <c r="C108">
        <f t="shared" si="7"/>
        <v>13.635999999999999</v>
      </c>
      <c r="D108">
        <f>[1]!XLSTAT_PDFGeneral(B108,14, 16, 1)</f>
        <v>2.439964897139572E-2</v>
      </c>
      <c r="E108">
        <v>108</v>
      </c>
      <c r="G108">
        <f t="shared" si="8"/>
        <v>13.715430861723446</v>
      </c>
      <c r="H108">
        <f>[1]!XLSTAT_PDFNormal(G108,16,1)</f>
        <v>2.9346951448233082E-2</v>
      </c>
      <c r="I108">
        <v>108</v>
      </c>
      <c r="J108">
        <f t="shared" si="9"/>
        <v>12.257999999999999</v>
      </c>
      <c r="K108">
        <f t="shared" si="10"/>
        <v>12.257999999999999</v>
      </c>
      <c r="L108">
        <f>[1]!XLSTAT_PDFGeneral(J108,17, 1)</f>
        <v>7.6801296941689207E-10</v>
      </c>
      <c r="M108">
        <v>108</v>
      </c>
      <c r="O108">
        <f t="shared" si="11"/>
        <v>1.2865731462925869</v>
      </c>
      <c r="P108">
        <f>[1]!XLSTAT_PDFPoisson(O108,1)</f>
        <v>0.36787944117144233</v>
      </c>
    </row>
    <row r="109" spans="1:16" x14ac:dyDescent="0.3">
      <c r="A109">
        <v>109</v>
      </c>
      <c r="B109">
        <f t="shared" si="6"/>
        <v>13.648</v>
      </c>
      <c r="C109">
        <f t="shared" si="7"/>
        <v>13.648</v>
      </c>
      <c r="D109">
        <f>[1]!XLSTAT_PDFGeneral(B109,14, 16, 1)</f>
        <v>2.5099922181077736E-2</v>
      </c>
      <c r="E109">
        <v>109</v>
      </c>
      <c r="G109">
        <f t="shared" si="8"/>
        <v>13.731462925851702</v>
      </c>
      <c r="H109">
        <f>[1]!XLSTAT_PDFNormal(G109,16,1)</f>
        <v>3.0437838361627671E-2</v>
      </c>
      <c r="I109">
        <v>109</v>
      </c>
      <c r="J109">
        <f t="shared" si="9"/>
        <v>12.244</v>
      </c>
      <c r="K109">
        <f t="shared" si="10"/>
        <v>12.244</v>
      </c>
      <c r="L109">
        <f>[1]!XLSTAT_PDFGeneral(J109,17, 1)</f>
        <v>7.6801296941689207E-10</v>
      </c>
      <c r="M109">
        <v>109</v>
      </c>
      <c r="O109">
        <f t="shared" si="11"/>
        <v>1.2985971943887793</v>
      </c>
      <c r="P109">
        <f>[1]!XLSTAT_PDFPoisson(O109,1)</f>
        <v>0.36787944117144233</v>
      </c>
    </row>
    <row r="110" spans="1:16" x14ac:dyDescent="0.3">
      <c r="A110">
        <v>110</v>
      </c>
      <c r="B110">
        <f t="shared" si="6"/>
        <v>-123456789</v>
      </c>
      <c r="C110">
        <f t="shared" si="7"/>
        <v>13.648</v>
      </c>
      <c r="D110">
        <f>[1]!XLSTAT_PDFGeneral(B110,14, 16, 1)</f>
        <v>0</v>
      </c>
      <c r="E110">
        <v>110</v>
      </c>
      <c r="G110">
        <f t="shared" si="8"/>
        <v>13.747494989979959</v>
      </c>
      <c r="H110">
        <f>[1]!XLSTAT_PDFNormal(G110,16,1)</f>
        <v>3.1561162682887944E-2</v>
      </c>
      <c r="I110">
        <v>110</v>
      </c>
      <c r="J110">
        <f t="shared" si="9"/>
        <v>-123456789</v>
      </c>
      <c r="K110">
        <f t="shared" si="10"/>
        <v>12.244</v>
      </c>
      <c r="L110">
        <f>[1]!XLSTAT_PDFGeneral(J110,17, 1)</f>
        <v>0</v>
      </c>
      <c r="M110">
        <v>110</v>
      </c>
      <c r="O110">
        <f t="shared" si="11"/>
        <v>1.3106212424849717</v>
      </c>
      <c r="P110">
        <f>[1]!XLSTAT_PDFPoisson(O110,1)</f>
        <v>0.36787944117144233</v>
      </c>
    </row>
    <row r="111" spans="1:16" x14ac:dyDescent="0.3">
      <c r="A111">
        <v>111</v>
      </c>
      <c r="B111">
        <f t="shared" si="6"/>
        <v>-123456789</v>
      </c>
      <c r="C111">
        <f t="shared" si="7"/>
        <v>13.66</v>
      </c>
      <c r="D111">
        <f>[1]!XLSTAT_PDFGeneral(B111,14, 16, 1)</f>
        <v>0</v>
      </c>
      <c r="E111">
        <v>111</v>
      </c>
      <c r="G111">
        <f t="shared" si="8"/>
        <v>13.763527054108215</v>
      </c>
      <c r="H111">
        <f>[1]!XLSTAT_PDFNormal(G111,16,1)</f>
        <v>3.2717533501985481E-2</v>
      </c>
      <c r="I111">
        <v>111</v>
      </c>
      <c r="J111">
        <f t="shared" si="9"/>
        <v>-123456789</v>
      </c>
      <c r="K111">
        <f t="shared" si="10"/>
        <v>12.23</v>
      </c>
      <c r="L111">
        <f>[1]!XLSTAT_PDFGeneral(J111,17, 1)</f>
        <v>0</v>
      </c>
      <c r="M111">
        <v>111</v>
      </c>
      <c r="O111">
        <f t="shared" si="11"/>
        <v>1.3226452905811641</v>
      </c>
      <c r="P111">
        <f>[1]!XLSTAT_PDFPoisson(O111,1)</f>
        <v>0.36787944117144233</v>
      </c>
    </row>
    <row r="112" spans="1:16" x14ac:dyDescent="0.3">
      <c r="A112">
        <v>112</v>
      </c>
      <c r="B112">
        <f t="shared" si="6"/>
        <v>13.66</v>
      </c>
      <c r="C112">
        <f t="shared" si="7"/>
        <v>13.66</v>
      </c>
      <c r="D112">
        <f>[1]!XLSTAT_PDFGeneral(B112,14, 16, 1)</f>
        <v>2.581657547158769E-2</v>
      </c>
      <c r="E112">
        <v>112</v>
      </c>
      <c r="G112">
        <f t="shared" si="8"/>
        <v>13.779559118236472</v>
      </c>
      <c r="H112">
        <f>[1]!XLSTAT_PDFNormal(G112,16,1)</f>
        <v>3.3907556361748935E-2</v>
      </c>
      <c r="I112">
        <v>112</v>
      </c>
      <c r="J112">
        <f t="shared" si="9"/>
        <v>12.23</v>
      </c>
      <c r="K112">
        <f t="shared" si="10"/>
        <v>12.23</v>
      </c>
      <c r="L112">
        <f>[1]!XLSTAT_PDFGeneral(J112,17, 1)</f>
        <v>7.6801296941689207E-10</v>
      </c>
      <c r="M112">
        <v>112</v>
      </c>
      <c r="O112">
        <f t="shared" si="11"/>
        <v>1.3346693386773565</v>
      </c>
      <c r="P112">
        <f>[1]!XLSTAT_PDFPoisson(O112,1)</f>
        <v>0.36787944117144233</v>
      </c>
    </row>
    <row r="113" spans="1:16" x14ac:dyDescent="0.3">
      <c r="A113">
        <v>113</v>
      </c>
      <c r="B113">
        <f t="shared" si="6"/>
        <v>13.672000000000001</v>
      </c>
      <c r="C113">
        <f t="shared" si="7"/>
        <v>13.672000000000001</v>
      </c>
      <c r="D113">
        <f>[1]!XLSTAT_PDFGeneral(B113,14, 16, 1)</f>
        <v>2.6549867199608838E-2</v>
      </c>
      <c r="E113">
        <v>113</v>
      </c>
      <c r="G113">
        <f t="shared" si="8"/>
        <v>13.795591182364728</v>
      </c>
      <c r="H113">
        <f>[1]!XLSTAT_PDFNormal(G113,16,1)</f>
        <v>3.5131832494133354E-2</v>
      </c>
      <c r="I113">
        <v>113</v>
      </c>
      <c r="J113">
        <f t="shared" si="9"/>
        <v>12.215999999999999</v>
      </c>
      <c r="K113">
        <f t="shared" si="10"/>
        <v>12.215999999999999</v>
      </c>
      <c r="L113">
        <f>[1]!XLSTAT_PDFGeneral(J113,17, 1)</f>
        <v>7.6801296941689207E-10</v>
      </c>
      <c r="M113">
        <v>113</v>
      </c>
      <c r="O113">
        <f t="shared" si="11"/>
        <v>1.3466933867735489</v>
      </c>
      <c r="P113">
        <f>[1]!XLSTAT_PDFPoisson(O113,1)</f>
        <v>0.36787944117144233</v>
      </c>
    </row>
    <row r="114" spans="1:16" x14ac:dyDescent="0.3">
      <c r="A114">
        <v>114</v>
      </c>
      <c r="B114">
        <f t="shared" si="6"/>
        <v>-123456789</v>
      </c>
      <c r="C114">
        <f t="shared" si="7"/>
        <v>13.672000000000001</v>
      </c>
      <c r="D114">
        <f>[1]!XLSTAT_PDFGeneral(B114,14, 16, 1)</f>
        <v>0</v>
      </c>
      <c r="E114">
        <v>114</v>
      </c>
      <c r="G114">
        <f t="shared" si="8"/>
        <v>13.811623246492985</v>
      </c>
      <c r="H114">
        <f>[1]!XLSTAT_PDFNormal(G114,16,1)</f>
        <v>3.6390958034253094E-2</v>
      </c>
      <c r="I114">
        <v>114</v>
      </c>
      <c r="J114">
        <f t="shared" si="9"/>
        <v>-123456789</v>
      </c>
      <c r="K114">
        <f t="shared" si="10"/>
        <v>12.215999999999999</v>
      </c>
      <c r="L114">
        <f>[1]!XLSTAT_PDFGeneral(J114,17, 1)</f>
        <v>0</v>
      </c>
      <c r="M114">
        <v>114</v>
      </c>
      <c r="O114">
        <f t="shared" si="11"/>
        <v>1.3587174348697413</v>
      </c>
      <c r="P114">
        <f>[1]!XLSTAT_PDFPoisson(O114,1)</f>
        <v>0.36787944117144233</v>
      </c>
    </row>
    <row r="115" spans="1:16" x14ac:dyDescent="0.3">
      <c r="A115">
        <v>115</v>
      </c>
      <c r="B115">
        <f t="shared" si="6"/>
        <v>-123456789</v>
      </c>
      <c r="C115">
        <f t="shared" si="7"/>
        <v>13.683999999999999</v>
      </c>
      <c r="D115">
        <f>[1]!XLSTAT_PDFGeneral(B115,14, 16, 1)</f>
        <v>0</v>
      </c>
      <c r="E115">
        <v>115</v>
      </c>
      <c r="G115">
        <f t="shared" si="8"/>
        <v>13.827655310621241</v>
      </c>
      <c r="H115">
        <f>[1]!XLSTAT_PDFNormal(G115,16,1)</f>
        <v>3.7685523212599409E-2</v>
      </c>
      <c r="I115">
        <v>115</v>
      </c>
      <c r="J115">
        <f t="shared" si="9"/>
        <v>-123456789</v>
      </c>
      <c r="K115">
        <f t="shared" si="10"/>
        <v>12.202</v>
      </c>
      <c r="L115">
        <f>[1]!XLSTAT_PDFGeneral(J115,17, 1)</f>
        <v>0</v>
      </c>
      <c r="M115">
        <v>115</v>
      </c>
      <c r="O115">
        <f t="shared" si="11"/>
        <v>1.3707414829659337</v>
      </c>
      <c r="P115">
        <f>[1]!XLSTAT_PDFPoisson(O115,1)</f>
        <v>0.36787944117144233</v>
      </c>
    </row>
    <row r="116" spans="1:16" x14ac:dyDescent="0.3">
      <c r="A116">
        <v>116</v>
      </c>
      <c r="B116">
        <f t="shared" si="6"/>
        <v>13.683999999999999</v>
      </c>
      <c r="C116">
        <f t="shared" si="7"/>
        <v>13.683999999999999</v>
      </c>
      <c r="D116">
        <f>[1]!XLSTAT_PDFGeneral(B116,14, 16, 1)</f>
        <v>2.7300055789969781E-2</v>
      </c>
      <c r="E116">
        <v>116</v>
      </c>
      <c r="G116">
        <f t="shared" si="8"/>
        <v>13.843687374749498</v>
      </c>
      <c r="H116">
        <f>[1]!XLSTAT_PDFNormal(G116,16,1)</f>
        <v>3.9016111525926725E-2</v>
      </c>
      <c r="I116">
        <v>116</v>
      </c>
      <c r="J116">
        <f t="shared" si="9"/>
        <v>12.202</v>
      </c>
      <c r="K116">
        <f t="shared" si="10"/>
        <v>12.202</v>
      </c>
      <c r="L116">
        <f>[1]!XLSTAT_PDFGeneral(J116,17, 1)</f>
        <v>7.6801296941689207E-10</v>
      </c>
      <c r="M116">
        <v>116</v>
      </c>
      <c r="O116">
        <f t="shared" si="11"/>
        <v>1.3827655310621261</v>
      </c>
      <c r="P116">
        <f>[1]!XLSTAT_PDFPoisson(O116,1)</f>
        <v>0.36787944117144233</v>
      </c>
    </row>
    <row r="117" spans="1:16" x14ac:dyDescent="0.3">
      <c r="A117">
        <v>117</v>
      </c>
      <c r="B117">
        <f t="shared" si="6"/>
        <v>13.696</v>
      </c>
      <c r="C117">
        <f t="shared" si="7"/>
        <v>13.696</v>
      </c>
      <c r="D117">
        <f>[1]!XLSTAT_PDFGeneral(B117,14, 16, 1)</f>
        <v>2.806739958664008E-2</v>
      </c>
      <c r="E117">
        <v>117</v>
      </c>
      <c r="G117">
        <f t="shared" si="8"/>
        <v>13.859719438877754</v>
      </c>
      <c r="H117">
        <f>[1]!XLSTAT_PDFNormal(G117,16,1)</f>
        <v>4.038329888734038E-2</v>
      </c>
      <c r="I117">
        <v>117</v>
      </c>
      <c r="J117">
        <f t="shared" si="9"/>
        <v>12.188000000000001</v>
      </c>
      <c r="K117">
        <f t="shared" si="10"/>
        <v>12.188000000000001</v>
      </c>
      <c r="L117">
        <f>[1]!XLSTAT_PDFGeneral(J117,17, 1)</f>
        <v>7.6801296941689207E-10</v>
      </c>
      <c r="M117">
        <v>117</v>
      </c>
      <c r="O117">
        <f t="shared" si="11"/>
        <v>1.3947895791583185</v>
      </c>
      <c r="P117">
        <f>[1]!XLSTAT_PDFPoisson(O117,1)</f>
        <v>0.36787944117144233</v>
      </c>
    </row>
    <row r="118" spans="1:16" x14ac:dyDescent="0.3">
      <c r="A118">
        <v>118</v>
      </c>
      <c r="B118">
        <f t="shared" si="6"/>
        <v>-123456789</v>
      </c>
      <c r="C118">
        <f t="shared" si="7"/>
        <v>13.696</v>
      </c>
      <c r="D118">
        <f>[1]!XLSTAT_PDFGeneral(B118,14, 16, 1)</f>
        <v>0</v>
      </c>
      <c r="E118">
        <v>118</v>
      </c>
      <c r="G118">
        <f t="shared" si="8"/>
        <v>13.875751503006011</v>
      </c>
      <c r="H118">
        <f>[1]!XLSTAT_PDFNormal(G118,16,1)</f>
        <v>4.1787652756183576E-2</v>
      </c>
      <c r="I118">
        <v>118</v>
      </c>
      <c r="J118">
        <f t="shared" si="9"/>
        <v>-123456789</v>
      </c>
      <c r="K118">
        <f t="shared" si="10"/>
        <v>12.188000000000001</v>
      </c>
      <c r="L118">
        <f>[1]!XLSTAT_PDFGeneral(J118,17, 1)</f>
        <v>0</v>
      </c>
      <c r="M118">
        <v>118</v>
      </c>
      <c r="O118">
        <f t="shared" si="11"/>
        <v>1.4068136272545109</v>
      </c>
      <c r="P118">
        <f>[1]!XLSTAT_PDFPoisson(O118,1)</f>
        <v>0.36787944117144233</v>
      </c>
    </row>
    <row r="119" spans="1:16" x14ac:dyDescent="0.3">
      <c r="A119">
        <v>119</v>
      </c>
      <c r="B119">
        <f t="shared" si="6"/>
        <v>-123456789</v>
      </c>
      <c r="C119">
        <f t="shared" si="7"/>
        <v>13.708</v>
      </c>
      <c r="D119">
        <f>[1]!XLSTAT_PDFGeneral(B119,14, 16, 1)</f>
        <v>0</v>
      </c>
      <c r="E119">
        <v>119</v>
      </c>
      <c r="G119">
        <f t="shared" si="8"/>
        <v>13.891783567134267</v>
      </c>
      <c r="H119">
        <f>[1]!XLSTAT_PDFNormal(G119,16,1)</f>
        <v>4.3229731248371046E-2</v>
      </c>
      <c r="I119">
        <v>119</v>
      </c>
      <c r="J119">
        <f t="shared" si="9"/>
        <v>-123456789</v>
      </c>
      <c r="K119">
        <f t="shared" si="10"/>
        <v>12.173999999999999</v>
      </c>
      <c r="L119">
        <f>[1]!XLSTAT_PDFGeneral(J119,17, 1)</f>
        <v>0</v>
      </c>
      <c r="M119">
        <v>119</v>
      </c>
      <c r="O119">
        <f t="shared" si="11"/>
        <v>1.4188376753507033</v>
      </c>
      <c r="P119">
        <f>[1]!XLSTAT_PDFPoisson(O119,1)</f>
        <v>0.36787944117144233</v>
      </c>
    </row>
    <row r="120" spans="1:16" x14ac:dyDescent="0.3">
      <c r="A120">
        <v>120</v>
      </c>
      <c r="B120">
        <f t="shared" si="6"/>
        <v>13.708</v>
      </c>
      <c r="C120">
        <f t="shared" si="7"/>
        <v>13.708</v>
      </c>
      <c r="D120">
        <f>[1]!XLSTAT_PDFGeneral(B120,14, 16, 1)</f>
        <v>2.8852156699562519E-2</v>
      </c>
      <c r="E120">
        <v>120</v>
      </c>
      <c r="G120">
        <f t="shared" si="8"/>
        <v>13.907815631262524</v>
      </c>
      <c r="H120">
        <f>[1]!XLSTAT_PDFNormal(G120,16,1)</f>
        <v>4.4710082227884633E-2</v>
      </c>
      <c r="I120">
        <v>120</v>
      </c>
      <c r="J120">
        <f t="shared" si="9"/>
        <v>12.173999999999999</v>
      </c>
      <c r="K120">
        <f t="shared" si="10"/>
        <v>12.173999999999999</v>
      </c>
      <c r="L120">
        <f>[1]!XLSTAT_PDFGeneral(J120,17, 1)</f>
        <v>7.6801296941689207E-10</v>
      </c>
      <c r="M120">
        <v>120</v>
      </c>
      <c r="O120">
        <f t="shared" si="11"/>
        <v>1.4308617234468957</v>
      </c>
      <c r="P120">
        <f>[1]!XLSTAT_PDFPoisson(O120,1)</f>
        <v>0.36787944117144233</v>
      </c>
    </row>
    <row r="121" spans="1:16" x14ac:dyDescent="0.3">
      <c r="A121">
        <v>121</v>
      </c>
      <c r="B121">
        <f t="shared" si="6"/>
        <v>13.72</v>
      </c>
      <c r="C121">
        <f t="shared" si="7"/>
        <v>13.72</v>
      </c>
      <c r="D121">
        <f>[1]!XLSTAT_PDFGeneral(B121,14, 16, 1)</f>
        <v>2.9654584847341316E-2</v>
      </c>
      <c r="E121">
        <v>121</v>
      </c>
      <c r="G121">
        <f t="shared" si="8"/>
        <v>13.92384769539078</v>
      </c>
      <c r="H121">
        <f>[1]!XLSTAT_PDFNormal(G121,16,1)</f>
        <v>4.6229242380195538E-2</v>
      </c>
      <c r="I121">
        <v>121</v>
      </c>
      <c r="J121">
        <f t="shared" si="9"/>
        <v>12.16</v>
      </c>
      <c r="K121">
        <f t="shared" si="10"/>
        <v>12.16</v>
      </c>
      <c r="L121">
        <f>[1]!XLSTAT_PDFGeneral(J121,17, 1)</f>
        <v>7.6801296941689207E-10</v>
      </c>
      <c r="M121">
        <v>121</v>
      </c>
      <c r="O121">
        <f t="shared" si="11"/>
        <v>1.4428857715430881</v>
      </c>
      <c r="P121">
        <f>[1]!XLSTAT_PDFPoisson(O121,1)</f>
        <v>0.36787944117144233</v>
      </c>
    </row>
    <row r="122" spans="1:16" x14ac:dyDescent="0.3">
      <c r="A122">
        <v>122</v>
      </c>
      <c r="B122">
        <f t="shared" si="6"/>
        <v>-123456789</v>
      </c>
      <c r="C122">
        <f t="shared" si="7"/>
        <v>13.72</v>
      </c>
      <c r="D122">
        <f>[1]!XLSTAT_PDFGeneral(B122,14, 16, 1)</f>
        <v>0</v>
      </c>
      <c r="E122">
        <v>122</v>
      </c>
      <c r="G122">
        <f t="shared" si="8"/>
        <v>13.939879759519037</v>
      </c>
      <c r="H122">
        <f>[1]!XLSTAT_PDFNormal(G122,16,1)</f>
        <v>4.778773626844797E-2</v>
      </c>
      <c r="I122">
        <v>122</v>
      </c>
      <c r="J122">
        <f t="shared" si="9"/>
        <v>-123456789</v>
      </c>
      <c r="K122">
        <f t="shared" si="10"/>
        <v>12.16</v>
      </c>
      <c r="L122">
        <f>[1]!XLSTAT_PDFGeneral(J122,17, 1)</f>
        <v>0</v>
      </c>
      <c r="M122">
        <v>122</v>
      </c>
      <c r="O122">
        <f t="shared" si="11"/>
        <v>1.4549098196392805</v>
      </c>
      <c r="P122">
        <f>[1]!XLSTAT_PDFPoisson(O122,1)</f>
        <v>0.36787944117144233</v>
      </c>
    </row>
    <row r="123" spans="1:16" x14ac:dyDescent="0.3">
      <c r="A123">
        <v>123</v>
      </c>
      <c r="B123">
        <f t="shared" si="6"/>
        <v>-123456789</v>
      </c>
      <c r="C123">
        <f t="shared" si="7"/>
        <v>13.731999999999999</v>
      </c>
      <c r="D123">
        <f>[1]!XLSTAT_PDFGeneral(B123,14, 16, 1)</f>
        <v>0</v>
      </c>
      <c r="E123">
        <v>123</v>
      </c>
      <c r="G123">
        <f t="shared" si="8"/>
        <v>13.955911823647293</v>
      </c>
      <c r="H123">
        <f>[1]!XLSTAT_PDFNormal(G123,16,1)</f>
        <v>4.9386075373288513E-2</v>
      </c>
      <c r="I123">
        <v>123</v>
      </c>
      <c r="J123">
        <f t="shared" si="9"/>
        <v>-123456789</v>
      </c>
      <c r="K123">
        <f t="shared" si="10"/>
        <v>12.146000000000001</v>
      </c>
      <c r="L123">
        <f>[1]!XLSTAT_PDFGeneral(J123,17, 1)</f>
        <v>0</v>
      </c>
      <c r="M123">
        <v>123</v>
      </c>
      <c r="O123">
        <f t="shared" si="11"/>
        <v>1.4669338677354729</v>
      </c>
      <c r="P123">
        <f>[1]!XLSTAT_PDFPoisson(O123,1)</f>
        <v>0.36787944117144233</v>
      </c>
    </row>
    <row r="124" spans="1:16" x14ac:dyDescent="0.3">
      <c r="A124">
        <v>124</v>
      </c>
      <c r="B124">
        <f t="shared" si="6"/>
        <v>13.731999999999999</v>
      </c>
      <c r="C124">
        <f t="shared" si="7"/>
        <v>13.731999999999999</v>
      </c>
      <c r="D124">
        <f>[1]!XLSTAT_PDFGeneral(B124,14, 16, 1)</f>
        <v>3.0474941195805374E-2</v>
      </c>
      <c r="E124">
        <v>124</v>
      </c>
      <c r="G124">
        <f t="shared" si="8"/>
        <v>13.97194388777555</v>
      </c>
      <c r="H124">
        <f>[1]!XLSTAT_PDFNormal(G124,16,1)</f>
        <v>5.1024757117296128E-2</v>
      </c>
      <c r="I124">
        <v>124</v>
      </c>
      <c r="J124">
        <f t="shared" si="9"/>
        <v>12.146000000000001</v>
      </c>
      <c r="K124">
        <f t="shared" si="10"/>
        <v>12.146000000000001</v>
      </c>
      <c r="L124">
        <f>[1]!XLSTAT_PDFGeneral(J124,17, 1)</f>
        <v>7.6801296941689207E-10</v>
      </c>
      <c r="M124">
        <v>124</v>
      </c>
      <c r="O124">
        <f t="shared" si="11"/>
        <v>1.4789579158316652</v>
      </c>
      <c r="P124">
        <f>[1]!XLSTAT_PDFPoisson(O124,1)</f>
        <v>0.36787944117144233</v>
      </c>
    </row>
    <row r="125" spans="1:16" x14ac:dyDescent="0.3">
      <c r="A125">
        <v>125</v>
      </c>
      <c r="B125">
        <f t="shared" si="6"/>
        <v>13.744</v>
      </c>
      <c r="C125">
        <f t="shared" si="7"/>
        <v>13.744</v>
      </c>
      <c r="D125">
        <f>[1]!XLSTAT_PDFGeneral(B125,14, 16, 1)</f>
        <v>3.1313482192474262E-2</v>
      </c>
      <c r="E125">
        <v>125</v>
      </c>
      <c r="G125">
        <f t="shared" si="8"/>
        <v>13.987975951903806</v>
      </c>
      <c r="H125">
        <f>[1]!XLSTAT_PDFNormal(G125,16,1)</f>
        <v>5.2704263875017865E-2</v>
      </c>
      <c r="I125">
        <v>125</v>
      </c>
      <c r="J125">
        <f t="shared" si="9"/>
        <v>12.132</v>
      </c>
      <c r="K125">
        <f t="shared" si="10"/>
        <v>12.132</v>
      </c>
      <c r="L125">
        <f>[1]!XLSTAT_PDFGeneral(J125,17, 1)</f>
        <v>7.6801296941689207E-10</v>
      </c>
      <c r="M125">
        <v>125</v>
      </c>
      <c r="O125">
        <f t="shared" si="11"/>
        <v>1.4909819639278576</v>
      </c>
      <c r="P125">
        <f>[1]!XLSTAT_PDFPoisson(O125,1)</f>
        <v>0.36787944117144233</v>
      </c>
    </row>
    <row r="126" spans="1:16" x14ac:dyDescent="0.3">
      <c r="A126">
        <v>126</v>
      </c>
      <c r="B126">
        <f t="shared" si="6"/>
        <v>-123456789</v>
      </c>
      <c r="C126">
        <f t="shared" si="7"/>
        <v>13.744</v>
      </c>
      <c r="D126">
        <f>[1]!XLSTAT_PDFGeneral(B126,14, 16, 1)</f>
        <v>0</v>
      </c>
      <c r="E126">
        <v>126</v>
      </c>
      <c r="G126">
        <f t="shared" si="8"/>
        <v>14.004008016032063</v>
      </c>
      <c r="H126">
        <f>[1]!XLSTAT_PDFNormal(G126,16,1)</f>
        <v>5.4425061969685863E-2</v>
      </c>
      <c r="I126">
        <v>126</v>
      </c>
      <c r="J126">
        <f t="shared" si="9"/>
        <v>-123456789</v>
      </c>
      <c r="K126">
        <f t="shared" si="10"/>
        <v>12.132</v>
      </c>
      <c r="L126">
        <f>[1]!XLSTAT_PDFGeneral(J126,17, 1)</f>
        <v>0</v>
      </c>
      <c r="M126">
        <v>126</v>
      </c>
      <c r="O126">
        <f t="shared" si="11"/>
        <v>1.50300601202405</v>
      </c>
      <c r="P126">
        <f>[1]!XLSTAT_PDFPoisson(O126,1)</f>
        <v>0.36787944117144233</v>
      </c>
    </row>
    <row r="127" spans="1:16" x14ac:dyDescent="0.3">
      <c r="A127">
        <v>127</v>
      </c>
      <c r="B127">
        <f t="shared" si="6"/>
        <v>-123456789</v>
      </c>
      <c r="C127">
        <f t="shared" si="7"/>
        <v>13.756</v>
      </c>
      <c r="D127">
        <f>[1]!XLSTAT_PDFGeneral(B127,14, 16, 1)</f>
        <v>0</v>
      </c>
      <c r="E127">
        <v>127</v>
      </c>
      <c r="G127">
        <f t="shared" si="8"/>
        <v>14.020040080160319</v>
      </c>
      <c r="H127">
        <f>[1]!XLSTAT_PDFNormal(G127,16,1)</f>
        <v>5.6187600657740353E-2</v>
      </c>
      <c r="I127">
        <v>127</v>
      </c>
      <c r="J127">
        <f t="shared" si="9"/>
        <v>-123456789</v>
      </c>
      <c r="K127">
        <f t="shared" si="10"/>
        <v>12.118</v>
      </c>
      <c r="L127">
        <f>[1]!XLSTAT_PDFGeneral(J127,17, 1)</f>
        <v>0</v>
      </c>
      <c r="M127">
        <v>127</v>
      </c>
      <c r="O127">
        <f t="shared" si="11"/>
        <v>1.5150300601202424</v>
      </c>
      <c r="P127">
        <f>[1]!XLSTAT_PDFPoisson(O127,1)</f>
        <v>0.36787944117144233</v>
      </c>
    </row>
    <row r="128" spans="1:16" x14ac:dyDescent="0.3">
      <c r="A128">
        <v>128</v>
      </c>
      <c r="B128">
        <f t="shared" si="6"/>
        <v>13.756</v>
      </c>
      <c r="C128">
        <f t="shared" si="7"/>
        <v>13.756</v>
      </c>
      <c r="D128">
        <f>[1]!XLSTAT_PDFGeneral(B128,14, 16, 1)</f>
        <v>3.2170463396955971E-2</v>
      </c>
      <c r="E128">
        <v>128</v>
      </c>
      <c r="G128">
        <f t="shared" si="8"/>
        <v>14.036072144288575</v>
      </c>
      <c r="H128">
        <f>[1]!XLSTAT_PDFNormal(G128,16,1)</f>
        <v>5.7992311102354456E-2</v>
      </c>
      <c r="I128">
        <v>128</v>
      </c>
      <c r="J128">
        <f t="shared" si="9"/>
        <v>12.118</v>
      </c>
      <c r="K128">
        <f t="shared" si="10"/>
        <v>12.118</v>
      </c>
      <c r="L128">
        <f>[1]!XLSTAT_PDFGeneral(J128,17, 1)</f>
        <v>7.6801296941689207E-10</v>
      </c>
      <c r="M128">
        <v>128</v>
      </c>
      <c r="O128">
        <f t="shared" si="11"/>
        <v>1.5270541082164348</v>
      </c>
      <c r="P128">
        <f>[1]!XLSTAT_PDFPoisson(O128,1)</f>
        <v>0.36787944117144233</v>
      </c>
    </row>
    <row r="129" spans="1:16" x14ac:dyDescent="0.3">
      <c r="A129">
        <v>129</v>
      </c>
      <c r="B129">
        <f t="shared" ref="B129:B192" si="12">IF(-1^(INT(A129/2)+2)&gt;0,13+2*INT(A129/2-1/2)*0.006,-123456789)</f>
        <v>13.768000000000001</v>
      </c>
      <c r="C129">
        <f t="shared" ref="C129:C192" si="13">13+2*INT(A129/2-1/2)*0.006</f>
        <v>13.768000000000001</v>
      </c>
      <c r="D129">
        <f>[1]!XLSTAT_PDFGeneral(B129,14, 16, 1)</f>
        <v>3.3046139307314877E-2</v>
      </c>
      <c r="E129">
        <v>129</v>
      </c>
      <c r="G129">
        <f t="shared" ref="G129:G192" si="14">12+(E129-1)*0.0160320641282565</f>
        <v>14.052104208416832</v>
      </c>
      <c r="H129">
        <f>[1]!XLSTAT_PDFNormal(G129,16,1)</f>
        <v>5.9839605337205129E-2</v>
      </c>
      <c r="I129">
        <v>129</v>
      </c>
      <c r="J129">
        <f t="shared" ref="J129:J192" si="15">IF(-1^(INT(I129/2)+2)&gt;0,13+2*INT(I129/2-1/2)*-0.007,-123456789)</f>
        <v>12.103999999999999</v>
      </c>
      <c r="K129">
        <f t="shared" ref="K129:K192" si="16">13+2*INT(I129/2-1/2)*-0.007</f>
        <v>12.103999999999999</v>
      </c>
      <c r="L129">
        <f>[1]!XLSTAT_PDFGeneral(J129,17, 1)</f>
        <v>7.6801296941689207E-10</v>
      </c>
      <c r="M129">
        <v>129</v>
      </c>
      <c r="O129">
        <f t="shared" ref="O129:O192" si="17">0+(M129-1)*0.0120240480961924</f>
        <v>1.5390781563126272</v>
      </c>
      <c r="P129">
        <f>[1]!XLSTAT_PDFPoisson(O129,1)</f>
        <v>0.36787944117144233</v>
      </c>
    </row>
    <row r="130" spans="1:16" x14ac:dyDescent="0.3">
      <c r="A130">
        <v>130</v>
      </c>
      <c r="B130">
        <f t="shared" si="12"/>
        <v>-123456789</v>
      </c>
      <c r="C130">
        <f t="shared" si="13"/>
        <v>13.768000000000001</v>
      </c>
      <c r="D130">
        <f>[1]!XLSTAT_PDFGeneral(B130,14, 16, 1)</f>
        <v>0</v>
      </c>
      <c r="E130">
        <v>130</v>
      </c>
      <c r="G130">
        <f t="shared" si="14"/>
        <v>14.06813627254509</v>
      </c>
      <c r="H130">
        <f>[1]!XLSTAT_PDFNormal(G130,16,1)</f>
        <v>6.1729875221799839E-2</v>
      </c>
      <c r="I130">
        <v>130</v>
      </c>
      <c r="J130">
        <f t="shared" si="15"/>
        <v>-123456789</v>
      </c>
      <c r="K130">
        <f t="shared" si="16"/>
        <v>12.103999999999999</v>
      </c>
      <c r="L130">
        <f>[1]!XLSTAT_PDFGeneral(J130,17, 1)</f>
        <v>0</v>
      </c>
      <c r="M130">
        <v>130</v>
      </c>
      <c r="O130">
        <f t="shared" si="17"/>
        <v>1.5511022044088196</v>
      </c>
      <c r="P130">
        <f>[1]!XLSTAT_PDFPoisson(O130,1)</f>
        <v>0.36787944117144233</v>
      </c>
    </row>
    <row r="131" spans="1:16" x14ac:dyDescent="0.3">
      <c r="A131">
        <v>131</v>
      </c>
      <c r="B131">
        <f t="shared" si="12"/>
        <v>-123456789</v>
      </c>
      <c r="C131">
        <f t="shared" si="13"/>
        <v>13.78</v>
      </c>
      <c r="D131">
        <f>[1]!XLSTAT_PDFGeneral(B131,14, 16, 1)</f>
        <v>0</v>
      </c>
      <c r="E131">
        <v>131</v>
      </c>
      <c r="G131">
        <f t="shared" si="14"/>
        <v>14.084168336673345</v>
      </c>
      <c r="H131">
        <f>[1]!XLSTAT_PDFNormal(G131,16,1)</f>
        <v>6.3663491389724686E-2</v>
      </c>
      <c r="I131">
        <v>131</v>
      </c>
      <c r="J131">
        <f t="shared" si="15"/>
        <v>-123456789</v>
      </c>
      <c r="K131">
        <f t="shared" si="16"/>
        <v>12.09</v>
      </c>
      <c r="L131">
        <f>[1]!XLSTAT_PDFGeneral(J131,17, 1)</f>
        <v>0</v>
      </c>
      <c r="M131">
        <v>131</v>
      </c>
      <c r="O131">
        <f t="shared" si="17"/>
        <v>1.563126252505012</v>
      </c>
      <c r="P131">
        <f>[1]!XLSTAT_PDFPoisson(O131,1)</f>
        <v>0.36787944117144233</v>
      </c>
    </row>
    <row r="132" spans="1:16" x14ac:dyDescent="0.3">
      <c r="A132">
        <v>132</v>
      </c>
      <c r="B132">
        <f t="shared" si="12"/>
        <v>13.78</v>
      </c>
      <c r="C132">
        <f t="shared" si="13"/>
        <v>13.78</v>
      </c>
      <c r="D132">
        <f>[1]!XLSTAT_PDFGeneral(B132,14, 16, 1)</f>
        <v>3.3940763182449152E-2</v>
      </c>
      <c r="E132">
        <v>132</v>
      </c>
      <c r="G132">
        <f t="shared" si="14"/>
        <v>14.100200400801601</v>
      </c>
      <c r="H132">
        <f>[1]!XLSTAT_PDFNormal(G132,16,1)</f>
        <v>6.5640802191235137E-2</v>
      </c>
      <c r="I132">
        <v>132</v>
      </c>
      <c r="J132">
        <f t="shared" si="15"/>
        <v>12.09</v>
      </c>
      <c r="K132">
        <f t="shared" si="16"/>
        <v>12.09</v>
      </c>
      <c r="L132">
        <f>[1]!XLSTAT_PDFGeneral(J132,17, 1)</f>
        <v>7.6801296941689207E-10</v>
      </c>
      <c r="M132">
        <v>132</v>
      </c>
      <c r="O132">
        <f t="shared" si="17"/>
        <v>1.5751503006012044</v>
      </c>
      <c r="P132">
        <f>[1]!XLSTAT_PDFPoisson(O132,1)</f>
        <v>0.36787944117144233</v>
      </c>
    </row>
    <row r="133" spans="1:16" x14ac:dyDescent="0.3">
      <c r="A133">
        <v>133</v>
      </c>
      <c r="B133">
        <f t="shared" si="12"/>
        <v>13.792</v>
      </c>
      <c r="C133">
        <f t="shared" si="13"/>
        <v>13.792</v>
      </c>
      <c r="D133">
        <f>[1]!XLSTAT_PDFGeneral(B133,14, 16, 1)</f>
        <v>3.4854586860525415E-2</v>
      </c>
      <c r="E133">
        <v>133</v>
      </c>
      <c r="G133">
        <f t="shared" si="14"/>
        <v>14.116232464929858</v>
      </c>
      <c r="H133">
        <f>[1]!XLSTAT_PDFNormal(G133,16,1)</f>
        <v>6.7662132631665498E-2</v>
      </c>
      <c r="I133">
        <v>133</v>
      </c>
      <c r="J133">
        <f t="shared" si="15"/>
        <v>12.076000000000001</v>
      </c>
      <c r="K133">
        <f t="shared" si="16"/>
        <v>12.076000000000001</v>
      </c>
      <c r="L133">
        <f>[1]!XLSTAT_PDFGeneral(J133,17, 1)</f>
        <v>7.6801296941689207E-10</v>
      </c>
      <c r="M133">
        <v>133</v>
      </c>
      <c r="O133">
        <f t="shared" si="17"/>
        <v>1.5871743486973968</v>
      </c>
      <c r="P133">
        <f>[1]!XLSTAT_PDFPoisson(O133,1)</f>
        <v>0.36787944117144233</v>
      </c>
    </row>
    <row r="134" spans="1:16" x14ac:dyDescent="0.3">
      <c r="A134">
        <v>134</v>
      </c>
      <c r="B134">
        <f t="shared" si="12"/>
        <v>-123456789</v>
      </c>
      <c r="C134">
        <f t="shared" si="13"/>
        <v>13.792</v>
      </c>
      <c r="D134">
        <f>[1]!XLSTAT_PDFGeneral(B134,14, 16, 1)</f>
        <v>0</v>
      </c>
      <c r="E134">
        <v>134</v>
      </c>
      <c r="G134">
        <f t="shared" si="14"/>
        <v>14.132264529058116</v>
      </c>
      <c r="H134">
        <f>[1]!XLSTAT_PDFNormal(G134,16,1)</f>
        <v>6.9727783307189206E-2</v>
      </c>
      <c r="I134">
        <v>134</v>
      </c>
      <c r="J134">
        <f t="shared" si="15"/>
        <v>-123456789</v>
      </c>
      <c r="K134">
        <f t="shared" si="16"/>
        <v>12.076000000000001</v>
      </c>
      <c r="L134">
        <f>[1]!XLSTAT_PDFGeneral(J134,17, 1)</f>
        <v>0</v>
      </c>
      <c r="M134">
        <v>134</v>
      </c>
      <c r="O134">
        <f t="shared" si="17"/>
        <v>1.5991983967935892</v>
      </c>
      <c r="P134">
        <f>[1]!XLSTAT_PDFPoisson(O134,1)</f>
        <v>0.36787944117144233</v>
      </c>
    </row>
    <row r="135" spans="1:16" x14ac:dyDescent="0.3">
      <c r="A135">
        <v>135</v>
      </c>
      <c r="B135">
        <f t="shared" si="12"/>
        <v>-123456789</v>
      </c>
      <c r="C135">
        <f t="shared" si="13"/>
        <v>13.804</v>
      </c>
      <c r="D135">
        <f>[1]!XLSTAT_PDFGeneral(B135,14, 16, 1)</f>
        <v>0</v>
      </c>
      <c r="E135">
        <v>135</v>
      </c>
      <c r="G135">
        <f t="shared" si="14"/>
        <v>14.148296593186371</v>
      </c>
      <c r="H135">
        <f>[1]!XLSTAT_PDFNormal(G135,16,1)</f>
        <v>7.1838029339514678E-2</v>
      </c>
      <c r="I135">
        <v>135</v>
      </c>
      <c r="J135">
        <f t="shared" si="15"/>
        <v>-123456789</v>
      </c>
      <c r="K135">
        <f t="shared" si="16"/>
        <v>12.061999999999999</v>
      </c>
      <c r="L135">
        <f>[1]!XLSTAT_PDFGeneral(J135,17, 1)</f>
        <v>0</v>
      </c>
      <c r="M135">
        <v>135</v>
      </c>
      <c r="O135">
        <f t="shared" si="17"/>
        <v>1.6112224448897816</v>
      </c>
      <c r="P135">
        <f>[1]!XLSTAT_PDFPoisson(O135,1)</f>
        <v>0.36787944117144233</v>
      </c>
    </row>
    <row r="136" spans="1:16" x14ac:dyDescent="0.3">
      <c r="A136">
        <v>136</v>
      </c>
      <c r="B136">
        <f t="shared" si="12"/>
        <v>13.804</v>
      </c>
      <c r="C136">
        <f t="shared" si="13"/>
        <v>13.804</v>
      </c>
      <c r="D136">
        <f>[1]!XLSTAT_PDFGeneral(B136,14, 16, 1)</f>
        <v>3.5787860573520229E-2</v>
      </c>
      <c r="E136">
        <v>136</v>
      </c>
      <c r="G136">
        <f t="shared" si="14"/>
        <v>14.164328657314627</v>
      </c>
      <c r="H136">
        <f>[1]!XLSTAT_PDFNormal(G136,16,1)</f>
        <v>7.3993119311150851E-2</v>
      </c>
      <c r="I136">
        <v>136</v>
      </c>
      <c r="J136">
        <f t="shared" si="15"/>
        <v>12.061999999999999</v>
      </c>
      <c r="K136">
        <f t="shared" si="16"/>
        <v>12.061999999999999</v>
      </c>
      <c r="L136">
        <f>[1]!XLSTAT_PDFGeneral(J136,17, 1)</f>
        <v>7.6801296941689207E-10</v>
      </c>
      <c r="M136">
        <v>136</v>
      </c>
      <c r="O136">
        <f t="shared" si="17"/>
        <v>1.623246492985974</v>
      </c>
      <c r="P136">
        <f>[1]!XLSTAT_PDFPoisson(O136,1)</f>
        <v>0.36787944117144233</v>
      </c>
    </row>
    <row r="137" spans="1:16" x14ac:dyDescent="0.3">
      <c r="A137">
        <v>137</v>
      </c>
      <c r="B137">
        <f t="shared" si="12"/>
        <v>13.816000000000001</v>
      </c>
      <c r="C137">
        <f t="shared" si="13"/>
        <v>13.816000000000001</v>
      </c>
      <c r="D137">
        <f>[1]!XLSTAT_PDFGeneral(B137,14, 16, 1)</f>
        <v>3.6740832757928069E-2</v>
      </c>
      <c r="E137">
        <v>137</v>
      </c>
      <c r="G137">
        <f t="shared" si="14"/>
        <v>14.180360721442884</v>
      </c>
      <c r="H137">
        <f>[1]!XLSTAT_PDFNormal(G137,16,1)</f>
        <v>7.6193274202925029E-2</v>
      </c>
      <c r="I137">
        <v>137</v>
      </c>
      <c r="J137">
        <f t="shared" si="15"/>
        <v>12.048</v>
      </c>
      <c r="K137">
        <f t="shared" si="16"/>
        <v>12.048</v>
      </c>
      <c r="L137">
        <f>[1]!XLSTAT_PDFGeneral(J137,17, 1)</f>
        <v>7.6801296941689207E-10</v>
      </c>
      <c r="M137">
        <v>137</v>
      </c>
      <c r="O137">
        <f t="shared" si="17"/>
        <v>1.6352705410821664</v>
      </c>
      <c r="P137">
        <f>[1]!XLSTAT_PDFPoisson(O137,1)</f>
        <v>0.36787944117144233</v>
      </c>
    </row>
    <row r="138" spans="1:16" x14ac:dyDescent="0.3">
      <c r="A138">
        <v>138</v>
      </c>
      <c r="B138">
        <f t="shared" si="12"/>
        <v>-123456789</v>
      </c>
      <c r="C138">
        <f t="shared" si="13"/>
        <v>13.816000000000001</v>
      </c>
      <c r="D138">
        <f>[1]!XLSTAT_PDFGeneral(B138,14, 16, 1)</f>
        <v>0</v>
      </c>
      <c r="E138">
        <v>138</v>
      </c>
      <c r="G138">
        <f t="shared" si="14"/>
        <v>14.19639278557114</v>
      </c>
      <c r="H138">
        <f>[1]!XLSTAT_PDFNormal(G138,16,1)</f>
        <v>7.8438686335484717E-2</v>
      </c>
      <c r="I138">
        <v>138</v>
      </c>
      <c r="J138">
        <f t="shared" si="15"/>
        <v>-123456789</v>
      </c>
      <c r="K138">
        <f t="shared" si="16"/>
        <v>12.048</v>
      </c>
      <c r="L138">
        <f>[1]!XLSTAT_PDFGeneral(J138,17, 1)</f>
        <v>0</v>
      </c>
      <c r="M138">
        <v>138</v>
      </c>
      <c r="O138">
        <f t="shared" si="17"/>
        <v>1.6472945891783588</v>
      </c>
      <c r="P138">
        <f>[1]!XLSTAT_PDFPoisson(O138,1)</f>
        <v>0.36787944117144233</v>
      </c>
    </row>
    <row r="139" spans="1:16" x14ac:dyDescent="0.3">
      <c r="A139">
        <v>139</v>
      </c>
      <c r="B139">
        <f t="shared" si="12"/>
        <v>-123456789</v>
      </c>
      <c r="C139">
        <f t="shared" si="13"/>
        <v>13.827999999999999</v>
      </c>
      <c r="D139">
        <f>[1]!XLSTAT_PDFGeneral(B139,14, 16, 1)</f>
        <v>0</v>
      </c>
      <c r="E139">
        <v>139</v>
      </c>
      <c r="G139">
        <f t="shared" si="14"/>
        <v>14.212424849699397</v>
      </c>
      <c r="H139">
        <f>[1]!XLSTAT_PDFNormal(G139,16,1)</f>
        <v>8.0729518316561985E-2</v>
      </c>
      <c r="I139">
        <v>139</v>
      </c>
      <c r="J139">
        <f t="shared" si="15"/>
        <v>-123456789</v>
      </c>
      <c r="K139">
        <f t="shared" si="16"/>
        <v>12.034000000000001</v>
      </c>
      <c r="L139">
        <f>[1]!XLSTAT_PDFGeneral(J139,17, 1)</f>
        <v>0</v>
      </c>
      <c r="M139">
        <v>139</v>
      </c>
      <c r="O139">
        <f t="shared" si="17"/>
        <v>1.6593186372745512</v>
      </c>
      <c r="P139">
        <f>[1]!XLSTAT_PDFPoisson(O139,1)</f>
        <v>0.36787944117144233</v>
      </c>
    </row>
    <row r="140" spans="1:16" x14ac:dyDescent="0.3">
      <c r="A140">
        <v>140</v>
      </c>
      <c r="B140">
        <f t="shared" si="12"/>
        <v>13.827999999999999</v>
      </c>
      <c r="C140">
        <f t="shared" si="13"/>
        <v>13.827999999999999</v>
      </c>
      <c r="D140">
        <f>[1]!XLSTAT_PDFGeneral(B140,14, 16, 1)</f>
        <v>3.7713749861696157E-2</v>
      </c>
      <c r="E140">
        <v>140</v>
      </c>
      <c r="G140">
        <f t="shared" si="14"/>
        <v>14.228456913827653</v>
      </c>
      <c r="H140">
        <f>[1]!XLSTAT_PDFNormal(G140,16,1)</f>
        <v>8.3065901995812555E-2</v>
      </c>
      <c r="I140">
        <v>140</v>
      </c>
      <c r="J140">
        <f t="shared" si="15"/>
        <v>12.034000000000001</v>
      </c>
      <c r="K140">
        <f t="shared" si="16"/>
        <v>12.034000000000001</v>
      </c>
      <c r="L140">
        <f>[1]!XLSTAT_PDFGeneral(J140,17, 1)</f>
        <v>7.6801296941689207E-10</v>
      </c>
      <c r="M140">
        <v>140</v>
      </c>
      <c r="O140">
        <f t="shared" si="17"/>
        <v>1.6713426853707436</v>
      </c>
      <c r="P140">
        <f>[1]!XLSTAT_PDFPoisson(O140,1)</f>
        <v>0.36787944117144233</v>
      </c>
    </row>
    <row r="141" spans="1:16" x14ac:dyDescent="0.3">
      <c r="A141">
        <v>141</v>
      </c>
      <c r="B141">
        <f t="shared" si="12"/>
        <v>13.84</v>
      </c>
      <c r="C141">
        <f t="shared" si="13"/>
        <v>13.84</v>
      </c>
      <c r="D141">
        <f>[1]!XLSTAT_PDFGeneral(B141,14, 16, 1)</f>
        <v>3.8706856147455608E-2</v>
      </c>
      <c r="E141">
        <v>141</v>
      </c>
      <c r="G141">
        <f t="shared" si="14"/>
        <v>14.244488977955911</v>
      </c>
      <c r="H141">
        <f>[1]!XLSTAT_PDFNormal(G141,16,1)</f>
        <v>8.5447937429095275E-2</v>
      </c>
      <c r="I141">
        <v>141</v>
      </c>
      <c r="J141">
        <f t="shared" si="15"/>
        <v>12.02</v>
      </c>
      <c r="K141">
        <f t="shared" si="16"/>
        <v>12.02</v>
      </c>
      <c r="L141">
        <f>[1]!XLSTAT_PDFGeneral(J141,17, 1)</f>
        <v>7.6801296941689207E-10</v>
      </c>
      <c r="M141">
        <v>141</v>
      </c>
      <c r="O141">
        <f t="shared" si="17"/>
        <v>1.683366733466936</v>
      </c>
      <c r="P141">
        <f>[1]!XLSTAT_PDFPoisson(O141,1)</f>
        <v>0.36787944117144233</v>
      </c>
    </row>
    <row r="142" spans="1:16" x14ac:dyDescent="0.3">
      <c r="A142">
        <v>142</v>
      </c>
      <c r="B142">
        <f t="shared" si="12"/>
        <v>-123456789</v>
      </c>
      <c r="C142">
        <f t="shared" si="13"/>
        <v>13.84</v>
      </c>
      <c r="D142">
        <f>[1]!XLSTAT_PDFGeneral(B142,14, 16, 1)</f>
        <v>0</v>
      </c>
      <c r="E142">
        <v>142</v>
      </c>
      <c r="G142">
        <f t="shared" si="14"/>
        <v>14.260521042084166</v>
      </c>
      <c r="H142">
        <f>[1]!XLSTAT_PDFNormal(G142,16,1)</f>
        <v>8.787569185408009E-2</v>
      </c>
      <c r="I142">
        <v>142</v>
      </c>
      <c r="J142">
        <f t="shared" si="15"/>
        <v>-123456789</v>
      </c>
      <c r="K142">
        <f t="shared" si="16"/>
        <v>12.02</v>
      </c>
      <c r="L142">
        <f>[1]!XLSTAT_PDFGeneral(J142,17, 1)</f>
        <v>0</v>
      </c>
      <c r="M142">
        <v>142</v>
      </c>
      <c r="O142">
        <f t="shared" si="17"/>
        <v>1.6953907815631284</v>
      </c>
      <c r="P142">
        <f>[1]!XLSTAT_PDFPoisson(O142,1)</f>
        <v>0.36787944117144233</v>
      </c>
    </row>
    <row r="143" spans="1:16" x14ac:dyDescent="0.3">
      <c r="A143">
        <v>143</v>
      </c>
      <c r="B143">
        <f t="shared" si="12"/>
        <v>-123456789</v>
      </c>
      <c r="C143">
        <f t="shared" si="13"/>
        <v>13.852</v>
      </c>
      <c r="D143">
        <f>[1]!XLSTAT_PDFGeneral(B143,14, 16, 1)</f>
        <v>0</v>
      </c>
      <c r="E143">
        <v>143</v>
      </c>
      <c r="G143">
        <f t="shared" si="14"/>
        <v>14.276553106212424</v>
      </c>
      <c r="H143">
        <f>[1]!XLSTAT_PDFNormal(G143,16,1)</f>
        <v>9.0349198679122042E-2</v>
      </c>
      <c r="I143">
        <v>143</v>
      </c>
      <c r="J143">
        <f t="shared" si="15"/>
        <v>-123456789</v>
      </c>
      <c r="K143">
        <f t="shared" si="16"/>
        <v>12.006</v>
      </c>
      <c r="L143">
        <f>[1]!XLSTAT_PDFGeneral(J143,17, 1)</f>
        <v>0</v>
      </c>
      <c r="M143">
        <v>143</v>
      </c>
      <c r="O143">
        <f t="shared" si="17"/>
        <v>1.7074148296593208</v>
      </c>
      <c r="P143">
        <f>[1]!XLSTAT_PDFPoisson(O143,1)</f>
        <v>0.36787944117144233</v>
      </c>
    </row>
    <row r="144" spans="1:16" x14ac:dyDescent="0.3">
      <c r="A144">
        <v>144</v>
      </c>
      <c r="B144">
        <f t="shared" si="12"/>
        <v>13.852</v>
      </c>
      <c r="C144">
        <f t="shared" si="13"/>
        <v>13.852</v>
      </c>
      <c r="D144">
        <f>[1]!XLSTAT_PDFGeneral(B144,14, 16, 1)</f>
        <v>3.972039349212067E-2</v>
      </c>
      <c r="E144">
        <v>144</v>
      </c>
      <c r="G144">
        <f t="shared" si="14"/>
        <v>14.292585170340679</v>
      </c>
      <c r="H144">
        <f>[1]!XLSTAT_PDFNormal(G144,16,1)</f>
        <v>9.2868456487354867E-2</v>
      </c>
      <c r="I144">
        <v>144</v>
      </c>
      <c r="J144">
        <f t="shared" si="15"/>
        <v>12.006</v>
      </c>
      <c r="K144">
        <f t="shared" si="16"/>
        <v>12.006</v>
      </c>
      <c r="L144">
        <f>[1]!XLSTAT_PDFGeneral(J144,17, 1)</f>
        <v>7.6801296941689207E-10</v>
      </c>
      <c r="M144">
        <v>144</v>
      </c>
      <c r="O144">
        <f t="shared" si="17"/>
        <v>1.7194388777555132</v>
      </c>
      <c r="P144">
        <f>[1]!XLSTAT_PDFPoisson(O144,1)</f>
        <v>0.36787944117144233</v>
      </c>
    </row>
    <row r="145" spans="1:16" x14ac:dyDescent="0.3">
      <c r="A145">
        <v>145</v>
      </c>
      <c r="B145">
        <f t="shared" si="12"/>
        <v>13.864000000000001</v>
      </c>
      <c r="C145">
        <f t="shared" si="13"/>
        <v>13.864000000000001</v>
      </c>
      <c r="D145">
        <f>[1]!XLSTAT_PDFGeneral(B145,14, 16, 1)</f>
        <v>4.0754601182937618E-2</v>
      </c>
      <c r="E145">
        <v>145</v>
      </c>
      <c r="G145">
        <f t="shared" si="14"/>
        <v>14.308617234468937</v>
      </c>
      <c r="H145">
        <f>[1]!XLSTAT_PDFNormal(G145,16,1)</f>
        <v>9.5433428058001951E-2</v>
      </c>
      <c r="I145">
        <v>145</v>
      </c>
      <c r="J145">
        <f t="shared" si="15"/>
        <v>11.992000000000001</v>
      </c>
      <c r="K145">
        <f t="shared" si="16"/>
        <v>11.992000000000001</v>
      </c>
      <c r="L145">
        <f>[1]!XLSTAT_PDFGeneral(J145,17, 1)</f>
        <v>9.2161556330027044E-9</v>
      </c>
      <c r="M145">
        <v>145</v>
      </c>
      <c r="O145">
        <f t="shared" si="17"/>
        <v>1.7314629258517056</v>
      </c>
      <c r="P145">
        <f>[1]!XLSTAT_PDFPoisson(O145,1)</f>
        <v>0.36787944117144233</v>
      </c>
    </row>
    <row r="146" spans="1:16" x14ac:dyDescent="0.3">
      <c r="A146">
        <v>146</v>
      </c>
      <c r="B146">
        <f t="shared" si="12"/>
        <v>-123456789</v>
      </c>
      <c r="C146">
        <f t="shared" si="13"/>
        <v>13.864000000000001</v>
      </c>
      <c r="D146">
        <f>[1]!XLSTAT_PDFGeneral(B146,14, 16, 1)</f>
        <v>0</v>
      </c>
      <c r="E146">
        <v>146</v>
      </c>
      <c r="G146">
        <f t="shared" si="14"/>
        <v>14.324649298597192</v>
      </c>
      <c r="H146">
        <f>[1]!XLSTAT_PDFNormal(G146,16,1)</f>
        <v>9.8044039406910713E-2</v>
      </c>
      <c r="I146">
        <v>146</v>
      </c>
      <c r="J146">
        <f t="shared" si="15"/>
        <v>-123456789</v>
      </c>
      <c r="K146">
        <f t="shared" si="16"/>
        <v>11.992000000000001</v>
      </c>
      <c r="L146">
        <f>[1]!XLSTAT_PDFGeneral(J146,17, 1)</f>
        <v>0</v>
      </c>
      <c r="M146">
        <v>146</v>
      </c>
      <c r="O146">
        <f t="shared" si="17"/>
        <v>1.743486973947898</v>
      </c>
      <c r="P146">
        <f>[1]!XLSTAT_PDFPoisson(O146,1)</f>
        <v>0.36787944117144233</v>
      </c>
    </row>
    <row r="147" spans="1:16" x14ac:dyDescent="0.3">
      <c r="A147">
        <v>147</v>
      </c>
      <c r="B147">
        <f t="shared" si="12"/>
        <v>-123456789</v>
      </c>
      <c r="C147">
        <f t="shared" si="13"/>
        <v>13.875999999999999</v>
      </c>
      <c r="D147">
        <f>[1]!XLSTAT_PDFGeneral(B147,14, 16, 1)</f>
        <v>0</v>
      </c>
      <c r="E147">
        <v>147</v>
      </c>
      <c r="G147">
        <f t="shared" si="14"/>
        <v>14.34068136272545</v>
      </c>
      <c r="H147">
        <f>[1]!XLSTAT_PDFNormal(G147,16,1)</f>
        <v>0.1007001788483548</v>
      </c>
      <c r="I147">
        <v>147</v>
      </c>
      <c r="J147">
        <f t="shared" si="15"/>
        <v>-123456789</v>
      </c>
      <c r="K147">
        <f t="shared" si="16"/>
        <v>11.978</v>
      </c>
      <c r="L147">
        <f>[1]!XLSTAT_PDFGeneral(J147,17, 1)</f>
        <v>0</v>
      </c>
      <c r="M147">
        <v>147</v>
      </c>
      <c r="O147">
        <f t="shared" si="17"/>
        <v>1.7555110220440904</v>
      </c>
      <c r="P147">
        <f>[1]!XLSTAT_PDFPoisson(O147,1)</f>
        <v>0.36787944117144233</v>
      </c>
    </row>
    <row r="148" spans="1:16" x14ac:dyDescent="0.3">
      <c r="A148">
        <v>148</v>
      </c>
      <c r="B148">
        <f t="shared" si="12"/>
        <v>13.875999999999999</v>
      </c>
      <c r="C148">
        <f t="shared" si="13"/>
        <v>13.875999999999999</v>
      </c>
      <c r="D148">
        <f>[1]!XLSTAT_PDFGeneral(B148,14, 16, 1)</f>
        <v>4.1809715710066392E-2</v>
      </c>
      <c r="E148">
        <v>148</v>
      </c>
      <c r="G148">
        <f t="shared" si="14"/>
        <v>14.356713426853705</v>
      </c>
      <c r="H148">
        <f>[1]!XLSTAT_PDFNormal(G148,16,1)</f>
        <v>0.10340169608014901</v>
      </c>
      <c r="I148">
        <v>148</v>
      </c>
      <c r="J148">
        <f t="shared" si="15"/>
        <v>11.978</v>
      </c>
      <c r="K148">
        <f t="shared" si="16"/>
        <v>11.978</v>
      </c>
      <c r="L148">
        <f>[1]!XLSTAT_PDFGeneral(J148,17, 1)</f>
        <v>9.2161556330027044E-9</v>
      </c>
      <c r="M148">
        <v>148</v>
      </c>
      <c r="O148">
        <f t="shared" si="17"/>
        <v>1.7675350701402828</v>
      </c>
      <c r="P148">
        <f>[1]!XLSTAT_PDFPoisson(O148,1)</f>
        <v>0.36787944117144233</v>
      </c>
    </row>
    <row r="149" spans="1:16" x14ac:dyDescent="0.3">
      <c r="A149">
        <v>149</v>
      </c>
      <c r="B149">
        <f t="shared" si="12"/>
        <v>13.888</v>
      </c>
      <c r="C149">
        <f t="shared" si="13"/>
        <v>13.888</v>
      </c>
      <c r="D149">
        <f>[1]!XLSTAT_PDFGeneral(B149,14, 16, 1)</f>
        <v>4.2885970555787321E-2</v>
      </c>
      <c r="E149">
        <v>149</v>
      </c>
      <c r="G149">
        <f t="shared" si="14"/>
        <v>14.372745490981963</v>
      </c>
      <c r="H149">
        <f>[1]!XLSTAT_PDFNormal(G149,16,1)</f>
        <v>0.10614840129415312</v>
      </c>
      <c r="I149">
        <v>149</v>
      </c>
      <c r="J149">
        <f t="shared" si="15"/>
        <v>11.964</v>
      </c>
      <c r="K149">
        <f t="shared" si="16"/>
        <v>11.964</v>
      </c>
      <c r="L149">
        <f>[1]!XLSTAT_PDFGeneral(J149,17, 1)</f>
        <v>9.2161556330027044E-9</v>
      </c>
      <c r="M149">
        <v>149</v>
      </c>
      <c r="O149">
        <f t="shared" si="17"/>
        <v>1.7795591182364752</v>
      </c>
      <c r="P149">
        <f>[1]!XLSTAT_PDFPoisson(O149,1)</f>
        <v>0.36787944117144233</v>
      </c>
    </row>
    <row r="150" spans="1:16" x14ac:dyDescent="0.3">
      <c r="A150">
        <v>150</v>
      </c>
      <c r="B150">
        <f t="shared" si="12"/>
        <v>-123456789</v>
      </c>
      <c r="C150">
        <f t="shared" si="13"/>
        <v>13.888</v>
      </c>
      <c r="D150">
        <f>[1]!XLSTAT_PDFGeneral(B150,14, 16, 1)</f>
        <v>0</v>
      </c>
      <c r="E150">
        <v>150</v>
      </c>
      <c r="G150">
        <f t="shared" si="14"/>
        <v>14.388777555110218</v>
      </c>
      <c r="H150">
        <f>[1]!XLSTAT_PDFNormal(G150,16,1)</f>
        <v>0.1089400643142332</v>
      </c>
      <c r="I150">
        <v>150</v>
      </c>
      <c r="J150">
        <f t="shared" si="15"/>
        <v>-123456789</v>
      </c>
      <c r="K150">
        <f t="shared" si="16"/>
        <v>11.964</v>
      </c>
      <c r="L150">
        <f>[1]!XLSTAT_PDFGeneral(J150,17, 1)</f>
        <v>0</v>
      </c>
      <c r="M150">
        <v>150</v>
      </c>
      <c r="O150">
        <f t="shared" si="17"/>
        <v>1.7915831663326676</v>
      </c>
      <c r="P150">
        <f>[1]!XLSTAT_PDFPoisson(O150,1)</f>
        <v>0.36787944117144233</v>
      </c>
    </row>
    <row r="151" spans="1:16" x14ac:dyDescent="0.3">
      <c r="A151">
        <v>151</v>
      </c>
      <c r="B151">
        <f t="shared" si="12"/>
        <v>-123456789</v>
      </c>
      <c r="C151">
        <f t="shared" si="13"/>
        <v>13.9</v>
      </c>
      <c r="D151">
        <f>[1]!XLSTAT_PDFGeneral(B151,14, 16, 1)</f>
        <v>0</v>
      </c>
      <c r="E151">
        <v>151</v>
      </c>
      <c r="G151">
        <f t="shared" si="14"/>
        <v>14.404809619238476</v>
      </c>
      <c r="H151">
        <f>[1]!XLSTAT_PDFNormal(G151,16,1)</f>
        <v>0.11177641376377284</v>
      </c>
      <c r="I151">
        <v>151</v>
      </c>
      <c r="J151">
        <f t="shared" si="15"/>
        <v>-123456789</v>
      </c>
      <c r="K151">
        <f t="shared" si="16"/>
        <v>11.95</v>
      </c>
      <c r="L151">
        <f>[1]!XLSTAT_PDFGeneral(J151,17, 1)</f>
        <v>0</v>
      </c>
      <c r="M151">
        <v>151</v>
      </c>
      <c r="O151">
        <f t="shared" si="17"/>
        <v>1.80360721442886</v>
      </c>
      <c r="P151">
        <f>[1]!XLSTAT_PDFPoisson(O151,1)</f>
        <v>0.36787944117144233</v>
      </c>
    </row>
    <row r="152" spans="1:16" x14ac:dyDescent="0.3">
      <c r="A152">
        <v>152</v>
      </c>
      <c r="B152">
        <f t="shared" si="12"/>
        <v>13.9</v>
      </c>
      <c r="C152">
        <f t="shared" si="13"/>
        <v>13.9</v>
      </c>
      <c r="D152">
        <f>[1]!XLSTAT_PDFGeneral(B152,14, 16, 1)</f>
        <v>4.3983595980427233E-2</v>
      </c>
      <c r="E152">
        <v>152</v>
      </c>
      <c r="G152">
        <f t="shared" si="14"/>
        <v>14.420841683366731</v>
      </c>
      <c r="H152">
        <f>[1]!XLSTAT_PDFNormal(G152,16,1)</f>
        <v>0.11465713626481047</v>
      </c>
      <c r="I152">
        <v>152</v>
      </c>
      <c r="J152">
        <f t="shared" si="15"/>
        <v>11.95</v>
      </c>
      <c r="K152">
        <f t="shared" si="16"/>
        <v>11.95</v>
      </c>
      <c r="L152">
        <f>[1]!XLSTAT_PDFGeneral(J152,17, 1)</f>
        <v>9.2161556330027044E-9</v>
      </c>
      <c r="M152">
        <v>152</v>
      </c>
      <c r="O152">
        <f t="shared" si="17"/>
        <v>1.8156312625250524</v>
      </c>
      <c r="P152">
        <f>[1]!XLSTAT_PDFPoisson(O152,1)</f>
        <v>0.36787944117144233</v>
      </c>
    </row>
    <row r="153" spans="1:16" x14ac:dyDescent="0.3">
      <c r="A153">
        <v>153</v>
      </c>
      <c r="B153">
        <f t="shared" si="12"/>
        <v>13.912000000000001</v>
      </c>
      <c r="C153">
        <f t="shared" si="13"/>
        <v>13.912000000000001</v>
      </c>
      <c r="D153">
        <f>[1]!XLSTAT_PDFGeneral(B153,14, 16, 1)</f>
        <v>4.5102818805110106E-2</v>
      </c>
      <c r="E153">
        <v>153</v>
      </c>
      <c r="G153">
        <f t="shared" si="14"/>
        <v>14.436873747494989</v>
      </c>
      <c r="H153">
        <f>[1]!XLSTAT_PDFNormal(G153,16,1)</f>
        <v>0.11758187567089456</v>
      </c>
      <c r="I153">
        <v>153</v>
      </c>
      <c r="J153">
        <f t="shared" si="15"/>
        <v>11.936</v>
      </c>
      <c r="K153">
        <f t="shared" si="16"/>
        <v>11.936</v>
      </c>
      <c r="L153">
        <f>[1]!XLSTAT_PDFGeneral(J153,17, 1)</f>
        <v>9.2161556330027044E-9</v>
      </c>
      <c r="M153">
        <v>153</v>
      </c>
      <c r="O153">
        <f t="shared" si="17"/>
        <v>1.8276553106212448</v>
      </c>
      <c r="P153">
        <f>[1]!XLSTAT_PDFPoisson(O153,1)</f>
        <v>0.36787944117144233</v>
      </c>
    </row>
    <row r="154" spans="1:16" x14ac:dyDescent="0.3">
      <c r="A154">
        <v>154</v>
      </c>
      <c r="B154">
        <f t="shared" si="12"/>
        <v>-123456789</v>
      </c>
      <c r="C154">
        <f t="shared" si="13"/>
        <v>13.912000000000001</v>
      </c>
      <c r="D154">
        <f>[1]!XLSTAT_PDFGeneral(B154,14, 16, 1)</f>
        <v>0</v>
      </c>
      <c r="E154">
        <v>154</v>
      </c>
      <c r="G154">
        <f t="shared" si="14"/>
        <v>14.452905811623245</v>
      </c>
      <c r="H154">
        <f>[1]!XLSTAT_PDFNormal(G154,16,1)</f>
        <v>0.12055023233572276</v>
      </c>
      <c r="I154">
        <v>154</v>
      </c>
      <c r="J154">
        <f t="shared" si="15"/>
        <v>-123456789</v>
      </c>
      <c r="K154">
        <f t="shared" si="16"/>
        <v>11.936</v>
      </c>
      <c r="L154">
        <f>[1]!XLSTAT_PDFGeneral(J154,17, 1)</f>
        <v>0</v>
      </c>
      <c r="M154">
        <v>154</v>
      </c>
      <c r="O154">
        <f t="shared" si="17"/>
        <v>1.8396793587174372</v>
      </c>
      <c r="P154">
        <f>[1]!XLSTAT_PDFPoisson(O154,1)</f>
        <v>0.36787944117144233</v>
      </c>
    </row>
    <row r="155" spans="1:16" x14ac:dyDescent="0.3">
      <c r="A155">
        <v>155</v>
      </c>
      <c r="B155">
        <f t="shared" si="12"/>
        <v>-123456789</v>
      </c>
      <c r="C155">
        <f t="shared" si="13"/>
        <v>13.923999999999999</v>
      </c>
      <c r="D155">
        <f>[1]!XLSTAT_PDFGeneral(B155,14, 16, 1)</f>
        <v>0</v>
      </c>
      <c r="E155">
        <v>155</v>
      </c>
      <c r="G155">
        <f t="shared" si="14"/>
        <v>14.4689378757515</v>
      </c>
      <c r="H155">
        <f>[1]!XLSTAT_PDFNormal(G155,16,1)</f>
        <v>0.12356176241963907</v>
      </c>
      <c r="I155">
        <v>155</v>
      </c>
      <c r="J155">
        <f t="shared" si="15"/>
        <v>-123456789</v>
      </c>
      <c r="K155">
        <f t="shared" si="16"/>
        <v>11.922000000000001</v>
      </c>
      <c r="L155">
        <f>[1]!XLSTAT_PDFGeneral(J155,17, 1)</f>
        <v>0</v>
      </c>
      <c r="M155">
        <v>155</v>
      </c>
      <c r="O155">
        <f t="shared" si="17"/>
        <v>1.8517034068136295</v>
      </c>
      <c r="P155">
        <f>[1]!XLSTAT_PDFPoisson(O155,1)</f>
        <v>0.36787944117144233</v>
      </c>
    </row>
    <row r="156" spans="1:16" x14ac:dyDescent="0.3">
      <c r="A156">
        <v>156</v>
      </c>
      <c r="B156">
        <f t="shared" si="12"/>
        <v>13.923999999999999</v>
      </c>
      <c r="C156">
        <f t="shared" si="13"/>
        <v>13.923999999999999</v>
      </c>
      <c r="D156">
        <f>[1]!XLSTAT_PDFGeneral(B156,14, 16, 1)</f>
        <v>4.6243862191438501E-2</v>
      </c>
      <c r="E156">
        <v>156</v>
      </c>
      <c r="G156">
        <f t="shared" si="14"/>
        <v>14.484969939879758</v>
      </c>
      <c r="H156">
        <f>[1]!XLSTAT_PDFNormal(G156,16,1)</f>
        <v>0.12661597723602916</v>
      </c>
      <c r="I156">
        <v>156</v>
      </c>
      <c r="J156">
        <f t="shared" si="15"/>
        <v>11.922000000000001</v>
      </c>
      <c r="K156">
        <f t="shared" si="16"/>
        <v>11.922000000000001</v>
      </c>
      <c r="L156">
        <f>[1]!XLSTAT_PDFGeneral(J156,17, 1)</f>
        <v>9.2161556330027044E-9</v>
      </c>
      <c r="M156">
        <v>156</v>
      </c>
      <c r="O156">
        <f t="shared" si="17"/>
        <v>1.8637274549098219</v>
      </c>
      <c r="P156">
        <f>[1]!XLSTAT_PDFPoisson(O156,1)</f>
        <v>0.36787944117144233</v>
      </c>
    </row>
    <row r="157" spans="1:16" x14ac:dyDescent="0.3">
      <c r="A157">
        <v>157</v>
      </c>
      <c r="B157">
        <f t="shared" si="12"/>
        <v>13.936</v>
      </c>
      <c r="C157">
        <f t="shared" si="13"/>
        <v>13.936</v>
      </c>
      <c r="D157">
        <f>[1]!XLSTAT_PDFGeneral(B157,14, 16, 1)</f>
        <v>4.740694541822172E-2</v>
      </c>
      <c r="E157">
        <v>157</v>
      </c>
      <c r="G157">
        <f t="shared" si="14"/>
        <v>14.501002004008015</v>
      </c>
      <c r="H157">
        <f>[1]!XLSTAT_PDFNormal(G157,16,1)</f>
        <v>0.1297123426396451</v>
      </c>
      <c r="I157">
        <v>157</v>
      </c>
      <c r="J157">
        <f t="shared" si="15"/>
        <v>11.907999999999999</v>
      </c>
      <c r="K157">
        <f t="shared" si="16"/>
        <v>11.907999999999999</v>
      </c>
      <c r="L157">
        <f>[1]!XLSTAT_PDFGeneral(J157,17, 1)</f>
        <v>9.2161556330027044E-9</v>
      </c>
      <c r="M157">
        <v>157</v>
      </c>
      <c r="O157">
        <f t="shared" si="17"/>
        <v>1.8757515030060143</v>
      </c>
      <c r="P157">
        <f>[1]!XLSTAT_PDFPoisson(O157,1)</f>
        <v>0.36787944117144233</v>
      </c>
    </row>
    <row r="158" spans="1:16" x14ac:dyDescent="0.3">
      <c r="A158">
        <v>158</v>
      </c>
      <c r="B158">
        <f t="shared" si="12"/>
        <v>-123456789</v>
      </c>
      <c r="C158">
        <f t="shared" si="13"/>
        <v>13.936</v>
      </c>
      <c r="D158">
        <f>[1]!XLSTAT_PDFGeneral(B158,14, 16, 1)</f>
        <v>0</v>
      </c>
      <c r="E158">
        <v>158</v>
      </c>
      <c r="G158">
        <f t="shared" si="14"/>
        <v>14.517034068136271</v>
      </c>
      <c r="H158">
        <f>[1]!XLSTAT_PDFNormal(G158,16,1)</f>
        <v>0.13285027845886205</v>
      </c>
      <c r="I158">
        <v>158</v>
      </c>
      <c r="J158">
        <f t="shared" si="15"/>
        <v>-123456789</v>
      </c>
      <c r="K158">
        <f t="shared" si="16"/>
        <v>11.907999999999999</v>
      </c>
      <c r="L158">
        <f>[1]!XLSTAT_PDFGeneral(J158,17, 1)</f>
        <v>0</v>
      </c>
      <c r="M158">
        <v>158</v>
      </c>
      <c r="O158">
        <f t="shared" si="17"/>
        <v>1.8877755511022067</v>
      </c>
      <c r="P158">
        <f>[1]!XLSTAT_PDFPoisson(O158,1)</f>
        <v>0.36787944117144233</v>
      </c>
    </row>
    <row r="159" spans="1:16" x14ac:dyDescent="0.3">
      <c r="A159">
        <v>159</v>
      </c>
      <c r="B159">
        <f t="shared" si="12"/>
        <v>-123456789</v>
      </c>
      <c r="C159">
        <f t="shared" si="13"/>
        <v>13.948</v>
      </c>
      <c r="D159">
        <f>[1]!XLSTAT_PDFGeneral(B159,14, 16, 1)</f>
        <v>0</v>
      </c>
      <c r="E159">
        <v>159</v>
      </c>
      <c r="G159">
        <f t="shared" si="14"/>
        <v>14.533066132264526</v>
      </c>
      <c r="H159">
        <f>[1]!XLSTAT_PDFNormal(G159,16,1)</f>
        <v>0.13602915797383827</v>
      </c>
      <c r="I159">
        <v>159</v>
      </c>
      <c r="J159">
        <f t="shared" si="15"/>
        <v>-123456789</v>
      </c>
      <c r="K159">
        <f t="shared" si="16"/>
        <v>11.894</v>
      </c>
      <c r="L159">
        <f>[1]!XLSTAT_PDFGeneral(J159,17, 1)</f>
        <v>0</v>
      </c>
      <c r="M159">
        <v>159</v>
      </c>
      <c r="O159">
        <f t="shared" si="17"/>
        <v>1.8997995991983991</v>
      </c>
      <c r="P159">
        <f>[1]!XLSTAT_PDFPoisson(O159,1)</f>
        <v>0.36787944117144233</v>
      </c>
    </row>
    <row r="160" spans="1:16" x14ac:dyDescent="0.3">
      <c r="A160">
        <v>160</v>
      </c>
      <c r="B160">
        <f t="shared" si="12"/>
        <v>13.948</v>
      </c>
      <c r="C160">
        <f t="shared" si="13"/>
        <v>13.948</v>
      </c>
      <c r="D160">
        <f>[1]!XLSTAT_PDFGeneral(B160,14, 16, 1)</f>
        <v>4.8592283655368045E-2</v>
      </c>
      <c r="E160">
        <v>160</v>
      </c>
      <c r="G160">
        <f t="shared" si="14"/>
        <v>14.549098196392784</v>
      </c>
      <c r="H160">
        <f>[1]!XLSTAT_PDFNormal(G160,16,1)</f>
        <v>0.13924830744251318</v>
      </c>
      <c r="I160">
        <v>160</v>
      </c>
      <c r="J160">
        <f t="shared" si="15"/>
        <v>11.894</v>
      </c>
      <c r="K160">
        <f t="shared" si="16"/>
        <v>11.894</v>
      </c>
      <c r="L160">
        <f>[1]!XLSTAT_PDFGeneral(J160,17, 1)</f>
        <v>9.2161556330027044E-9</v>
      </c>
      <c r="M160">
        <v>160</v>
      </c>
      <c r="O160">
        <f t="shared" si="17"/>
        <v>1.9118236472945915</v>
      </c>
      <c r="P160">
        <f>[1]!XLSTAT_PDFPoisson(O160,1)</f>
        <v>0.36787944117144233</v>
      </c>
    </row>
    <row r="161" spans="1:16" x14ac:dyDescent="0.3">
      <c r="A161">
        <v>161</v>
      </c>
      <c r="B161">
        <f t="shared" si="12"/>
        <v>13.96</v>
      </c>
      <c r="C161">
        <f t="shared" si="13"/>
        <v>13.96</v>
      </c>
      <c r="D161">
        <f>[1]!XLSTAT_PDFGeneral(B161,14, 16, 1)</f>
        <v>4.9800087735070865E-2</v>
      </c>
      <c r="E161">
        <v>161</v>
      </c>
      <c r="G161">
        <f t="shared" si="14"/>
        <v>14.565130260521041</v>
      </c>
      <c r="H161">
        <f>[1]!XLSTAT_PDFNormal(G161,16,1)</f>
        <v>0.14250700567634172</v>
      </c>
      <c r="I161">
        <v>161</v>
      </c>
      <c r="J161">
        <f t="shared" si="15"/>
        <v>11.879999999999999</v>
      </c>
      <c r="K161">
        <f t="shared" si="16"/>
        <v>11.879999999999999</v>
      </c>
      <c r="L161">
        <f>[1]!XLSTAT_PDFGeneral(J161,17, 1)</f>
        <v>9.2161556330027044E-9</v>
      </c>
      <c r="M161">
        <v>161</v>
      </c>
      <c r="O161">
        <f t="shared" si="17"/>
        <v>1.9238476953907839</v>
      </c>
      <c r="P161">
        <f>[1]!XLSTAT_PDFPoisson(O161,1)</f>
        <v>0.36787944117144233</v>
      </c>
    </row>
    <row r="162" spans="1:16" x14ac:dyDescent="0.3">
      <c r="A162">
        <v>162</v>
      </c>
      <c r="B162">
        <f t="shared" si="12"/>
        <v>-123456789</v>
      </c>
      <c r="C162">
        <f t="shared" si="13"/>
        <v>13.96</v>
      </c>
      <c r="D162">
        <f>[1]!XLSTAT_PDFGeneral(B162,14, 16, 1)</f>
        <v>0</v>
      </c>
      <c r="E162">
        <v>162</v>
      </c>
      <c r="G162">
        <f t="shared" si="14"/>
        <v>14.581162324649297</v>
      </c>
      <c r="H162">
        <f>[1]!XLSTAT_PDFNormal(G162,16,1)</f>
        <v>0.14580448366761822</v>
      </c>
      <c r="I162">
        <v>162</v>
      </c>
      <c r="J162">
        <f t="shared" si="15"/>
        <v>-123456789</v>
      </c>
      <c r="K162">
        <f t="shared" si="16"/>
        <v>11.879999999999999</v>
      </c>
      <c r="L162">
        <f>[1]!XLSTAT_PDFGeneral(J162,17, 1)</f>
        <v>0</v>
      </c>
      <c r="M162">
        <v>162</v>
      </c>
      <c r="O162">
        <f t="shared" si="17"/>
        <v>1.9358717434869765</v>
      </c>
      <c r="P162">
        <f>[1]!XLSTAT_PDFPoisson(O162,1)</f>
        <v>0.36787944117144233</v>
      </c>
    </row>
    <row r="163" spans="1:16" x14ac:dyDescent="0.3">
      <c r="A163">
        <v>163</v>
      </c>
      <c r="B163">
        <f t="shared" si="12"/>
        <v>-123456789</v>
      </c>
      <c r="C163">
        <f t="shared" si="13"/>
        <v>13.972</v>
      </c>
      <c r="D163">
        <f>[1]!XLSTAT_PDFGeneral(B163,14, 16, 1)</f>
        <v>0</v>
      </c>
      <c r="E163">
        <v>163</v>
      </c>
      <c r="G163">
        <f t="shared" si="14"/>
        <v>14.597194388777552</v>
      </c>
      <c r="H163">
        <f>[1]!XLSTAT_PDFNormal(G163,16,1)</f>
        <v>0.14913992427019074</v>
      </c>
      <c r="I163">
        <v>163</v>
      </c>
      <c r="J163">
        <f t="shared" si="15"/>
        <v>-123456789</v>
      </c>
      <c r="K163">
        <f t="shared" si="16"/>
        <v>11.866</v>
      </c>
      <c r="L163">
        <f>[1]!XLSTAT_PDFGeneral(J163,17, 1)</f>
        <v>0</v>
      </c>
      <c r="M163">
        <v>163</v>
      </c>
      <c r="O163">
        <f t="shared" si="17"/>
        <v>1.9478957915831689</v>
      </c>
      <c r="P163">
        <f>[1]!XLSTAT_PDFPoisson(O163,1)</f>
        <v>0.36787944117144233</v>
      </c>
    </row>
    <row r="164" spans="1:16" x14ac:dyDescent="0.3">
      <c r="A164">
        <v>164</v>
      </c>
      <c r="B164">
        <f t="shared" si="12"/>
        <v>13.972</v>
      </c>
      <c r="C164">
        <f t="shared" si="13"/>
        <v>13.972</v>
      </c>
      <c r="D164">
        <f>[1]!XLSTAT_PDFGeneral(B164,14, 16, 1)</f>
        <v>5.1030563920417646E-2</v>
      </c>
      <c r="E164">
        <v>164</v>
      </c>
      <c r="G164">
        <f t="shared" si="14"/>
        <v>14.61322645290581</v>
      </c>
      <c r="H164">
        <f>[1]!XLSTAT_PDFNormal(G164,16,1)</f>
        <v>0.15251246193531134</v>
      </c>
      <c r="I164">
        <v>164</v>
      </c>
      <c r="J164">
        <f t="shared" si="15"/>
        <v>11.866</v>
      </c>
      <c r="K164">
        <f t="shared" si="16"/>
        <v>11.866</v>
      </c>
      <c r="L164">
        <f>[1]!XLSTAT_PDFGeneral(J164,17, 1)</f>
        <v>9.2161556330027044E-9</v>
      </c>
      <c r="M164">
        <v>164</v>
      </c>
      <c r="O164">
        <f t="shared" si="17"/>
        <v>1.9599198396793613</v>
      </c>
      <c r="P164">
        <f>[1]!XLSTAT_PDFPoisson(O164,1)</f>
        <v>0.36787944117144233</v>
      </c>
    </row>
    <row r="165" spans="1:16" x14ac:dyDescent="0.3">
      <c r="A165">
        <v>165</v>
      </c>
      <c r="B165">
        <f t="shared" si="12"/>
        <v>13.984</v>
      </c>
      <c r="C165">
        <f t="shared" si="13"/>
        <v>13.984</v>
      </c>
      <c r="D165">
        <f>[1]!XLSTAT_PDFGeneral(B165,14, 16, 1)</f>
        <v>5.2283913671562113E-2</v>
      </c>
      <c r="E165">
        <v>165</v>
      </c>
      <c r="G165">
        <f t="shared" si="14"/>
        <v>14.629258517034067</v>
      </c>
      <c r="H165">
        <f>[1]!XLSTAT_PDFNormal(G165,16,1)</f>
        <v>0.15592118250431128</v>
      </c>
      <c r="I165">
        <v>165</v>
      </c>
      <c r="J165">
        <f t="shared" si="15"/>
        <v>11.852</v>
      </c>
      <c r="K165">
        <f t="shared" si="16"/>
        <v>11.852</v>
      </c>
      <c r="L165">
        <f>[1]!XLSTAT_PDFGeneral(J165,17, 1)</f>
        <v>9.2161556330027044E-9</v>
      </c>
      <c r="M165">
        <v>165</v>
      </c>
      <c r="O165">
        <f t="shared" si="17"/>
        <v>1.9719438877755537</v>
      </c>
      <c r="P165">
        <f>[1]!XLSTAT_PDFPoisson(O165,1)</f>
        <v>0.36787944117144233</v>
      </c>
    </row>
    <row r="166" spans="1:16" x14ac:dyDescent="0.3">
      <c r="A166">
        <v>166</v>
      </c>
      <c r="B166">
        <f t="shared" si="12"/>
        <v>-123456789</v>
      </c>
      <c r="C166">
        <f t="shared" si="13"/>
        <v>13.984</v>
      </c>
      <c r="D166">
        <f>[1]!XLSTAT_PDFGeneral(B166,14, 16, 1)</f>
        <v>0</v>
      </c>
      <c r="E166">
        <v>166</v>
      </c>
      <c r="G166">
        <f t="shared" si="14"/>
        <v>14.645290581162323</v>
      </c>
      <c r="H166">
        <f>[1]!XLSTAT_PDFNormal(G166,16,1)</f>
        <v>0.15936512305972608</v>
      </c>
      <c r="I166">
        <v>166</v>
      </c>
      <c r="J166">
        <f t="shared" si="15"/>
        <v>-123456789</v>
      </c>
      <c r="K166">
        <f t="shared" si="16"/>
        <v>11.852</v>
      </c>
      <c r="L166">
        <f>[1]!XLSTAT_PDFGeneral(J166,17, 1)</f>
        <v>0</v>
      </c>
      <c r="M166">
        <v>166</v>
      </c>
      <c r="O166">
        <f t="shared" si="17"/>
        <v>1.9839679358717461</v>
      </c>
      <c r="P166">
        <f>[1]!XLSTAT_PDFPoisson(O166,1)</f>
        <v>0.36787944117144233</v>
      </c>
    </row>
    <row r="167" spans="1:16" x14ac:dyDescent="0.3">
      <c r="A167">
        <v>167</v>
      </c>
      <c r="B167">
        <f t="shared" si="12"/>
        <v>-123456789</v>
      </c>
      <c r="C167">
        <f t="shared" si="13"/>
        <v>13.996</v>
      </c>
      <c r="D167">
        <f>[1]!XLSTAT_PDFGeneral(B167,14, 16, 1)</f>
        <v>0</v>
      </c>
      <c r="E167">
        <v>167</v>
      </c>
      <c r="G167">
        <f t="shared" si="14"/>
        <v>14.661322645290578</v>
      </c>
      <c r="H167">
        <f>[1]!XLSTAT_PDFNormal(G167,16,1)</f>
        <v>0.16284327183642208</v>
      </c>
      <c r="I167">
        <v>167</v>
      </c>
      <c r="J167">
        <f t="shared" si="15"/>
        <v>-123456789</v>
      </c>
      <c r="K167">
        <f t="shared" si="16"/>
        <v>11.838000000000001</v>
      </c>
      <c r="L167">
        <f>[1]!XLSTAT_PDFGeneral(J167,17, 1)</f>
        <v>0</v>
      </c>
      <c r="M167">
        <v>167</v>
      </c>
      <c r="O167">
        <f t="shared" si="17"/>
        <v>1.9959919839679385</v>
      </c>
      <c r="P167">
        <f>[1]!XLSTAT_PDFPoisson(O167,1)</f>
        <v>0.36787944117144233</v>
      </c>
    </row>
    <row r="168" spans="1:16" x14ac:dyDescent="0.3">
      <c r="A168">
        <v>168</v>
      </c>
      <c r="B168">
        <f t="shared" si="12"/>
        <v>13.996</v>
      </c>
      <c r="C168">
        <f t="shared" si="13"/>
        <v>13.996</v>
      </c>
      <c r="D168">
        <f>[1]!XLSTAT_PDFGeneral(B168,14, 16, 1)</f>
        <v>5.3560333409600411E-2</v>
      </c>
      <c r="E168">
        <v>168</v>
      </c>
      <c r="G168">
        <f t="shared" si="14"/>
        <v>14.677354709418836</v>
      </c>
      <c r="H168">
        <f>[1]!XLSTAT_PDFNormal(G168,16,1)</f>
        <v>0.16635456819420316</v>
      </c>
      <c r="I168">
        <v>168</v>
      </c>
      <c r="J168">
        <f t="shared" si="15"/>
        <v>11.838000000000001</v>
      </c>
      <c r="K168">
        <f t="shared" si="16"/>
        <v>11.838000000000001</v>
      </c>
      <c r="L168">
        <f>[1]!XLSTAT_PDFGeneral(J168,17, 1)</f>
        <v>9.2161556330027044E-9</v>
      </c>
      <c r="M168">
        <v>168</v>
      </c>
      <c r="O168">
        <f t="shared" si="17"/>
        <v>2.0080160320641309</v>
      </c>
      <c r="P168">
        <f>[1]!XLSTAT_PDFPoisson(O168,1)</f>
        <v>0.18393972058572117</v>
      </c>
    </row>
    <row r="169" spans="1:16" x14ac:dyDescent="0.3">
      <c r="A169">
        <v>169</v>
      </c>
      <c r="B169">
        <f t="shared" si="12"/>
        <v>14.007999999999999</v>
      </c>
      <c r="C169">
        <f t="shared" si="13"/>
        <v>14.007999999999999</v>
      </c>
      <c r="D169">
        <f>[1]!XLSTAT_PDFGeneral(B169,14, 16, 1)</f>
        <v>5.4860014278304635E-2</v>
      </c>
      <c r="E169">
        <v>169</v>
      </c>
      <c r="G169">
        <f t="shared" si="14"/>
        <v>14.693386773547093</v>
      </c>
      <c r="H169">
        <f>[1]!XLSTAT_PDFNormal(G169,16,1)</f>
        <v>0.16989790265329863</v>
      </c>
      <c r="I169">
        <v>169</v>
      </c>
      <c r="J169">
        <f t="shared" si="15"/>
        <v>11.824</v>
      </c>
      <c r="K169">
        <f t="shared" si="16"/>
        <v>11.824</v>
      </c>
      <c r="L169">
        <f>[1]!XLSTAT_PDFGeneral(J169,17, 1)</f>
        <v>9.2161556330027044E-9</v>
      </c>
      <c r="M169">
        <v>169</v>
      </c>
      <c r="O169">
        <f t="shared" si="17"/>
        <v>2.0200400801603231</v>
      </c>
      <c r="P169">
        <f>[1]!XLSTAT_PDFPoisson(O169,1)</f>
        <v>0.18393972058572117</v>
      </c>
    </row>
    <row r="170" spans="1:16" x14ac:dyDescent="0.3">
      <c r="A170">
        <v>170</v>
      </c>
      <c r="B170">
        <f t="shared" si="12"/>
        <v>-123456789</v>
      </c>
      <c r="C170">
        <f t="shared" si="13"/>
        <v>14.007999999999999</v>
      </c>
      <c r="D170">
        <f>[1]!XLSTAT_PDFGeneral(B170,14, 16, 1)</f>
        <v>0</v>
      </c>
      <c r="E170">
        <v>170</v>
      </c>
      <c r="G170">
        <f t="shared" si="14"/>
        <v>14.709418837675349</v>
      </c>
      <c r="H170">
        <f>[1]!XLSTAT_PDFNormal(G170,16,1)</f>
        <v>0.17347211699405143</v>
      </c>
      <c r="I170">
        <v>170</v>
      </c>
      <c r="J170">
        <f t="shared" si="15"/>
        <v>-123456789</v>
      </c>
      <c r="K170">
        <f t="shared" si="16"/>
        <v>11.824</v>
      </c>
      <c r="L170">
        <f>[1]!XLSTAT_PDFGeneral(J170,17, 1)</f>
        <v>0</v>
      </c>
      <c r="M170">
        <v>170</v>
      </c>
      <c r="O170">
        <f t="shared" si="17"/>
        <v>2.0320641282565157</v>
      </c>
      <c r="P170">
        <f>[1]!XLSTAT_PDFPoisson(O170,1)</f>
        <v>0.18393972058572117</v>
      </c>
    </row>
    <row r="171" spans="1:16" x14ac:dyDescent="0.3">
      <c r="A171">
        <v>171</v>
      </c>
      <c r="B171">
        <f t="shared" si="12"/>
        <v>-123456789</v>
      </c>
      <c r="C171">
        <f t="shared" si="13"/>
        <v>14.02</v>
      </c>
      <c r="D171">
        <f>[1]!XLSTAT_PDFGeneral(B171,14, 16, 1)</f>
        <v>0</v>
      </c>
      <c r="E171">
        <v>171</v>
      </c>
      <c r="G171">
        <f t="shared" si="14"/>
        <v>14.725450901803605</v>
      </c>
      <c r="H171">
        <f>[1]!XLSTAT_PDFNormal(G171,16,1)</f>
        <v>0.17707600442203433</v>
      </c>
      <c r="I171">
        <v>171</v>
      </c>
      <c r="J171">
        <f t="shared" si="15"/>
        <v>-123456789</v>
      </c>
      <c r="K171">
        <f t="shared" si="16"/>
        <v>11.81</v>
      </c>
      <c r="L171">
        <f>[1]!XLSTAT_PDFGeneral(J171,17, 1)</f>
        <v>0</v>
      </c>
      <c r="M171">
        <v>171</v>
      </c>
      <c r="O171">
        <f t="shared" si="17"/>
        <v>2.0440881763527079</v>
      </c>
      <c r="P171">
        <f>[1]!XLSTAT_PDFPoisson(O171,1)</f>
        <v>0.18393972058572117</v>
      </c>
    </row>
    <row r="172" spans="1:16" x14ac:dyDescent="0.3">
      <c r="A172">
        <v>172</v>
      </c>
      <c r="B172">
        <f t="shared" si="12"/>
        <v>14.02</v>
      </c>
      <c r="C172">
        <f t="shared" si="13"/>
        <v>14.02</v>
      </c>
      <c r="D172">
        <f>[1]!XLSTAT_PDFGeneral(B172,14, 16, 1)</f>
        <v>5.6183141903867993E-2</v>
      </c>
      <c r="E172">
        <v>172</v>
      </c>
      <c r="G172">
        <f t="shared" si="14"/>
        <v>14.741482965931862</v>
      </c>
      <c r="H172">
        <f>[1]!XLSTAT_PDFNormal(G172,16,1)</f>
        <v>0.18070830979972702</v>
      </c>
      <c r="I172">
        <v>172</v>
      </c>
      <c r="J172">
        <f t="shared" si="15"/>
        <v>11.81</v>
      </c>
      <c r="K172">
        <f t="shared" si="16"/>
        <v>11.81</v>
      </c>
      <c r="L172">
        <f>[1]!XLSTAT_PDFGeneral(J172,17, 1)</f>
        <v>9.2161556330027044E-9</v>
      </c>
      <c r="M172">
        <v>172</v>
      </c>
      <c r="O172">
        <f t="shared" si="17"/>
        <v>2.0561122244489005</v>
      </c>
      <c r="P172">
        <f>[1]!XLSTAT_PDFPoisson(O172,1)</f>
        <v>0.18393972058572117</v>
      </c>
    </row>
    <row r="173" spans="1:16" x14ac:dyDescent="0.3">
      <c r="A173">
        <v>173</v>
      </c>
      <c r="B173">
        <f t="shared" si="12"/>
        <v>14.032</v>
      </c>
      <c r="C173">
        <f t="shared" si="13"/>
        <v>14.032</v>
      </c>
      <c r="D173">
        <f>[1]!XLSTAT_PDFGeneral(B173,14, 16, 1)</f>
        <v>5.7529896152820878E-2</v>
      </c>
      <c r="E173">
        <v>173</v>
      </c>
      <c r="G173">
        <f t="shared" si="14"/>
        <v>14.757515030060118</v>
      </c>
      <c r="H173">
        <f>[1]!XLSTAT_PDFNormal(G173,16,1)</f>
        <v>0.18436772994579634</v>
      </c>
      <c r="I173">
        <v>173</v>
      </c>
      <c r="J173">
        <f t="shared" si="15"/>
        <v>11.795999999999999</v>
      </c>
      <c r="K173">
        <f t="shared" si="16"/>
        <v>11.795999999999999</v>
      </c>
      <c r="L173">
        <f>[1]!XLSTAT_PDFGeneral(J173,17, 1)</f>
        <v>9.2161556330027044E-9</v>
      </c>
      <c r="M173">
        <v>173</v>
      </c>
      <c r="O173">
        <f t="shared" si="17"/>
        <v>2.0681362725450927</v>
      </c>
      <c r="P173">
        <f>[1]!XLSTAT_PDFPoisson(O173,1)</f>
        <v>0.18393972058572117</v>
      </c>
    </row>
    <row r="174" spans="1:16" x14ac:dyDescent="0.3">
      <c r="A174">
        <v>174</v>
      </c>
      <c r="B174">
        <f t="shared" si="12"/>
        <v>-123456789</v>
      </c>
      <c r="C174">
        <f t="shared" si="13"/>
        <v>14.032</v>
      </c>
      <c r="D174">
        <f>[1]!XLSTAT_PDFGeneral(B174,14, 16, 1)</f>
        <v>0</v>
      </c>
      <c r="E174">
        <v>174</v>
      </c>
      <c r="G174">
        <f t="shared" si="14"/>
        <v>14.773547094188375</v>
      </c>
      <c r="H174">
        <f>[1]!XLSTAT_PDFNormal(G174,16,1)</f>
        <v>0.18805291400292121</v>
      </c>
      <c r="I174">
        <v>174</v>
      </c>
      <c r="J174">
        <f t="shared" si="15"/>
        <v>-123456789</v>
      </c>
      <c r="K174">
        <f t="shared" si="16"/>
        <v>11.795999999999999</v>
      </c>
      <c r="L174">
        <f>[1]!XLSTAT_PDFGeneral(J174,17, 1)</f>
        <v>0</v>
      </c>
      <c r="M174">
        <v>174</v>
      </c>
      <c r="O174">
        <f t="shared" si="17"/>
        <v>2.0801603206412853</v>
      </c>
      <c r="P174">
        <f>[1]!XLSTAT_PDFPoisson(O174,1)</f>
        <v>0.18393972058572117</v>
      </c>
    </row>
    <row r="175" spans="1:16" x14ac:dyDescent="0.3">
      <c r="A175">
        <v>175</v>
      </c>
      <c r="B175">
        <f t="shared" si="12"/>
        <v>-123456789</v>
      </c>
      <c r="C175">
        <f t="shared" si="13"/>
        <v>14.044</v>
      </c>
      <c r="D175">
        <f>[1]!XLSTAT_PDFGeneral(B175,14, 16, 1)</f>
        <v>0</v>
      </c>
      <c r="E175">
        <v>175</v>
      </c>
      <c r="G175">
        <f t="shared" si="14"/>
        <v>14.789579158316631</v>
      </c>
      <c r="H175">
        <f>[1]!XLSTAT_PDFNormal(G175,16,1)</f>
        <v>0.19176246387498488</v>
      </c>
      <c r="I175">
        <v>175</v>
      </c>
      <c r="J175">
        <f t="shared" si="15"/>
        <v>-123456789</v>
      </c>
      <c r="K175">
        <f t="shared" si="16"/>
        <v>11.782</v>
      </c>
      <c r="L175">
        <f>[1]!XLSTAT_PDFGeneral(J175,17, 1)</f>
        <v>0</v>
      </c>
      <c r="M175">
        <v>175</v>
      </c>
      <c r="O175">
        <f t="shared" si="17"/>
        <v>2.0921843687374775</v>
      </c>
      <c r="P175">
        <f>[1]!XLSTAT_PDFPoisson(O175,1)</f>
        <v>0.18393972058572117</v>
      </c>
    </row>
    <row r="176" spans="1:16" x14ac:dyDescent="0.3">
      <c r="A176">
        <v>176</v>
      </c>
      <c r="B176">
        <f t="shared" si="12"/>
        <v>14.044</v>
      </c>
      <c r="C176">
        <f t="shared" si="13"/>
        <v>14.044</v>
      </c>
      <c r="D176">
        <f>[1]!XLSTAT_PDFGeneral(B176,14, 16, 1)</f>
        <v>5.8900450888289345E-2</v>
      </c>
      <c r="E176">
        <v>176</v>
      </c>
      <c r="G176">
        <f t="shared" si="14"/>
        <v>14.805611222444888</v>
      </c>
      <c r="H176">
        <f>[1]!XLSTAT_PDFNormal(G176,16,1)</f>
        <v>0.19549493473437157</v>
      </c>
      <c r="I176">
        <v>176</v>
      </c>
      <c r="J176">
        <f t="shared" si="15"/>
        <v>11.782</v>
      </c>
      <c r="K176">
        <f t="shared" si="16"/>
        <v>11.782</v>
      </c>
      <c r="L176">
        <f>[1]!XLSTAT_PDFGeneral(J176,17, 1)</f>
        <v>9.2161556330027044E-9</v>
      </c>
      <c r="M176">
        <v>176</v>
      </c>
      <c r="O176">
        <f t="shared" si="17"/>
        <v>2.1042084168336701</v>
      </c>
      <c r="P176">
        <f>[1]!XLSTAT_PDFPoisson(O176,1)</f>
        <v>0.18393972058572117</v>
      </c>
    </row>
    <row r="177" spans="1:16" x14ac:dyDescent="0.3">
      <c r="A177">
        <v>177</v>
      </c>
      <c r="B177">
        <f t="shared" si="12"/>
        <v>14.056000000000001</v>
      </c>
      <c r="C177">
        <f t="shared" si="13"/>
        <v>14.056000000000001</v>
      </c>
      <c r="D177">
        <f>[1]!XLSTAT_PDFGeneral(B177,14, 16, 1)</f>
        <v>6.0294973724765812E-2</v>
      </c>
      <c r="E177">
        <v>177</v>
      </c>
      <c r="G177">
        <f t="shared" si="14"/>
        <v>14.821643286573144</v>
      </c>
      <c r="H177">
        <f>[1]!XLSTAT_PDFNormal(G177,16,1)</f>
        <v>0.19924883559996506</v>
      </c>
      <c r="I177">
        <v>177</v>
      </c>
      <c r="J177">
        <f t="shared" si="15"/>
        <v>11.768000000000001</v>
      </c>
      <c r="K177">
        <f t="shared" si="16"/>
        <v>11.768000000000001</v>
      </c>
      <c r="L177">
        <f>[1]!XLSTAT_PDFGeneral(J177,17, 1)</f>
        <v>9.2161556330027044E-9</v>
      </c>
      <c r="M177">
        <v>177</v>
      </c>
      <c r="O177">
        <f t="shared" si="17"/>
        <v>2.1162324649298623</v>
      </c>
      <c r="P177">
        <f>[1]!XLSTAT_PDFPoisson(O177,1)</f>
        <v>0.18393972058572117</v>
      </c>
    </row>
    <row r="178" spans="1:16" x14ac:dyDescent="0.3">
      <c r="A178">
        <v>178</v>
      </c>
      <c r="B178">
        <f t="shared" si="12"/>
        <v>-123456789</v>
      </c>
      <c r="C178">
        <f t="shared" si="13"/>
        <v>14.056000000000001</v>
      </c>
      <c r="D178">
        <f>[1]!XLSTAT_PDFGeneral(B178,14, 16, 1)</f>
        <v>0</v>
      </c>
      <c r="E178">
        <v>178</v>
      </c>
      <c r="G178">
        <f t="shared" si="14"/>
        <v>14.837675350701401</v>
      </c>
      <c r="H178">
        <f>[1]!XLSTAT_PDFNormal(G178,16,1)</f>
        <v>0.20302262998635712</v>
      </c>
      <c r="I178">
        <v>178</v>
      </c>
      <c r="J178">
        <f t="shared" si="15"/>
        <v>-123456789</v>
      </c>
      <c r="K178">
        <f t="shared" si="16"/>
        <v>11.768000000000001</v>
      </c>
      <c r="L178">
        <f>[1]!XLSTAT_PDFGeneral(J178,17, 1)</f>
        <v>0</v>
      </c>
      <c r="M178">
        <v>178</v>
      </c>
      <c r="O178">
        <f t="shared" si="17"/>
        <v>2.1282565130260549</v>
      </c>
      <c r="P178">
        <f>[1]!XLSTAT_PDFPoisson(O178,1)</f>
        <v>0.18393972058572117</v>
      </c>
    </row>
    <row r="179" spans="1:16" x14ac:dyDescent="0.3">
      <c r="A179">
        <v>179</v>
      </c>
      <c r="B179">
        <f t="shared" si="12"/>
        <v>-123456789</v>
      </c>
      <c r="C179">
        <f t="shared" si="13"/>
        <v>14.068</v>
      </c>
      <c r="D179">
        <f>[1]!XLSTAT_PDFGeneral(B179,14, 16, 1)</f>
        <v>0</v>
      </c>
      <c r="E179">
        <v>179</v>
      </c>
      <c r="G179">
        <f t="shared" si="14"/>
        <v>14.853707414829657</v>
      </c>
      <c r="H179">
        <f>[1]!XLSTAT_PDFNormal(G179,16,1)</f>
        <v>0.20681473662462782</v>
      </c>
      <c r="I179">
        <v>179</v>
      </c>
      <c r="J179">
        <f t="shared" si="15"/>
        <v>-123456789</v>
      </c>
      <c r="K179">
        <f t="shared" si="16"/>
        <v>11.754</v>
      </c>
      <c r="L179">
        <f>[1]!XLSTAT_PDFGeneral(J179,17, 1)</f>
        <v>0</v>
      </c>
      <c r="M179">
        <v>179</v>
      </c>
      <c r="O179">
        <f t="shared" si="17"/>
        <v>2.1402805611222471</v>
      </c>
      <c r="P179">
        <f>[1]!XLSTAT_PDFPoisson(O179,1)</f>
        <v>0.18393972058572117</v>
      </c>
    </row>
    <row r="180" spans="1:16" x14ac:dyDescent="0.3">
      <c r="A180">
        <v>180</v>
      </c>
      <c r="B180">
        <f t="shared" si="12"/>
        <v>14.068</v>
      </c>
      <c r="C180">
        <f t="shared" si="13"/>
        <v>14.068</v>
      </c>
      <c r="D180">
        <f>[1]!XLSTAT_PDFGeneral(B180,14, 16, 1)</f>
        <v>6.1713625781571906E-2</v>
      </c>
      <c r="E180">
        <v>180</v>
      </c>
      <c r="G180">
        <f t="shared" si="14"/>
        <v>14.869739478957914</v>
      </c>
      <c r="H180">
        <f>[1]!XLSTAT_PDFNormal(G180,16,1)</f>
        <v>0.21062353025496322</v>
      </c>
      <c r="I180">
        <v>180</v>
      </c>
      <c r="J180">
        <f t="shared" si="15"/>
        <v>11.754</v>
      </c>
      <c r="K180">
        <f t="shared" si="16"/>
        <v>11.754</v>
      </c>
      <c r="L180">
        <f>[1]!XLSTAT_PDFGeneral(J180,17, 1)</f>
        <v>9.2161556330027044E-9</v>
      </c>
      <c r="M180">
        <v>180</v>
      </c>
      <c r="O180">
        <f t="shared" si="17"/>
        <v>2.1523046092184397</v>
      </c>
      <c r="P180">
        <f>[1]!XLSTAT_PDFPoisson(O180,1)</f>
        <v>0.18393972058572117</v>
      </c>
    </row>
    <row r="181" spans="1:16" x14ac:dyDescent="0.3">
      <c r="A181">
        <v>181</v>
      </c>
      <c r="B181">
        <f t="shared" si="12"/>
        <v>14.08</v>
      </c>
      <c r="C181">
        <f t="shared" si="13"/>
        <v>14.08</v>
      </c>
      <c r="D181">
        <f>[1]!XLSTAT_PDFGeneral(B181,14, 16, 1)</f>
        <v>6.3156561435198655E-2</v>
      </c>
      <c r="E181">
        <v>181</v>
      </c>
      <c r="G181">
        <f t="shared" si="14"/>
        <v>14.88577154308617</v>
      </c>
      <c r="H181">
        <f>[1]!XLSTAT_PDFNormal(G181,16,1)</f>
        <v>0.21444734249122421</v>
      </c>
      <c r="I181">
        <v>181</v>
      </c>
      <c r="J181">
        <f t="shared" si="15"/>
        <v>11.74</v>
      </c>
      <c r="K181">
        <f t="shared" si="16"/>
        <v>11.74</v>
      </c>
      <c r="L181">
        <f>[1]!XLSTAT_PDFGeneral(J181,17, 1)</f>
        <v>9.2161556330027044E-9</v>
      </c>
      <c r="M181">
        <v>181</v>
      </c>
      <c r="O181">
        <f t="shared" si="17"/>
        <v>2.1643286573146319</v>
      </c>
      <c r="P181">
        <f>[1]!XLSTAT_PDFPoisson(O181,1)</f>
        <v>0.18393972058572117</v>
      </c>
    </row>
    <row r="182" spans="1:16" x14ac:dyDescent="0.3">
      <c r="A182">
        <v>182</v>
      </c>
      <c r="B182">
        <f t="shared" si="12"/>
        <v>-123456789</v>
      </c>
      <c r="C182">
        <f t="shared" si="13"/>
        <v>14.08</v>
      </c>
      <c r="D182">
        <f>[1]!XLSTAT_PDFGeneral(B182,14, 16, 1)</f>
        <v>0</v>
      </c>
      <c r="E182">
        <v>182</v>
      </c>
      <c r="G182">
        <f t="shared" si="14"/>
        <v>14.901803607214427</v>
      </c>
      <c r="H182">
        <f>[1]!XLSTAT_PDFNormal(G182,16,1)</f>
        <v>0.21828446275747787</v>
      </c>
      <c r="I182">
        <v>182</v>
      </c>
      <c r="J182">
        <f t="shared" si="15"/>
        <v>-123456789</v>
      </c>
      <c r="K182">
        <f t="shared" si="16"/>
        <v>11.74</v>
      </c>
      <c r="L182">
        <f>[1]!XLSTAT_PDFGeneral(J182,17, 1)</f>
        <v>0</v>
      </c>
      <c r="M182">
        <v>182</v>
      </c>
      <c r="O182">
        <f t="shared" si="17"/>
        <v>2.1763527054108245</v>
      </c>
      <c r="P182">
        <f>[1]!XLSTAT_PDFPoisson(O182,1)</f>
        <v>0.18393972058572117</v>
      </c>
    </row>
    <row r="183" spans="1:16" x14ac:dyDescent="0.3">
      <c r="A183">
        <v>183</v>
      </c>
      <c r="B183">
        <f t="shared" si="12"/>
        <v>-123456789</v>
      </c>
      <c r="C183">
        <f t="shared" si="13"/>
        <v>14.092000000000001</v>
      </c>
      <c r="D183">
        <f>[1]!XLSTAT_PDFGeneral(B183,14, 16, 1)</f>
        <v>0</v>
      </c>
      <c r="E183">
        <v>183</v>
      </c>
      <c r="G183">
        <f t="shared" si="14"/>
        <v>14.917835671342683</v>
      </c>
      <c r="H183">
        <f>[1]!XLSTAT_PDFNormal(G183,16,1)</f>
        <v>0.22213313929634626</v>
      </c>
      <c r="I183">
        <v>183</v>
      </c>
      <c r="J183">
        <f t="shared" si="15"/>
        <v>-123456789</v>
      </c>
      <c r="K183">
        <f t="shared" si="16"/>
        <v>11.725999999999999</v>
      </c>
      <c r="L183">
        <f>[1]!XLSTAT_PDFGeneral(J183,17, 1)</f>
        <v>0</v>
      </c>
      <c r="M183">
        <v>183</v>
      </c>
      <c r="O183">
        <f t="shared" si="17"/>
        <v>2.1883767535070167</v>
      </c>
      <c r="P183">
        <f>[1]!XLSTAT_PDFPoisson(O183,1)</f>
        <v>0.18393972058572117</v>
      </c>
    </row>
    <row r="184" spans="1:16" x14ac:dyDescent="0.3">
      <c r="A184">
        <v>184</v>
      </c>
      <c r="B184">
        <f t="shared" si="12"/>
        <v>14.092000000000001</v>
      </c>
      <c r="C184">
        <f t="shared" si="13"/>
        <v>14.092000000000001</v>
      </c>
      <c r="D184">
        <f>[1]!XLSTAT_PDFGeneral(B184,14, 16, 1)</f>
        <v>6.4623928070710962E-2</v>
      </c>
      <c r="E184">
        <v>184</v>
      </c>
      <c r="G184">
        <f t="shared" si="14"/>
        <v>14.93386773547094</v>
      </c>
      <c r="H184">
        <f>[1]!XLSTAT_PDFNormal(G184,16,1)</f>
        <v>0.22599158024892113</v>
      </c>
      <c r="I184">
        <v>184</v>
      </c>
      <c r="J184">
        <f t="shared" si="15"/>
        <v>11.725999999999999</v>
      </c>
      <c r="K184">
        <f t="shared" si="16"/>
        <v>11.725999999999999</v>
      </c>
      <c r="L184">
        <f>[1]!XLSTAT_PDFGeneral(J184,17, 1)</f>
        <v>9.2161556330027044E-9</v>
      </c>
      <c r="M184">
        <v>184</v>
      </c>
      <c r="O184">
        <f t="shared" si="17"/>
        <v>2.2004008016032093</v>
      </c>
      <c r="P184">
        <f>[1]!XLSTAT_PDFPoisson(O184,1)</f>
        <v>0.18393972058572117</v>
      </c>
    </row>
    <row r="185" spans="1:16" x14ac:dyDescent="0.3">
      <c r="A185">
        <v>185</v>
      </c>
      <c r="B185">
        <f t="shared" si="12"/>
        <v>14.103999999999999</v>
      </c>
      <c r="C185">
        <f t="shared" si="13"/>
        <v>14.103999999999999</v>
      </c>
      <c r="D185">
        <f>[1]!XLSTAT_PDFGeneral(B185,14, 16, 1)</f>
        <v>6.6115865832415424E-2</v>
      </c>
      <c r="E185">
        <v>185</v>
      </c>
      <c r="G185">
        <f t="shared" si="14"/>
        <v>14.949899799599196</v>
      </c>
      <c r="H185">
        <f>[1]!XLSTAT_PDFNormal(G185,16,1)</f>
        <v>0.22985795480583113</v>
      </c>
      <c r="I185">
        <v>185</v>
      </c>
      <c r="J185">
        <f t="shared" si="15"/>
        <v>11.712</v>
      </c>
      <c r="K185">
        <f t="shared" si="16"/>
        <v>11.712</v>
      </c>
      <c r="L185">
        <f>[1]!XLSTAT_PDFGeneral(J185,17, 1)</f>
        <v>9.2161556330027044E-9</v>
      </c>
      <c r="M185">
        <v>185</v>
      </c>
      <c r="O185">
        <f t="shared" si="17"/>
        <v>2.2124248496994015</v>
      </c>
      <c r="P185">
        <f>[1]!XLSTAT_PDFPoisson(O185,1)</f>
        <v>0.18393972058572117</v>
      </c>
    </row>
    <row r="186" spans="1:16" x14ac:dyDescent="0.3">
      <c r="A186">
        <v>186</v>
      </c>
      <c r="B186">
        <f t="shared" si="12"/>
        <v>-123456789</v>
      </c>
      <c r="C186">
        <f t="shared" si="13"/>
        <v>14.103999999999999</v>
      </c>
      <c r="D186">
        <f>[1]!XLSTAT_PDFGeneral(B186,14, 16, 1)</f>
        <v>0</v>
      </c>
      <c r="E186">
        <v>186</v>
      </c>
      <c r="G186">
        <f t="shared" si="14"/>
        <v>14.965931863727452</v>
      </c>
      <c r="H186">
        <f>[1]!XLSTAT_PDFNormal(G186,16,1)</f>
        <v>0.23373039442893945</v>
      </c>
      <c r="I186">
        <v>186</v>
      </c>
      <c r="J186">
        <f t="shared" si="15"/>
        <v>-123456789</v>
      </c>
      <c r="K186">
        <f t="shared" si="16"/>
        <v>11.712</v>
      </c>
      <c r="L186">
        <f>[1]!XLSTAT_PDFGeneral(J186,17, 1)</f>
        <v>0</v>
      </c>
      <c r="M186">
        <v>186</v>
      </c>
      <c r="O186">
        <f t="shared" si="17"/>
        <v>2.2244488977955941</v>
      </c>
      <c r="P186">
        <f>[1]!XLSTAT_PDFPoisson(O186,1)</f>
        <v>0.18393972058572117</v>
      </c>
    </row>
    <row r="187" spans="1:16" x14ac:dyDescent="0.3">
      <c r="A187">
        <v>187</v>
      </c>
      <c r="B187">
        <f t="shared" si="12"/>
        <v>-123456789</v>
      </c>
      <c r="C187">
        <f t="shared" si="13"/>
        <v>14.116</v>
      </c>
      <c r="D187">
        <f>[1]!XLSTAT_PDFGeneral(B187,14, 16, 1)</f>
        <v>0</v>
      </c>
      <c r="E187">
        <v>187</v>
      </c>
      <c r="G187">
        <f t="shared" si="14"/>
        <v>14.981963927855709</v>
      </c>
      <c r="H187">
        <f>[1]!XLSTAT_PDFNormal(G187,16,1)</f>
        <v>0.23760699414298758</v>
      </c>
      <c r="I187">
        <v>187</v>
      </c>
      <c r="J187">
        <f t="shared" si="15"/>
        <v>-123456789</v>
      </c>
      <c r="K187">
        <f t="shared" si="16"/>
        <v>11.698</v>
      </c>
      <c r="L187">
        <f>[1]!XLSTAT_PDFGeneral(J187,17, 1)</f>
        <v>0</v>
      </c>
      <c r="M187">
        <v>187</v>
      </c>
      <c r="O187">
        <f t="shared" si="17"/>
        <v>2.2364729458917862</v>
      </c>
      <c r="P187">
        <f>[1]!XLSTAT_PDFPoisson(O187,1)</f>
        <v>0.18393972058572117</v>
      </c>
    </row>
    <row r="188" spans="1:16" x14ac:dyDescent="0.3">
      <c r="A188">
        <v>188</v>
      </c>
      <c r="B188">
        <f t="shared" si="12"/>
        <v>14.116</v>
      </c>
      <c r="C188">
        <f t="shared" si="13"/>
        <v>14.116</v>
      </c>
      <c r="D188">
        <f>[1]!XLSTAT_PDFGeneral(B188,14, 16, 1)</f>
        <v>6.7632507373990444E-2</v>
      </c>
      <c r="E188">
        <v>188</v>
      </c>
      <c r="G188">
        <f t="shared" si="14"/>
        <v>14.997995991983966</v>
      </c>
      <c r="H188">
        <f>[1]!XLSTAT_PDFNormal(G188,16,1)</f>
        <v>0.2414858138963783</v>
      </c>
      <c r="I188">
        <v>188</v>
      </c>
      <c r="J188">
        <f t="shared" si="15"/>
        <v>11.698</v>
      </c>
      <c r="K188">
        <f t="shared" si="16"/>
        <v>11.698</v>
      </c>
      <c r="L188">
        <f>[1]!XLSTAT_PDFGeneral(J188,17, 1)</f>
        <v>9.2161556330027044E-9</v>
      </c>
      <c r="M188">
        <v>188</v>
      </c>
      <c r="O188">
        <f t="shared" si="17"/>
        <v>2.2484969939879789</v>
      </c>
      <c r="P188">
        <f>[1]!XLSTAT_PDFPoisson(O188,1)</f>
        <v>0.18393972058572117</v>
      </c>
    </row>
    <row r="189" spans="1:16" x14ac:dyDescent="0.3">
      <c r="A189">
        <v>189</v>
      </c>
      <c r="B189">
        <f t="shared" si="12"/>
        <v>14.128</v>
      </c>
      <c r="C189">
        <f t="shared" si="13"/>
        <v>14.128</v>
      </c>
      <c r="D189">
        <f>[1]!XLSTAT_PDFGeneral(B189,14, 16, 1)</f>
        <v>6.9173977608282505E-2</v>
      </c>
      <c r="E189">
        <v>189</v>
      </c>
      <c r="G189">
        <f t="shared" si="14"/>
        <v>15.014028056112222</v>
      </c>
      <c r="H189">
        <f>[1]!XLSTAT_PDFNormal(G189,16,1)</f>
        <v>0.24536487999014822</v>
      </c>
      <c r="I189">
        <v>189</v>
      </c>
      <c r="J189">
        <f t="shared" si="15"/>
        <v>11.683999999999999</v>
      </c>
      <c r="K189">
        <f t="shared" si="16"/>
        <v>11.683999999999999</v>
      </c>
      <c r="L189">
        <f>[1]!XLSTAT_PDFGeneral(J189,17, 1)</f>
        <v>9.2161556330027044E-9</v>
      </c>
      <c r="M189">
        <v>189</v>
      </c>
      <c r="O189">
        <f t="shared" si="17"/>
        <v>2.260521042084171</v>
      </c>
      <c r="P189">
        <f>[1]!XLSTAT_PDFPoisson(O189,1)</f>
        <v>0.18393972058572117</v>
      </c>
    </row>
    <row r="190" spans="1:16" x14ac:dyDescent="0.3">
      <c r="A190">
        <v>190</v>
      </c>
      <c r="B190">
        <f t="shared" si="12"/>
        <v>-123456789</v>
      </c>
      <c r="C190">
        <f t="shared" si="13"/>
        <v>14.128</v>
      </c>
      <c r="D190">
        <f>[1]!XLSTAT_PDFGeneral(B190,14, 16, 1)</f>
        <v>0</v>
      </c>
      <c r="E190">
        <v>190</v>
      </c>
      <c r="G190">
        <f t="shared" si="14"/>
        <v>15.030060120240478</v>
      </c>
      <c r="H190">
        <f>[1]!XLSTAT_PDFNormal(G190,16,1)</f>
        <v>0.24924218657403766</v>
      </c>
      <c r="I190">
        <v>190</v>
      </c>
      <c r="J190">
        <f t="shared" si="15"/>
        <v>-123456789</v>
      </c>
      <c r="K190">
        <f t="shared" si="16"/>
        <v>11.683999999999999</v>
      </c>
      <c r="L190">
        <f>[1]!XLSTAT_PDFGeneral(J190,17, 1)</f>
        <v>0</v>
      </c>
      <c r="M190">
        <v>190</v>
      </c>
      <c r="O190">
        <f t="shared" si="17"/>
        <v>2.2725450901803637</v>
      </c>
      <c r="P190">
        <f>[1]!XLSTAT_PDFPoisson(O190,1)</f>
        <v>0.18393972058572117</v>
      </c>
    </row>
    <row r="191" spans="1:16" x14ac:dyDescent="0.3">
      <c r="A191">
        <v>191</v>
      </c>
      <c r="B191">
        <f t="shared" si="12"/>
        <v>-123456789</v>
      </c>
      <c r="C191">
        <f t="shared" si="13"/>
        <v>14.14</v>
      </c>
      <c r="D191">
        <f>[1]!XLSTAT_PDFGeneral(B191,14, 16, 1)</f>
        <v>0</v>
      </c>
      <c r="E191">
        <v>191</v>
      </c>
      <c r="G191">
        <f t="shared" si="14"/>
        <v>15.046092184368735</v>
      </c>
      <c r="H191">
        <f>[1]!XLSTAT_PDFNormal(G191,16,1)</f>
        <v>0.2531156972084258</v>
      </c>
      <c r="I191">
        <v>191</v>
      </c>
      <c r="J191">
        <f t="shared" si="15"/>
        <v>-123456789</v>
      </c>
      <c r="K191">
        <f t="shared" si="16"/>
        <v>11.67</v>
      </c>
      <c r="L191">
        <f>[1]!XLSTAT_PDFGeneral(J191,17, 1)</f>
        <v>0</v>
      </c>
      <c r="M191">
        <v>191</v>
      </c>
      <c r="O191">
        <f t="shared" si="17"/>
        <v>2.2845691382765558</v>
      </c>
      <c r="P191">
        <f>[1]!XLSTAT_PDFPoisson(O191,1)</f>
        <v>0.18393972058572117</v>
      </c>
    </row>
    <row r="192" spans="1:16" x14ac:dyDescent="0.3">
      <c r="A192">
        <v>192</v>
      </c>
      <c r="B192">
        <f t="shared" si="12"/>
        <v>14.14</v>
      </c>
      <c r="C192">
        <f t="shared" si="13"/>
        <v>14.14</v>
      </c>
      <c r="D192">
        <f>[1]!XLSTAT_PDFGeneral(B192,14, 16, 1)</f>
        <v>7.0740393456983464E-2</v>
      </c>
      <c r="E192">
        <v>192</v>
      </c>
      <c r="G192">
        <f t="shared" si="14"/>
        <v>15.062124248496993</v>
      </c>
      <c r="H192">
        <f>[1]!XLSTAT_PDFNormal(G192,16,1)</f>
        <v>0.25698334649076393</v>
      </c>
      <c r="I192">
        <v>192</v>
      </c>
      <c r="J192">
        <f t="shared" si="15"/>
        <v>11.67</v>
      </c>
      <c r="K192">
        <f t="shared" si="16"/>
        <v>11.67</v>
      </c>
      <c r="L192">
        <f>[1]!XLSTAT_PDFGeneral(J192,17, 1)</f>
        <v>9.2161556330027044E-9</v>
      </c>
      <c r="M192">
        <v>192</v>
      </c>
      <c r="O192">
        <f t="shared" si="17"/>
        <v>2.2965931863727485</v>
      </c>
      <c r="P192">
        <f>[1]!XLSTAT_PDFPoisson(O192,1)</f>
        <v>0.18393972058572117</v>
      </c>
    </row>
    <row r="193" spans="1:16" x14ac:dyDescent="0.3">
      <c r="A193">
        <v>193</v>
      </c>
      <c r="B193">
        <f t="shared" ref="B193:B256" si="18">IF(-1^(INT(A193/2)+2)&gt;0,13+2*INT(A193/2-1/2)*0.006,-123456789)</f>
        <v>14.152000000000001</v>
      </c>
      <c r="C193">
        <f t="shared" ref="C193:C256" si="19">13+2*INT(A193/2-1/2)*0.006</f>
        <v>14.152000000000001</v>
      </c>
      <c r="D193">
        <f>[1]!XLSTAT_PDFGeneral(B193,14, 16, 1)</f>
        <v>7.2331863600401961E-2</v>
      </c>
      <c r="E193">
        <v>193</v>
      </c>
      <c r="G193">
        <f t="shared" ref="G193:G256" si="20">12+(E193-1)*0.0160320641282565</f>
        <v>15.078156312625248</v>
      </c>
      <c r="H193">
        <f>[1]!XLSTAT_PDFNormal(G193,16,1)</f>
        <v>0.26084304174499928</v>
      </c>
      <c r="I193">
        <v>193</v>
      </c>
      <c r="J193">
        <f t="shared" ref="J193:J256" si="21">IF(-1^(INT(I193/2)+2)&gt;0,13+2*INT(I193/2-1/2)*-0.007,-123456789)</f>
        <v>11.656000000000001</v>
      </c>
      <c r="K193">
        <f t="shared" ref="K193:K256" si="22">13+2*INT(I193/2-1/2)*-0.007</f>
        <v>11.656000000000001</v>
      </c>
      <c r="L193">
        <f>[1]!XLSTAT_PDFGeneral(J193,17, 1)</f>
        <v>9.2161556330027044E-9</v>
      </c>
      <c r="M193">
        <v>193</v>
      </c>
      <c r="O193">
        <f t="shared" ref="O193:O256" si="23">0+(M193-1)*0.0120240480961924</f>
        <v>2.3086172344689411</v>
      </c>
      <c r="P193">
        <f>[1]!XLSTAT_PDFPoisson(O193,1)</f>
        <v>0.18393972058572117</v>
      </c>
    </row>
    <row r="194" spans="1:16" x14ac:dyDescent="0.3">
      <c r="A194">
        <v>194</v>
      </c>
      <c r="B194">
        <f t="shared" si="18"/>
        <v>-123456789</v>
      </c>
      <c r="C194">
        <f t="shared" si="19"/>
        <v>14.152000000000001</v>
      </c>
      <c r="D194">
        <f>[1]!XLSTAT_PDFGeneral(B194,14, 16, 1)</f>
        <v>0</v>
      </c>
      <c r="E194">
        <v>194</v>
      </c>
      <c r="G194">
        <f t="shared" si="20"/>
        <v>15.094188376753504</v>
      </c>
      <c r="H194">
        <f>[1]!XLSTAT_PDFNormal(G194,16,1)</f>
        <v>0.26469266477234321</v>
      </c>
      <c r="I194">
        <v>194</v>
      </c>
      <c r="J194">
        <f t="shared" si="21"/>
        <v>-123456789</v>
      </c>
      <c r="K194">
        <f t="shared" si="22"/>
        <v>11.656000000000001</v>
      </c>
      <c r="L194">
        <f>[1]!XLSTAT_PDFGeneral(J194,17, 1)</f>
        <v>0</v>
      </c>
      <c r="M194">
        <v>194</v>
      </c>
      <c r="O194">
        <f t="shared" si="23"/>
        <v>2.3206412825651332</v>
      </c>
      <c r="P194">
        <f>[1]!XLSTAT_PDFPoisson(O194,1)</f>
        <v>0.18393972058572117</v>
      </c>
    </row>
    <row r="195" spans="1:16" x14ac:dyDescent="0.3">
      <c r="A195">
        <v>195</v>
      </c>
      <c r="B195">
        <f t="shared" si="18"/>
        <v>-123456789</v>
      </c>
      <c r="C195">
        <f t="shared" si="19"/>
        <v>14.164</v>
      </c>
      <c r="D195">
        <f>[1]!XLSTAT_PDFGeneral(B195,14, 16, 1)</f>
        <v>0</v>
      </c>
      <c r="E195">
        <v>195</v>
      </c>
      <c r="G195">
        <f t="shared" si="20"/>
        <v>15.110220440881761</v>
      </c>
      <c r="H195">
        <f>[1]!XLSTAT_PDFNormal(G195,16,1)</f>
        <v>0.26853007366159781</v>
      </c>
      <c r="I195">
        <v>195</v>
      </c>
      <c r="J195">
        <f t="shared" si="21"/>
        <v>-123456789</v>
      </c>
      <c r="K195">
        <f t="shared" si="22"/>
        <v>11.641999999999999</v>
      </c>
      <c r="L195">
        <f>[1]!XLSTAT_PDFGeneral(J195,17, 1)</f>
        <v>0</v>
      </c>
      <c r="M195">
        <v>195</v>
      </c>
      <c r="O195">
        <f t="shared" si="23"/>
        <v>2.3326653306613259</v>
      </c>
      <c r="P195">
        <f>[1]!XLSTAT_PDFPoisson(O195,1)</f>
        <v>0.18393972058572117</v>
      </c>
    </row>
    <row r="196" spans="1:16" x14ac:dyDescent="0.3">
      <c r="A196">
        <v>196</v>
      </c>
      <c r="B196">
        <f t="shared" si="18"/>
        <v>14.164</v>
      </c>
      <c r="C196">
        <f t="shared" si="19"/>
        <v>14.164</v>
      </c>
      <c r="D196">
        <f>[1]!XLSTAT_PDFGeneral(B196,14, 16, 1)</f>
        <v>7.394848822755036E-2</v>
      </c>
      <c r="E196">
        <v>196</v>
      </c>
      <c r="G196">
        <f t="shared" si="20"/>
        <v>15.126252505010019</v>
      </c>
      <c r="H196">
        <f>[1]!XLSTAT_PDFNormal(G196,16,1)</f>
        <v>0.2723531046571262</v>
      </c>
      <c r="I196">
        <v>196</v>
      </c>
      <c r="J196">
        <f t="shared" si="21"/>
        <v>11.641999999999999</v>
      </c>
      <c r="K196">
        <f t="shared" si="22"/>
        <v>11.641999999999999</v>
      </c>
      <c r="L196">
        <f>[1]!XLSTAT_PDFGeneral(J196,17, 1)</f>
        <v>9.2161556330027044E-9</v>
      </c>
      <c r="M196">
        <v>196</v>
      </c>
      <c r="O196">
        <f t="shared" si="23"/>
        <v>2.344689378757518</v>
      </c>
      <c r="P196">
        <f>[1]!XLSTAT_PDFPoisson(O196,1)</f>
        <v>0.18393972058572117</v>
      </c>
    </row>
    <row r="197" spans="1:16" x14ac:dyDescent="0.3">
      <c r="A197">
        <v>197</v>
      </c>
      <c r="B197">
        <f t="shared" si="18"/>
        <v>14.176</v>
      </c>
      <c r="C197">
        <f t="shared" si="19"/>
        <v>14.176</v>
      </c>
      <c r="D197">
        <f>[1]!XLSTAT_PDFGeneral(B197,14, 16, 1)</f>
        <v>7.5590358786774225E-2</v>
      </c>
      <c r="E197">
        <v>197</v>
      </c>
      <c r="G197">
        <f t="shared" si="20"/>
        <v>15.142284569138274</v>
      </c>
      <c r="H197">
        <f>[1]!XLSTAT_PDFNormal(G197,16,1)</f>
        <v>0.27615957408241776</v>
      </c>
      <c r="I197">
        <v>197</v>
      </c>
      <c r="J197">
        <f t="shared" si="21"/>
        <v>11.628</v>
      </c>
      <c r="K197">
        <f t="shared" si="22"/>
        <v>11.628</v>
      </c>
      <c r="L197">
        <f>[1]!XLSTAT_PDFGeneral(J197,17, 1)</f>
        <v>9.2161556330027044E-9</v>
      </c>
      <c r="M197">
        <v>197</v>
      </c>
      <c r="O197">
        <f t="shared" si="23"/>
        <v>2.3567134268537107</v>
      </c>
      <c r="P197">
        <f>[1]!XLSTAT_PDFPoisson(O197,1)</f>
        <v>0.18393972058572117</v>
      </c>
    </row>
    <row r="198" spans="1:16" x14ac:dyDescent="0.3">
      <c r="A198">
        <v>198</v>
      </c>
      <c r="B198">
        <f t="shared" si="18"/>
        <v>-123456789</v>
      </c>
      <c r="C198">
        <f t="shared" si="19"/>
        <v>14.176</v>
      </c>
      <c r="D198">
        <f>[1]!XLSTAT_PDFGeneral(B198,14, 16, 1)</f>
        <v>0</v>
      </c>
      <c r="E198">
        <v>198</v>
      </c>
      <c r="G198">
        <f t="shared" si="20"/>
        <v>15.15831663326653</v>
      </c>
      <c r="H198">
        <f>[1]!XLSTAT_PDFNormal(G198,16,1)</f>
        <v>0.27994728031706451</v>
      </c>
      <c r="I198">
        <v>198</v>
      </c>
      <c r="J198">
        <f t="shared" si="21"/>
        <v>-123456789</v>
      </c>
      <c r="K198">
        <f t="shared" si="22"/>
        <v>11.628</v>
      </c>
      <c r="L198">
        <f>[1]!XLSTAT_PDFGeneral(J198,17, 1)</f>
        <v>0</v>
      </c>
      <c r="M198">
        <v>198</v>
      </c>
      <c r="O198">
        <f t="shared" si="23"/>
        <v>2.3687374749499028</v>
      </c>
      <c r="P198">
        <f>[1]!XLSTAT_PDFPoisson(O198,1)</f>
        <v>0.18393972058572117</v>
      </c>
    </row>
    <row r="199" spans="1:16" x14ac:dyDescent="0.3">
      <c r="A199">
        <v>199</v>
      </c>
      <c r="B199">
        <f t="shared" si="18"/>
        <v>-123456789</v>
      </c>
      <c r="C199">
        <f t="shared" si="19"/>
        <v>14.188000000000001</v>
      </c>
      <c r="D199">
        <f>[1]!XLSTAT_PDFGeneral(B199,14, 16, 1)</f>
        <v>0</v>
      </c>
      <c r="E199">
        <v>199</v>
      </c>
      <c r="G199">
        <f t="shared" si="20"/>
        <v>15.174348697394787</v>
      </c>
      <c r="H199">
        <f>[1]!XLSTAT_PDFNormal(G199,16,1)</f>
        <v>0.28371400582483863</v>
      </c>
      <c r="I199">
        <v>199</v>
      </c>
      <c r="J199">
        <f t="shared" si="21"/>
        <v>-123456789</v>
      </c>
      <c r="K199">
        <f t="shared" si="22"/>
        <v>11.614000000000001</v>
      </c>
      <c r="L199">
        <f>[1]!XLSTAT_PDFGeneral(J199,17, 1)</f>
        <v>0</v>
      </c>
      <c r="M199">
        <v>199</v>
      </c>
      <c r="O199">
        <f t="shared" si="23"/>
        <v>2.3807615230460955</v>
      </c>
      <c r="P199">
        <f>[1]!XLSTAT_PDFPoisson(O199,1)</f>
        <v>0.18393972058572117</v>
      </c>
    </row>
    <row r="200" spans="1:16" x14ac:dyDescent="0.3">
      <c r="A200">
        <v>200</v>
      </c>
      <c r="B200">
        <f t="shared" si="18"/>
        <v>14.188000000000001</v>
      </c>
      <c r="C200">
        <f t="shared" si="19"/>
        <v>14.188000000000001</v>
      </c>
      <c r="D200">
        <f>[1]!XLSTAT_PDFGeneral(B200,14, 16, 1)</f>
        <v>7.7257557737150609E-2</v>
      </c>
      <c r="E200">
        <v>200</v>
      </c>
      <c r="G200">
        <f t="shared" si="20"/>
        <v>15.190380761523045</v>
      </c>
      <c r="H200">
        <f>[1]!XLSTAT_PDFNormal(G200,16,1)</f>
        <v>0.28745751923043777</v>
      </c>
      <c r="I200">
        <v>200</v>
      </c>
      <c r="J200">
        <f t="shared" si="21"/>
        <v>11.614000000000001</v>
      </c>
      <c r="K200">
        <f t="shared" si="22"/>
        <v>11.614000000000001</v>
      </c>
      <c r="L200">
        <f>[1]!XLSTAT_PDFGeneral(J200,17, 1)</f>
        <v>9.2161556330027044E-9</v>
      </c>
      <c r="M200">
        <v>200</v>
      </c>
      <c r="O200">
        <f t="shared" si="23"/>
        <v>2.3927855711422876</v>
      </c>
      <c r="P200">
        <f>[1]!XLSTAT_PDFPoisson(O200,1)</f>
        <v>0.18393972058572117</v>
      </c>
    </row>
    <row r="201" spans="1:16" x14ac:dyDescent="0.3">
      <c r="A201">
        <v>201</v>
      </c>
      <c r="B201">
        <f t="shared" si="18"/>
        <v>14.2</v>
      </c>
      <c r="C201">
        <f t="shared" si="19"/>
        <v>14.2</v>
      </c>
      <c r="D201">
        <f>[1]!XLSTAT_PDFGeneral(B201,14, 16, 1)</f>
        <v>7.8950158300894066E-2</v>
      </c>
      <c r="E201">
        <v>201</v>
      </c>
      <c r="G201">
        <f t="shared" si="20"/>
        <v>15.2064128256513</v>
      </c>
      <c r="H201">
        <f>[1]!XLSTAT_PDFNormal(G201,16,1)</f>
        <v>0.29117557744234396</v>
      </c>
      <c r="I201">
        <v>201</v>
      </c>
      <c r="J201">
        <f t="shared" si="21"/>
        <v>11.6</v>
      </c>
      <c r="K201">
        <f t="shared" si="22"/>
        <v>11.6</v>
      </c>
      <c r="L201">
        <f>[1]!XLSTAT_PDFGeneral(J201,17, 1)</f>
        <v>9.2161556330027044E-9</v>
      </c>
      <c r="M201">
        <v>201</v>
      </c>
      <c r="O201">
        <f t="shared" si="23"/>
        <v>2.4048096192384802</v>
      </c>
      <c r="P201">
        <f>[1]!XLSTAT_PDFPoisson(O201,1)</f>
        <v>0.18393972058572117</v>
      </c>
    </row>
    <row r="202" spans="1:16" x14ac:dyDescent="0.3">
      <c r="A202">
        <v>202</v>
      </c>
      <c r="B202">
        <f t="shared" si="18"/>
        <v>-123456789</v>
      </c>
      <c r="C202">
        <f t="shared" si="19"/>
        <v>14.2</v>
      </c>
      <c r="D202">
        <f>[1]!XLSTAT_PDFGeneral(B202,14, 16, 1)</f>
        <v>0</v>
      </c>
      <c r="E202">
        <v>202</v>
      </c>
      <c r="G202">
        <f t="shared" si="20"/>
        <v>15.222444889779556</v>
      </c>
      <c r="H202">
        <f>[1]!XLSTAT_PDFNormal(G202,16,1)</f>
        <v>0.29486592781911952</v>
      </c>
      <c r="I202">
        <v>202</v>
      </c>
      <c r="J202">
        <f t="shared" si="21"/>
        <v>-123456789</v>
      </c>
      <c r="K202">
        <f t="shared" si="22"/>
        <v>11.6</v>
      </c>
      <c r="L202">
        <f>[1]!XLSTAT_PDFGeneral(J202,17, 1)</f>
        <v>0</v>
      </c>
      <c r="M202">
        <v>202</v>
      </c>
      <c r="O202">
        <f t="shared" si="23"/>
        <v>2.4168336673346724</v>
      </c>
      <c r="P202">
        <f>[1]!XLSTAT_PDFPoisson(O202,1)</f>
        <v>0.18393972058572117</v>
      </c>
    </row>
    <row r="203" spans="1:16" x14ac:dyDescent="0.3">
      <c r="A203">
        <v>203</v>
      </c>
      <c r="B203">
        <f t="shared" si="18"/>
        <v>-123456789</v>
      </c>
      <c r="C203">
        <f t="shared" si="19"/>
        <v>14.212</v>
      </c>
      <c r="D203">
        <f>[1]!XLSTAT_PDFGeneral(B203,14, 16, 1)</f>
        <v>0</v>
      </c>
      <c r="E203">
        <v>203</v>
      </c>
      <c r="G203">
        <f t="shared" si="20"/>
        <v>15.238476953907814</v>
      </c>
      <c r="H203">
        <f>[1]!XLSTAT_PDFNormal(G203,16,1)</f>
        <v>0.29852631037634986</v>
      </c>
      <c r="I203">
        <v>203</v>
      </c>
      <c r="J203">
        <f t="shared" si="21"/>
        <v>-123456789</v>
      </c>
      <c r="K203">
        <f t="shared" si="22"/>
        <v>11.586</v>
      </c>
      <c r="L203">
        <f>[1]!XLSTAT_PDFGeneral(J203,17, 1)</f>
        <v>0</v>
      </c>
      <c r="M203">
        <v>203</v>
      </c>
      <c r="O203">
        <f t="shared" si="23"/>
        <v>2.428857715430865</v>
      </c>
      <c r="P203">
        <f>[1]!XLSTAT_PDFPoisson(O203,1)</f>
        <v>0.18393972058572117</v>
      </c>
    </row>
    <row r="204" spans="1:16" x14ac:dyDescent="0.3">
      <c r="A204">
        <v>204</v>
      </c>
      <c r="B204">
        <f t="shared" si="18"/>
        <v>14.212</v>
      </c>
      <c r="C204">
        <f t="shared" si="19"/>
        <v>14.212</v>
      </c>
      <c r="D204">
        <f>[1]!XLSTAT_PDFGeneral(B204,14, 16, 1)</f>
        <v>8.0668224217007006E-2</v>
      </c>
      <c r="E204">
        <v>204</v>
      </c>
      <c r="G204">
        <f t="shared" si="20"/>
        <v>15.254509018036069</v>
      </c>
      <c r="H204">
        <f>[1]!XLSTAT_PDFNormal(G204,16,1)</f>
        <v>0.30215446003133561</v>
      </c>
      <c r="I204">
        <v>204</v>
      </c>
      <c r="J204">
        <f t="shared" si="21"/>
        <v>11.586</v>
      </c>
      <c r="K204">
        <f t="shared" si="22"/>
        <v>11.586</v>
      </c>
      <c r="L204">
        <f>[1]!XLSTAT_PDFGeneral(J204,17, 1)</f>
        <v>9.2161556330027044E-9</v>
      </c>
      <c r="M204">
        <v>204</v>
      </c>
      <c r="O204">
        <f t="shared" si="23"/>
        <v>2.4408817635270572</v>
      </c>
      <c r="P204">
        <f>[1]!XLSTAT_PDFPoisson(O204,1)</f>
        <v>0.18393972058572117</v>
      </c>
    </row>
    <row r="205" spans="1:16" x14ac:dyDescent="0.3">
      <c r="A205">
        <v>205</v>
      </c>
      <c r="B205">
        <f t="shared" si="18"/>
        <v>14.224</v>
      </c>
      <c r="C205">
        <f t="shared" si="19"/>
        <v>14.224</v>
      </c>
      <c r="D205">
        <f>[1]!XLSTAT_PDFGeneral(B205,14, 16, 1)</f>
        <v>8.2411809496414523E-2</v>
      </c>
      <c r="E205">
        <v>205</v>
      </c>
      <c r="G205">
        <f t="shared" si="20"/>
        <v>15.270541082164327</v>
      </c>
      <c r="H205">
        <f>[1]!XLSTAT_PDFNormal(G205,16,1)</f>
        <v>0.30574810888253434</v>
      </c>
      <c r="I205">
        <v>205</v>
      </c>
      <c r="J205">
        <f t="shared" si="21"/>
        <v>11.571999999999999</v>
      </c>
      <c r="K205">
        <f t="shared" si="22"/>
        <v>11.571999999999999</v>
      </c>
      <c r="L205">
        <f>[1]!XLSTAT_PDFGeneral(J205,17, 1)</f>
        <v>9.2161556330027044E-9</v>
      </c>
      <c r="M205">
        <v>205</v>
      </c>
      <c r="O205">
        <f t="shared" si="23"/>
        <v>2.4529058116232498</v>
      </c>
      <c r="P205">
        <f>[1]!XLSTAT_PDFPoisson(O205,1)</f>
        <v>0.18393972058572117</v>
      </c>
    </row>
    <row r="206" spans="1:16" x14ac:dyDescent="0.3">
      <c r="A206">
        <v>206</v>
      </c>
      <c r="B206">
        <f t="shared" si="18"/>
        <v>-123456789</v>
      </c>
      <c r="C206">
        <f t="shared" si="19"/>
        <v>14.224</v>
      </c>
      <c r="D206">
        <f>[1]!XLSTAT_PDFGeneral(B206,14, 16, 1)</f>
        <v>0</v>
      </c>
      <c r="E206">
        <v>206</v>
      </c>
      <c r="G206">
        <f t="shared" si="20"/>
        <v>15.286573146292582</v>
      </c>
      <c r="H206">
        <f>[1]!XLSTAT_PDFNormal(G206,16,1)</f>
        <v>0.30930498852063676</v>
      </c>
      <c r="I206">
        <v>206</v>
      </c>
      <c r="J206">
        <f t="shared" si="21"/>
        <v>-123456789</v>
      </c>
      <c r="K206">
        <f t="shared" si="22"/>
        <v>11.571999999999999</v>
      </c>
      <c r="L206">
        <f>[1]!XLSTAT_PDFGeneral(J206,17, 1)</f>
        <v>0</v>
      </c>
      <c r="M206">
        <v>206</v>
      </c>
      <c r="O206">
        <f t="shared" si="23"/>
        <v>2.464929859719442</v>
      </c>
      <c r="P206">
        <f>[1]!XLSTAT_PDFPoisson(O206,1)</f>
        <v>0.18393972058572117</v>
      </c>
    </row>
    <row r="207" spans="1:16" x14ac:dyDescent="0.3">
      <c r="A207">
        <v>207</v>
      </c>
      <c r="B207">
        <f t="shared" si="18"/>
        <v>-123456789</v>
      </c>
      <c r="C207">
        <f t="shared" si="19"/>
        <v>14.236000000000001</v>
      </c>
      <c r="D207">
        <f>[1]!XLSTAT_PDFGeneral(B207,14, 16, 1)</f>
        <v>0</v>
      </c>
      <c r="E207">
        <v>207</v>
      </c>
      <c r="G207">
        <f t="shared" si="20"/>
        <v>15.30260521042084</v>
      </c>
      <c r="H207">
        <f>[1]!XLSTAT_PDFNormal(G207,16,1)</f>
        <v>0.31282283236809</v>
      </c>
      <c r="I207">
        <v>207</v>
      </c>
      <c r="J207">
        <f t="shared" si="21"/>
        <v>-123456789</v>
      </c>
      <c r="K207">
        <f t="shared" si="22"/>
        <v>11.558</v>
      </c>
      <c r="L207">
        <f>[1]!XLSTAT_PDFGeneral(J207,17, 1)</f>
        <v>0</v>
      </c>
      <c r="M207">
        <v>207</v>
      </c>
      <c r="O207">
        <f t="shared" si="23"/>
        <v>2.4769539078156346</v>
      </c>
      <c r="P207">
        <f>[1]!XLSTAT_PDFPoisson(O207,1)</f>
        <v>0.18393972058572117</v>
      </c>
    </row>
    <row r="208" spans="1:16" x14ac:dyDescent="0.3">
      <c r="A208">
        <v>208</v>
      </c>
      <c r="B208">
        <f t="shared" si="18"/>
        <v>14.236000000000001</v>
      </c>
      <c r="C208">
        <f t="shared" si="19"/>
        <v>14.236000000000001</v>
      </c>
      <c r="D208">
        <f>[1]!XLSTAT_PDFGeneral(B208,14, 16, 1)</f>
        <v>8.4180958178834947E-2</v>
      </c>
      <c r="E208">
        <v>208</v>
      </c>
      <c r="G208">
        <f t="shared" si="20"/>
        <v>15.318637274549095</v>
      </c>
      <c r="H208">
        <f>[1]!XLSTAT_PDFNormal(G208,16,1)</f>
        <v>0.31629937804376451</v>
      </c>
      <c r="I208">
        <v>208</v>
      </c>
      <c r="J208">
        <f t="shared" si="21"/>
        <v>11.558</v>
      </c>
      <c r="K208">
        <f t="shared" si="22"/>
        <v>11.558</v>
      </c>
      <c r="L208">
        <f>[1]!XLSTAT_PDFGeneral(J208,17, 1)</f>
        <v>9.2161556330027044E-9</v>
      </c>
      <c r="M208">
        <v>208</v>
      </c>
      <c r="O208">
        <f t="shared" si="23"/>
        <v>2.4889779559118268</v>
      </c>
      <c r="P208">
        <f>[1]!XLSTAT_PDFPoisson(O208,1)</f>
        <v>0.18393972058572117</v>
      </c>
    </row>
    <row r="209" spans="1:16" x14ac:dyDescent="0.3">
      <c r="A209">
        <v>209</v>
      </c>
      <c r="B209">
        <f t="shared" si="18"/>
        <v>14.247999999999999</v>
      </c>
      <c r="C209">
        <f t="shared" si="19"/>
        <v>14.247999999999999</v>
      </c>
      <c r="D209">
        <f>[1]!XLSTAT_PDFGeneral(B209,14, 16, 1)</f>
        <v>8.5975704091632049E-2</v>
      </c>
      <c r="E209">
        <v>209</v>
      </c>
      <c r="G209">
        <f t="shared" si="20"/>
        <v>15.334669338677353</v>
      </c>
      <c r="H209">
        <f>[1]!XLSTAT_PDFNormal(G209,16,1)</f>
        <v>0.31973236974940417</v>
      </c>
      <c r="I209">
        <v>209</v>
      </c>
      <c r="J209">
        <f t="shared" si="21"/>
        <v>11.544</v>
      </c>
      <c r="K209">
        <f t="shared" si="22"/>
        <v>11.544</v>
      </c>
      <c r="L209">
        <f>[1]!XLSTAT_PDFGeneral(J209,17, 1)</f>
        <v>9.2161556330027044E-9</v>
      </c>
      <c r="M209">
        <v>209</v>
      </c>
      <c r="O209">
        <f t="shared" si="23"/>
        <v>2.5010020040080194</v>
      </c>
      <c r="P209">
        <f>[1]!XLSTAT_PDFPoisson(O209,1)</f>
        <v>0.18393972058572117</v>
      </c>
    </row>
    <row r="210" spans="1:16" x14ac:dyDescent="0.3">
      <c r="A210">
        <v>210</v>
      </c>
      <c r="B210">
        <f t="shared" si="18"/>
        <v>-123456789</v>
      </c>
      <c r="C210">
        <f t="shared" si="19"/>
        <v>14.247999999999999</v>
      </c>
      <c r="D210">
        <f>[1]!XLSTAT_PDFGeneral(B210,14, 16, 1)</f>
        <v>0</v>
      </c>
      <c r="E210">
        <v>210</v>
      </c>
      <c r="G210">
        <f t="shared" si="20"/>
        <v>15.350701402805608</v>
      </c>
      <c r="H210">
        <f>[1]!XLSTAT_PDFNormal(G210,16,1)</f>
        <v>0.32311956067439268</v>
      </c>
      <c r="I210">
        <v>210</v>
      </c>
      <c r="J210">
        <f t="shared" si="21"/>
        <v>-123456789</v>
      </c>
      <c r="K210">
        <f t="shared" si="22"/>
        <v>11.544</v>
      </c>
      <c r="L210">
        <f>[1]!XLSTAT_PDFGeneral(J210,17, 1)</f>
        <v>0</v>
      </c>
      <c r="M210">
        <v>210</v>
      </c>
      <c r="O210">
        <f t="shared" si="23"/>
        <v>2.5130260521042116</v>
      </c>
      <c r="P210">
        <f>[1]!XLSTAT_PDFPoisson(O210,1)</f>
        <v>0.18393972058572117</v>
      </c>
    </row>
    <row r="211" spans="1:16" x14ac:dyDescent="0.3">
      <c r="A211">
        <v>211</v>
      </c>
      <c r="B211">
        <f t="shared" si="18"/>
        <v>-123456789</v>
      </c>
      <c r="C211">
        <f t="shared" si="19"/>
        <v>14.26</v>
      </c>
      <c r="D211">
        <f>[1]!XLSTAT_PDFGeneral(B211,14, 16, 1)</f>
        <v>0</v>
      </c>
      <c r="E211">
        <v>211</v>
      </c>
      <c r="G211">
        <f t="shared" si="20"/>
        <v>15.366733466933866</v>
      </c>
      <c r="H211">
        <f>[1]!XLSTAT_PDFNormal(G211,16,1)</f>
        <v>0.32645871541532628</v>
      </c>
      <c r="I211">
        <v>211</v>
      </c>
      <c r="J211">
        <f t="shared" si="21"/>
        <v>-123456789</v>
      </c>
      <c r="K211">
        <f t="shared" si="22"/>
        <v>11.53</v>
      </c>
      <c r="L211">
        <f>[1]!XLSTAT_PDFGeneral(J211,17, 1)</f>
        <v>0</v>
      </c>
      <c r="M211">
        <v>211</v>
      </c>
      <c r="O211">
        <f t="shared" si="23"/>
        <v>2.5250501002004042</v>
      </c>
      <c r="P211">
        <f>[1]!XLSTAT_PDFPoisson(O211,1)</f>
        <v>0.18393972058572117</v>
      </c>
    </row>
    <row r="212" spans="1:16" x14ac:dyDescent="0.3">
      <c r="A212">
        <v>212</v>
      </c>
      <c r="B212">
        <f t="shared" si="18"/>
        <v>14.26</v>
      </c>
      <c r="C212">
        <f t="shared" si="19"/>
        <v>14.26</v>
      </c>
      <c r="D212">
        <f>[1]!XLSTAT_PDFGeneral(B212,14, 16, 1)</f>
        <v>8.7796070610905594E-2</v>
      </c>
      <c r="E212">
        <v>212</v>
      </c>
      <c r="G212">
        <f t="shared" si="20"/>
        <v>15.382765531062121</v>
      </c>
      <c r="H212">
        <f>[1]!XLSTAT_PDFNormal(G212,16,1)</f>
        <v>0.32974761240678868</v>
      </c>
      <c r="I212">
        <v>212</v>
      </c>
      <c r="J212">
        <f t="shared" si="21"/>
        <v>11.53</v>
      </c>
      <c r="K212">
        <f t="shared" si="22"/>
        <v>11.53</v>
      </c>
      <c r="L212">
        <f>[1]!XLSTAT_PDFGeneral(J212,17, 1)</f>
        <v>9.2161556330027044E-9</v>
      </c>
      <c r="M212">
        <v>212</v>
      </c>
      <c r="O212">
        <f t="shared" si="23"/>
        <v>2.5370741482965964</v>
      </c>
      <c r="P212">
        <f>[1]!XLSTAT_PDFPoisson(O212,1)</f>
        <v>0.18393972058572117</v>
      </c>
    </row>
    <row r="213" spans="1:16" x14ac:dyDescent="0.3">
      <c r="A213">
        <v>213</v>
      </c>
      <c r="B213">
        <f t="shared" si="18"/>
        <v>14.272</v>
      </c>
      <c r="C213">
        <f t="shared" si="19"/>
        <v>14.272</v>
      </c>
      <c r="D213">
        <f>[1]!XLSTAT_PDFGeneral(B213,14, 16, 1)</f>
        <v>8.9642070425072412E-2</v>
      </c>
      <c r="E213">
        <v>213</v>
      </c>
      <c r="G213">
        <f t="shared" si="20"/>
        <v>15.398797595190379</v>
      </c>
      <c r="H213">
        <f>[1]!XLSTAT_PDFNormal(G213,16,1)</f>
        <v>0.33298404635969303</v>
      </c>
      <c r="I213">
        <v>213</v>
      </c>
      <c r="J213">
        <f t="shared" si="21"/>
        <v>11.516</v>
      </c>
      <c r="K213">
        <f t="shared" si="22"/>
        <v>11.516</v>
      </c>
      <c r="L213">
        <f>[1]!XLSTAT_PDFGeneral(J213,17, 1)</f>
        <v>9.2161556330027044E-9</v>
      </c>
      <c r="M213">
        <v>213</v>
      </c>
      <c r="O213">
        <f t="shared" si="23"/>
        <v>2.549098196392789</v>
      </c>
      <c r="P213">
        <f>[1]!XLSTAT_PDFPoisson(O213,1)</f>
        <v>0.18393972058572117</v>
      </c>
    </row>
    <row r="214" spans="1:16" x14ac:dyDescent="0.3">
      <c r="A214">
        <v>214</v>
      </c>
      <c r="B214">
        <f t="shared" si="18"/>
        <v>-123456789</v>
      </c>
      <c r="C214">
        <f t="shared" si="19"/>
        <v>14.272</v>
      </c>
      <c r="D214">
        <f>[1]!XLSTAT_PDFGeneral(B214,14, 16, 1)</f>
        <v>0</v>
      </c>
      <c r="E214">
        <v>214</v>
      </c>
      <c r="G214">
        <f t="shared" si="20"/>
        <v>15.414829659318634</v>
      </c>
      <c r="H214">
        <f>[1]!XLSTAT_PDFNormal(G214,16,1)</f>
        <v>0.33616583070347783</v>
      </c>
      <c r="I214">
        <v>214</v>
      </c>
      <c r="J214">
        <f t="shared" si="21"/>
        <v>-123456789</v>
      </c>
      <c r="K214">
        <f t="shared" si="22"/>
        <v>11.516</v>
      </c>
      <c r="L214">
        <f>[1]!XLSTAT_PDFGeneral(J214,17, 1)</f>
        <v>0</v>
      </c>
      <c r="M214">
        <v>214</v>
      </c>
      <c r="O214">
        <f t="shared" si="23"/>
        <v>2.5611222444889812</v>
      </c>
      <c r="P214">
        <f>[1]!XLSTAT_PDFPoisson(O214,1)</f>
        <v>0.18393972058572117</v>
      </c>
    </row>
    <row r="215" spans="1:16" x14ac:dyDescent="0.3">
      <c r="A215">
        <v>215</v>
      </c>
      <c r="B215">
        <f t="shared" si="18"/>
        <v>-123456789</v>
      </c>
      <c r="C215">
        <f t="shared" si="19"/>
        <v>14.284000000000001</v>
      </c>
      <c r="D215">
        <f>[1]!XLSTAT_PDFGeneral(B215,14, 16, 1)</f>
        <v>0</v>
      </c>
      <c r="E215">
        <v>215</v>
      </c>
      <c r="G215">
        <f t="shared" si="20"/>
        <v>15.430861723446892</v>
      </c>
      <c r="H215">
        <f>[1]!XLSTAT_PDFNormal(G215,16,1)</f>
        <v>0.33929080002842299</v>
      </c>
      <c r="I215">
        <v>215</v>
      </c>
      <c r="J215">
        <f t="shared" si="21"/>
        <v>-123456789</v>
      </c>
      <c r="K215">
        <f t="shared" si="22"/>
        <v>11.502000000000001</v>
      </c>
      <c r="L215">
        <f>[1]!XLSTAT_PDFGeneral(J215,17, 1)</f>
        <v>0</v>
      </c>
      <c r="M215">
        <v>215</v>
      </c>
      <c r="O215">
        <f t="shared" si="23"/>
        <v>2.5731462925851738</v>
      </c>
      <c r="P215">
        <f>[1]!XLSTAT_PDFPoisson(O215,1)</f>
        <v>0.18393972058572117</v>
      </c>
    </row>
    <row r="216" spans="1:16" x14ac:dyDescent="0.3">
      <c r="A216">
        <v>216</v>
      </c>
      <c r="B216">
        <f t="shared" si="18"/>
        <v>14.284000000000001</v>
      </c>
      <c r="C216">
        <f t="shared" si="19"/>
        <v>14.284000000000001</v>
      </c>
      <c r="D216">
        <f>[1]!XLSTAT_PDFGeneral(B216,14, 16, 1)</f>
        <v>9.1513705301202897E-2</v>
      </c>
      <c r="E216">
        <v>216</v>
      </c>
      <c r="G216">
        <f t="shared" si="20"/>
        <v>15.446893787575148</v>
      </c>
      <c r="H216">
        <f>[1]!XLSTAT_PDFNormal(G216,16,1)</f>
        <v>0.34235681252429301</v>
      </c>
      <c r="I216">
        <v>216</v>
      </c>
      <c r="J216">
        <f t="shared" si="21"/>
        <v>11.502000000000001</v>
      </c>
      <c r="K216">
        <f t="shared" si="22"/>
        <v>11.502000000000001</v>
      </c>
      <c r="L216">
        <f>[1]!XLSTAT_PDFGeneral(J216,17, 1)</f>
        <v>9.2161556330027044E-9</v>
      </c>
      <c r="M216">
        <v>216</v>
      </c>
      <c r="O216">
        <f t="shared" si="23"/>
        <v>2.585170340681366</v>
      </c>
      <c r="P216">
        <f>[1]!XLSTAT_PDFPoisson(O216,1)</f>
        <v>0.18393972058572117</v>
      </c>
    </row>
    <row r="217" spans="1:16" x14ac:dyDescent="0.3">
      <c r="A217">
        <v>217</v>
      </c>
      <c r="B217">
        <f t="shared" si="18"/>
        <v>14.295999999999999</v>
      </c>
      <c r="C217">
        <f t="shared" si="19"/>
        <v>14.295999999999999</v>
      </c>
      <c r="D217">
        <f>[1]!XLSTAT_PDFGeneral(B217,14, 16, 1)</f>
        <v>9.3410965854371072E-2</v>
      </c>
      <c r="E217">
        <v>217</v>
      </c>
      <c r="G217">
        <f t="shared" si="20"/>
        <v>15.462925851703403</v>
      </c>
      <c r="H217">
        <f>[1]!XLSTAT_PDFNormal(G217,16,1)</f>
        <v>0.3453617524115033</v>
      </c>
      <c r="I217">
        <v>217</v>
      </c>
      <c r="J217">
        <f t="shared" si="21"/>
        <v>11.488</v>
      </c>
      <c r="K217">
        <f t="shared" si="22"/>
        <v>11.488</v>
      </c>
      <c r="L217">
        <f>[1]!XLSTAT_PDFGeneral(J217,17, 1)</f>
        <v>9.2161556330027044E-9</v>
      </c>
      <c r="M217">
        <v>217</v>
      </c>
      <c r="O217">
        <f t="shared" si="23"/>
        <v>2.5971943887775586</v>
      </c>
      <c r="P217">
        <f>[1]!XLSTAT_PDFPoisson(O217,1)</f>
        <v>0.18393972058572117</v>
      </c>
    </row>
    <row r="218" spans="1:16" x14ac:dyDescent="0.3">
      <c r="A218">
        <v>218</v>
      </c>
      <c r="B218">
        <f t="shared" si="18"/>
        <v>-123456789</v>
      </c>
      <c r="C218">
        <f t="shared" si="19"/>
        <v>14.295999999999999</v>
      </c>
      <c r="D218">
        <f>[1]!XLSTAT_PDFGeneral(B218,14, 16, 1)</f>
        <v>0</v>
      </c>
      <c r="E218">
        <v>218</v>
      </c>
      <c r="G218">
        <f t="shared" si="20"/>
        <v>15.478957915831661</v>
      </c>
      <c r="H218">
        <f>[1]!XLSTAT_PDFNormal(G218,16,1)</f>
        <v>0.34830353236096884</v>
      </c>
      <c r="I218">
        <v>218</v>
      </c>
      <c r="J218">
        <f t="shared" si="21"/>
        <v>-123456789</v>
      </c>
      <c r="K218">
        <f t="shared" si="22"/>
        <v>11.488</v>
      </c>
      <c r="L218">
        <f>[1]!XLSTAT_PDFGeneral(J218,17, 1)</f>
        <v>0</v>
      </c>
      <c r="M218">
        <v>218</v>
      </c>
      <c r="O218">
        <f t="shared" si="23"/>
        <v>2.6092184368737508</v>
      </c>
      <c r="P218">
        <f>[1]!XLSTAT_PDFPoisson(O218,1)</f>
        <v>0.18393972058572117</v>
      </c>
    </row>
    <row r="219" spans="1:16" x14ac:dyDescent="0.3">
      <c r="A219">
        <v>219</v>
      </c>
      <c r="B219">
        <f t="shared" si="18"/>
        <v>-123456789</v>
      </c>
      <c r="C219">
        <f t="shared" si="19"/>
        <v>14.308</v>
      </c>
      <c r="D219">
        <f>[1]!XLSTAT_PDFGeneral(B219,14, 16, 1)</f>
        <v>0</v>
      </c>
      <c r="E219">
        <v>219</v>
      </c>
      <c r="G219">
        <f t="shared" si="20"/>
        <v>15.494989979959918</v>
      </c>
      <c r="H219">
        <f>[1]!XLSTAT_PDFNormal(G219,16,1)</f>
        <v>0.35118009589878585</v>
      </c>
      <c r="I219">
        <v>219</v>
      </c>
      <c r="J219">
        <f t="shared" si="21"/>
        <v>-123456789</v>
      </c>
      <c r="K219">
        <f t="shared" si="22"/>
        <v>11.474</v>
      </c>
      <c r="L219">
        <f>[1]!XLSTAT_PDFGeneral(J219,17, 1)</f>
        <v>0</v>
      </c>
      <c r="M219">
        <v>219</v>
      </c>
      <c r="O219">
        <f t="shared" si="23"/>
        <v>2.6212424849699434</v>
      </c>
      <c r="P219">
        <f>[1]!XLSTAT_PDFPoisson(O219,1)</f>
        <v>0.18393972058572117</v>
      </c>
    </row>
    <row r="220" spans="1:16" x14ac:dyDescent="0.3">
      <c r="A220">
        <v>220</v>
      </c>
      <c r="B220">
        <f t="shared" si="18"/>
        <v>14.308</v>
      </c>
      <c r="C220">
        <f t="shared" si="19"/>
        <v>14.308</v>
      </c>
      <c r="D220">
        <f>[1]!XLSTAT_PDFGeneral(B220,14, 16, 1)</f>
        <v>9.5333831320286069E-2</v>
      </c>
      <c r="E220">
        <v>220</v>
      </c>
      <c r="G220">
        <f t="shared" si="20"/>
        <v>15.511022044088174</v>
      </c>
      <c r="H220">
        <f>[1]!XLSTAT_PDFNormal(G220,16,1)</f>
        <v>0.35398941979189352</v>
      </c>
      <c r="I220">
        <v>220</v>
      </c>
      <c r="J220">
        <f t="shared" si="21"/>
        <v>11.474</v>
      </c>
      <c r="K220">
        <f t="shared" si="22"/>
        <v>11.474</v>
      </c>
      <c r="L220">
        <f>[1]!XLSTAT_PDFGeneral(J220,17, 1)</f>
        <v>9.2161556330027044E-9</v>
      </c>
      <c r="M220">
        <v>220</v>
      </c>
      <c r="O220">
        <f t="shared" si="23"/>
        <v>2.6332665330661356</v>
      </c>
      <c r="P220">
        <f>[1]!XLSTAT_PDFPoisson(O220,1)</f>
        <v>0.18393972058572117</v>
      </c>
    </row>
    <row r="221" spans="1:16" x14ac:dyDescent="0.3">
      <c r="A221">
        <v>221</v>
      </c>
      <c r="B221">
        <f t="shared" si="18"/>
        <v>14.32</v>
      </c>
      <c r="C221">
        <f t="shared" si="19"/>
        <v>14.32</v>
      </c>
      <c r="D221">
        <f>[1]!XLSTAT_PDFGeneral(B221,14, 16, 1)</f>
        <v>9.7282269331467539E-2</v>
      </c>
      <c r="E221">
        <v>221</v>
      </c>
      <c r="G221">
        <f t="shared" si="20"/>
        <v>15.527054108216429</v>
      </c>
      <c r="H221">
        <f>[1]!XLSTAT_PDFNormal(G221,16,1)</f>
        <v>0.35672951641085732</v>
      </c>
      <c r="I221">
        <v>221</v>
      </c>
      <c r="J221">
        <f t="shared" si="21"/>
        <v>11.46</v>
      </c>
      <c r="K221">
        <f t="shared" si="22"/>
        <v>11.46</v>
      </c>
      <c r="L221">
        <f>[1]!XLSTAT_PDFGeneral(J221,17, 1)</f>
        <v>9.2161556330027044E-9</v>
      </c>
      <c r="M221">
        <v>221</v>
      </c>
      <c r="O221">
        <f t="shared" si="23"/>
        <v>2.6452905811623282</v>
      </c>
      <c r="P221">
        <f>[1]!XLSTAT_PDFPoisson(O221,1)</f>
        <v>0.18393972058572117</v>
      </c>
    </row>
    <row r="222" spans="1:16" x14ac:dyDescent="0.3">
      <c r="A222">
        <v>222</v>
      </c>
      <c r="B222">
        <f t="shared" si="18"/>
        <v>-123456789</v>
      </c>
      <c r="C222">
        <f t="shared" si="19"/>
        <v>14.32</v>
      </c>
      <c r="D222">
        <f>[1]!XLSTAT_PDFGeneral(B222,14, 16, 1)</f>
        <v>0</v>
      </c>
      <c r="E222">
        <v>222</v>
      </c>
      <c r="G222">
        <f t="shared" si="20"/>
        <v>15.543086172344687</v>
      </c>
      <c r="H222">
        <f>[1]!XLSTAT_PDFNormal(G222,16,1)</f>
        <v>0.35939843606592553</v>
      </c>
      <c r="I222">
        <v>222</v>
      </c>
      <c r="J222">
        <f t="shared" si="21"/>
        <v>-123456789</v>
      </c>
      <c r="K222">
        <f t="shared" si="22"/>
        <v>11.46</v>
      </c>
      <c r="L222">
        <f>[1]!XLSTAT_PDFGeneral(J222,17, 1)</f>
        <v>0</v>
      </c>
      <c r="M222">
        <v>222</v>
      </c>
      <c r="O222">
        <f t="shared" si="23"/>
        <v>2.6573146292585204</v>
      </c>
      <c r="P222">
        <f>[1]!XLSTAT_PDFPoisson(O222,1)</f>
        <v>0.18393972058572117</v>
      </c>
    </row>
    <row r="223" spans="1:16" x14ac:dyDescent="0.3">
      <c r="A223">
        <v>223</v>
      </c>
      <c r="B223">
        <f t="shared" si="18"/>
        <v>-123456789</v>
      </c>
      <c r="C223">
        <f t="shared" si="19"/>
        <v>14.332000000000001</v>
      </c>
      <c r="D223">
        <f>[1]!XLSTAT_PDFGeneral(B223,14, 16, 1)</f>
        <v>0</v>
      </c>
      <c r="E223">
        <v>223</v>
      </c>
      <c r="G223">
        <f t="shared" si="20"/>
        <v>15.559118236472944</v>
      </c>
      <c r="H223">
        <f>[1]!XLSTAT_PDFNormal(G223,16,1)</f>
        <v>0.36199426931253209</v>
      </c>
      <c r="I223">
        <v>223</v>
      </c>
      <c r="J223">
        <f t="shared" si="21"/>
        <v>-123456789</v>
      </c>
      <c r="K223">
        <f t="shared" si="22"/>
        <v>11.446</v>
      </c>
      <c r="L223">
        <f>[1]!XLSTAT_PDFGeneral(J223,17, 1)</f>
        <v>0</v>
      </c>
      <c r="M223">
        <v>223</v>
      </c>
      <c r="O223">
        <f t="shared" si="23"/>
        <v>2.669338677354713</v>
      </c>
      <c r="P223">
        <f>[1]!XLSTAT_PDFPoisson(O223,1)</f>
        <v>0.18393972058572117</v>
      </c>
    </row>
    <row r="224" spans="1:16" x14ac:dyDescent="0.3">
      <c r="A224">
        <v>224</v>
      </c>
      <c r="B224">
        <f t="shared" si="18"/>
        <v>14.332000000000001</v>
      </c>
      <c r="C224">
        <f t="shared" si="19"/>
        <v>14.332000000000001</v>
      </c>
      <c r="D224">
        <f>[1]!XLSTAT_PDFGeneral(B224,14, 16, 1)</f>
        <v>9.9256235697239528E-2</v>
      </c>
      <c r="E224">
        <v>224</v>
      </c>
      <c r="G224">
        <f t="shared" si="20"/>
        <v>15.5751503006012</v>
      </c>
      <c r="H224">
        <f>[1]!XLSTAT_PDFNormal(G224,16,1)</f>
        <v>0.3645151492224411</v>
      </c>
      <c r="I224">
        <v>224</v>
      </c>
      <c r="J224">
        <f t="shared" si="21"/>
        <v>11.446</v>
      </c>
      <c r="K224">
        <f t="shared" si="22"/>
        <v>11.446</v>
      </c>
      <c r="L224">
        <f>[1]!XLSTAT_PDFGeneral(J224,17, 1)</f>
        <v>9.2161556330027044E-9</v>
      </c>
      <c r="M224">
        <v>224</v>
      </c>
      <c r="O224">
        <f t="shared" si="23"/>
        <v>2.6813627254509051</v>
      </c>
      <c r="P224">
        <f>[1]!XLSTAT_PDFPoisson(O224,1)</f>
        <v>0.18393972058572117</v>
      </c>
    </row>
    <row r="225" spans="1:16" x14ac:dyDescent="0.3">
      <c r="A225">
        <v>225</v>
      </c>
      <c r="B225">
        <f t="shared" si="18"/>
        <v>14.343999999999999</v>
      </c>
      <c r="C225">
        <f t="shared" si="19"/>
        <v>14.343999999999999</v>
      </c>
      <c r="D225">
        <f>[1]!XLSTAT_PDFGeneral(B225,14, 16, 1)</f>
        <v>0.10125567418780868</v>
      </c>
      <c r="E225">
        <v>225</v>
      </c>
      <c r="G225">
        <f t="shared" si="20"/>
        <v>15.591182364729455</v>
      </c>
      <c r="H225">
        <f>[1]!XLSTAT_PDFNormal(G225,16,1)</f>
        <v>0.36695925361676002</v>
      </c>
      <c r="I225">
        <v>225</v>
      </c>
      <c r="J225">
        <f t="shared" si="21"/>
        <v>11.432</v>
      </c>
      <c r="K225">
        <f t="shared" si="22"/>
        <v>11.432</v>
      </c>
      <c r="L225">
        <f>[1]!XLSTAT_PDFGeneral(J225,17, 1)</f>
        <v>9.2161556330027044E-9</v>
      </c>
      <c r="M225">
        <v>225</v>
      </c>
      <c r="O225">
        <f t="shared" si="23"/>
        <v>2.6933867735470978</v>
      </c>
      <c r="P225">
        <f>[1]!XLSTAT_PDFPoisson(O225,1)</f>
        <v>0.18393972058572117</v>
      </c>
    </row>
    <row r="226" spans="1:16" x14ac:dyDescent="0.3">
      <c r="A226">
        <v>226</v>
      </c>
      <c r="B226">
        <f t="shared" si="18"/>
        <v>-123456789</v>
      </c>
      <c r="C226">
        <f t="shared" si="19"/>
        <v>14.343999999999999</v>
      </c>
      <c r="D226">
        <f>[1]!XLSTAT_PDFGeneral(B226,14, 16, 1)</f>
        <v>0</v>
      </c>
      <c r="E226">
        <v>226</v>
      </c>
      <c r="G226">
        <f t="shared" si="20"/>
        <v>15.607214428857713</v>
      </c>
      <c r="H226">
        <f>[1]!XLSTAT_PDFNormal(G226,16,1)</f>
        <v>0.36932480725709094</v>
      </c>
      <c r="I226">
        <v>226</v>
      </c>
      <c r="J226">
        <f t="shared" si="21"/>
        <v>-123456789</v>
      </c>
      <c r="K226">
        <f t="shared" si="22"/>
        <v>11.432</v>
      </c>
      <c r="L226">
        <f>[1]!XLSTAT_PDFGeneral(J226,17, 1)</f>
        <v>0</v>
      </c>
      <c r="M226">
        <v>226</v>
      </c>
      <c r="O226">
        <f t="shared" si="23"/>
        <v>2.7054108216432899</v>
      </c>
      <c r="P226">
        <f>[1]!XLSTAT_PDFPoisson(O226,1)</f>
        <v>0.18393972058572117</v>
      </c>
    </row>
    <row r="227" spans="1:16" x14ac:dyDescent="0.3">
      <c r="A227">
        <v>227</v>
      </c>
      <c r="B227">
        <f t="shared" si="18"/>
        <v>-123456789</v>
      </c>
      <c r="C227">
        <f t="shared" si="19"/>
        <v>14.356</v>
      </c>
      <c r="D227">
        <f>[1]!XLSTAT_PDFGeneral(B227,14, 16, 1)</f>
        <v>0</v>
      </c>
      <c r="E227">
        <v>227</v>
      </c>
      <c r="G227">
        <f t="shared" si="20"/>
        <v>15.62324649298597</v>
      </c>
      <c r="H227">
        <f>[1]!XLSTAT_PDFNormal(G227,16,1)</f>
        <v>0.37161008399113854</v>
      </c>
      <c r="I227">
        <v>227</v>
      </c>
      <c r="J227">
        <f t="shared" si="21"/>
        <v>-123456789</v>
      </c>
      <c r="K227">
        <f t="shared" si="22"/>
        <v>11.417999999999999</v>
      </c>
      <c r="L227">
        <f>[1]!XLSTAT_PDFGeneral(J227,17, 1)</f>
        <v>0</v>
      </c>
      <c r="M227">
        <v>227</v>
      </c>
      <c r="O227">
        <f t="shared" si="23"/>
        <v>2.7174348697394826</v>
      </c>
      <c r="P227">
        <f>[1]!XLSTAT_PDFPoisson(O227,1)</f>
        <v>0.18393972058572117</v>
      </c>
    </row>
    <row r="228" spans="1:16" x14ac:dyDescent="0.3">
      <c r="A228">
        <v>228</v>
      </c>
      <c r="B228">
        <f t="shared" si="18"/>
        <v>14.356</v>
      </c>
      <c r="C228">
        <f t="shared" si="19"/>
        <v>14.356</v>
      </c>
      <c r="D228">
        <f>[1]!XLSTAT_PDFGeneral(B228,14, 16, 1)</f>
        <v>0.10328051632270249</v>
      </c>
      <c r="E228">
        <v>228</v>
      </c>
      <c r="G228">
        <f t="shared" si="20"/>
        <v>15.639278557114226</v>
      </c>
      <c r="H228">
        <f>[1]!XLSTAT_PDFNormal(G228,16,1)</f>
        <v>0.37381340884915254</v>
      </c>
      <c r="I228">
        <v>228</v>
      </c>
      <c r="J228">
        <f t="shared" si="21"/>
        <v>11.417999999999999</v>
      </c>
      <c r="K228">
        <f t="shared" si="22"/>
        <v>11.417999999999999</v>
      </c>
      <c r="L228">
        <f>[1]!XLSTAT_PDFGeneral(J228,17, 1)</f>
        <v>9.2161556330027044E-9</v>
      </c>
      <c r="M228">
        <v>228</v>
      </c>
      <c r="O228">
        <f t="shared" si="23"/>
        <v>2.7294589178356747</v>
      </c>
      <c r="P228">
        <f>[1]!XLSTAT_PDFPoisson(O228,1)</f>
        <v>0.18393972058572117</v>
      </c>
    </row>
    <row r="229" spans="1:16" x14ac:dyDescent="0.3">
      <c r="A229">
        <v>229</v>
      </c>
      <c r="B229">
        <f t="shared" si="18"/>
        <v>14.368</v>
      </c>
      <c r="C229">
        <f t="shared" si="19"/>
        <v>14.368</v>
      </c>
      <c r="D229">
        <f>[1]!XLSTAT_PDFGeneral(B229,14, 16, 1)</f>
        <v>0.10533068116383559</v>
      </c>
      <c r="E229">
        <v>229</v>
      </c>
      <c r="G229">
        <f t="shared" si="20"/>
        <v>15.655310621242482</v>
      </c>
      <c r="H229">
        <f>[1]!XLSTAT_PDFNormal(G229,16,1)</f>
        <v>0.37593316008764327</v>
      </c>
      <c r="I229">
        <v>229</v>
      </c>
      <c r="J229">
        <f t="shared" si="21"/>
        <v>11.404</v>
      </c>
      <c r="K229">
        <f t="shared" si="22"/>
        <v>11.404</v>
      </c>
      <c r="L229">
        <f>[1]!XLSTAT_PDFGeneral(J229,17, 1)</f>
        <v>9.2161556330027044E-9</v>
      </c>
      <c r="M229">
        <v>229</v>
      </c>
      <c r="O229">
        <f t="shared" si="23"/>
        <v>2.7414829659318674</v>
      </c>
      <c r="P229">
        <f>[1]!XLSTAT_PDFPoisson(O229,1)</f>
        <v>0.18393972058572117</v>
      </c>
    </row>
    <row r="230" spans="1:16" x14ac:dyDescent="0.3">
      <c r="A230">
        <v>230</v>
      </c>
      <c r="B230">
        <f t="shared" si="18"/>
        <v>-123456789</v>
      </c>
      <c r="C230">
        <f t="shared" si="19"/>
        <v>14.368</v>
      </c>
      <c r="D230">
        <f>[1]!XLSTAT_PDFGeneral(B230,14, 16, 1)</f>
        <v>0</v>
      </c>
      <c r="E230">
        <v>230</v>
      </c>
      <c r="G230">
        <f t="shared" si="20"/>
        <v>15.671342685370739</v>
      </c>
      <c r="H230">
        <f>[1]!XLSTAT_PDFNormal(G230,16,1)</f>
        <v>0.37796777117688246</v>
      </c>
      <c r="I230">
        <v>230</v>
      </c>
      <c r="J230">
        <f t="shared" si="21"/>
        <v>-123456789</v>
      </c>
      <c r="K230">
        <f t="shared" si="22"/>
        <v>11.404</v>
      </c>
      <c r="L230">
        <f>[1]!XLSTAT_PDFGeneral(J230,17, 1)</f>
        <v>0</v>
      </c>
      <c r="M230">
        <v>230</v>
      </c>
      <c r="O230">
        <f t="shared" si="23"/>
        <v>2.7535070140280595</v>
      </c>
      <c r="P230">
        <f>[1]!XLSTAT_PDFPoisson(O230,1)</f>
        <v>0.18393972058572117</v>
      </c>
    </row>
    <row r="231" spans="1:16" x14ac:dyDescent="0.3">
      <c r="A231">
        <v>231</v>
      </c>
      <c r="B231">
        <f t="shared" si="18"/>
        <v>-123456789</v>
      </c>
      <c r="C231">
        <f t="shared" si="19"/>
        <v>14.38</v>
      </c>
      <c r="D231">
        <f>[1]!XLSTAT_PDFGeneral(B231,14, 16, 1)</f>
        <v>0</v>
      </c>
      <c r="E231">
        <v>231</v>
      </c>
      <c r="G231">
        <f t="shared" si="20"/>
        <v>15.687374749498996</v>
      </c>
      <c r="H231">
        <f>[1]!XLSTAT_PDFNormal(G231,16,1)</f>
        <v>0.37991573272878471</v>
      </c>
      <c r="I231">
        <v>231</v>
      </c>
      <c r="J231">
        <f t="shared" si="21"/>
        <v>-123456789</v>
      </c>
      <c r="K231">
        <f t="shared" si="22"/>
        <v>11.39</v>
      </c>
      <c r="L231">
        <f>[1]!XLSTAT_PDFGeneral(J231,17, 1)</f>
        <v>0</v>
      </c>
      <c r="M231">
        <v>231</v>
      </c>
      <c r="O231">
        <f t="shared" si="23"/>
        <v>2.7655310621242521</v>
      </c>
      <c r="P231">
        <f>[1]!XLSTAT_PDFPoisson(O231,1)</f>
        <v>0.18393972058572117</v>
      </c>
    </row>
    <row r="232" spans="1:16" x14ac:dyDescent="0.3">
      <c r="A232">
        <v>232</v>
      </c>
      <c r="B232">
        <f t="shared" si="18"/>
        <v>14.38</v>
      </c>
      <c r="C232">
        <f t="shared" si="19"/>
        <v>14.38</v>
      </c>
      <c r="D232">
        <f>[1]!XLSTAT_PDFGeneral(B232,14, 16, 1)</f>
        <v>0.10740607511348398</v>
      </c>
      <c r="E232">
        <v>232</v>
      </c>
      <c r="G232">
        <f t="shared" si="20"/>
        <v>15.703406813627252</v>
      </c>
      <c r="H232">
        <f>[1]!XLSTAT_PDFNormal(G232,16,1)</f>
        <v>0.38177559436185082</v>
      </c>
      <c r="I232">
        <v>232</v>
      </c>
      <c r="J232">
        <f t="shared" si="21"/>
        <v>11.39</v>
      </c>
      <c r="K232">
        <f t="shared" si="22"/>
        <v>11.39</v>
      </c>
      <c r="L232">
        <f>[1]!XLSTAT_PDFGeneral(J232,17, 1)</f>
        <v>9.2161556330027044E-9</v>
      </c>
      <c r="M232">
        <v>232</v>
      </c>
      <c r="O232">
        <f t="shared" si="23"/>
        <v>2.7775551102204443</v>
      </c>
      <c r="P232">
        <f>[1]!XLSTAT_PDFPoisson(O232,1)</f>
        <v>0.18393972058572117</v>
      </c>
    </row>
    <row r="233" spans="1:16" x14ac:dyDescent="0.3">
      <c r="A233">
        <v>233</v>
      </c>
      <c r="B233">
        <f t="shared" si="18"/>
        <v>14.391999999999999</v>
      </c>
      <c r="C233">
        <f t="shared" si="19"/>
        <v>14.391999999999999</v>
      </c>
      <c r="D233">
        <f>[1]!XLSTAT_PDFGeneral(B233,14, 16, 1)</f>
        <v>0.10950659171743668</v>
      </c>
      <c r="E233">
        <v>233</v>
      </c>
      <c r="G233">
        <f t="shared" si="20"/>
        <v>15.719438877755508</v>
      </c>
      <c r="H233">
        <f>[1]!XLSTAT_PDFNormal(G233,16,1)</f>
        <v>0.38354596649994921</v>
      </c>
      <c r="I233">
        <v>233</v>
      </c>
      <c r="J233">
        <f t="shared" si="21"/>
        <v>11.375999999999999</v>
      </c>
      <c r="K233">
        <f t="shared" si="22"/>
        <v>11.375999999999999</v>
      </c>
      <c r="L233">
        <f>[1]!XLSTAT_PDFGeneral(J233,17, 1)</f>
        <v>9.2161556330027044E-9</v>
      </c>
      <c r="M233">
        <v>233</v>
      </c>
      <c r="O233">
        <f t="shared" si="23"/>
        <v>2.7895791583166369</v>
      </c>
      <c r="P233">
        <f>[1]!XLSTAT_PDFPoisson(O233,1)</f>
        <v>0.18393972058572117</v>
      </c>
    </row>
    <row r="234" spans="1:16" x14ac:dyDescent="0.3">
      <c r="A234">
        <v>234</v>
      </c>
      <c r="B234">
        <f t="shared" si="18"/>
        <v>-123456789</v>
      </c>
      <c r="C234">
        <f t="shared" si="19"/>
        <v>14.391999999999999</v>
      </c>
      <c r="D234">
        <f>[1]!XLSTAT_PDFGeneral(B234,14, 16, 1)</f>
        <v>0</v>
      </c>
      <c r="E234">
        <v>234</v>
      </c>
      <c r="G234">
        <f t="shared" si="20"/>
        <v>15.735470941883765</v>
      </c>
      <c r="H234">
        <f>[1]!XLSTAT_PDFNormal(G234,16,1)</f>
        <v>0.38522552210181205</v>
      </c>
      <c r="I234">
        <v>234</v>
      </c>
      <c r="J234">
        <f t="shared" si="21"/>
        <v>-123456789</v>
      </c>
      <c r="K234">
        <f t="shared" si="22"/>
        <v>11.375999999999999</v>
      </c>
      <c r="L234">
        <f>[1]!XLSTAT_PDFGeneral(J234,17, 1)</f>
        <v>0</v>
      </c>
      <c r="M234">
        <v>234</v>
      </c>
      <c r="O234">
        <f t="shared" si="23"/>
        <v>2.8016032064128291</v>
      </c>
      <c r="P234">
        <f>[1]!XLSTAT_PDFPoisson(O234,1)</f>
        <v>0.18393972058572117</v>
      </c>
    </row>
    <row r="235" spans="1:16" x14ac:dyDescent="0.3">
      <c r="A235">
        <v>235</v>
      </c>
      <c r="B235">
        <f t="shared" si="18"/>
        <v>-123456789</v>
      </c>
      <c r="C235">
        <f t="shared" si="19"/>
        <v>14.404</v>
      </c>
      <c r="D235">
        <f>[1]!XLSTAT_PDFGeneral(B235,14, 16, 1)</f>
        <v>0</v>
      </c>
      <c r="E235">
        <v>235</v>
      </c>
      <c r="G235">
        <f t="shared" si="20"/>
        <v>15.751503006012021</v>
      </c>
      <c r="H235">
        <f>[1]!XLSTAT_PDFNormal(G235,16,1)</f>
        <v>0.38681299831823657</v>
      </c>
      <c r="I235">
        <v>235</v>
      </c>
      <c r="J235">
        <f t="shared" si="21"/>
        <v>-123456789</v>
      </c>
      <c r="K235">
        <f t="shared" si="22"/>
        <v>11.362</v>
      </c>
      <c r="L235">
        <f>[1]!XLSTAT_PDFGeneral(J235,17, 1)</f>
        <v>0</v>
      </c>
      <c r="M235">
        <v>235</v>
      </c>
      <c r="O235">
        <f t="shared" si="23"/>
        <v>2.8136272545090217</v>
      </c>
      <c r="P235">
        <f>[1]!XLSTAT_PDFPoisson(O235,1)</f>
        <v>0.18393972058572117</v>
      </c>
    </row>
    <row r="236" spans="1:16" x14ac:dyDescent="0.3">
      <c r="A236">
        <v>236</v>
      </c>
      <c r="B236">
        <f t="shared" si="18"/>
        <v>14.404</v>
      </c>
      <c r="C236">
        <f t="shared" si="19"/>
        <v>14.404</v>
      </c>
      <c r="D236">
        <f>[1]!XLSTAT_PDFGeneral(B236,14, 16, 1)</f>
        <v>0.11163211147360337</v>
      </c>
      <c r="E236">
        <v>236</v>
      </c>
      <c r="G236">
        <f t="shared" si="20"/>
        <v>15.767535070140278</v>
      </c>
      <c r="H236">
        <f>[1]!XLSTAT_PDFNormal(G236,16,1)</f>
        <v>0.38830719807409575</v>
      </c>
      <c r="I236">
        <v>236</v>
      </c>
      <c r="J236">
        <f t="shared" si="21"/>
        <v>11.362</v>
      </c>
      <c r="K236">
        <f t="shared" si="22"/>
        <v>11.362</v>
      </c>
      <c r="L236">
        <f>[1]!XLSTAT_PDFGeneral(J236,17, 1)</f>
        <v>9.2161556330027044E-9</v>
      </c>
      <c r="M236">
        <v>236</v>
      </c>
      <c r="O236">
        <f t="shared" si="23"/>
        <v>2.8256513026052139</v>
      </c>
      <c r="P236">
        <f>[1]!XLSTAT_PDFPoisson(O236,1)</f>
        <v>0.18393972058572117</v>
      </c>
    </row>
    <row r="237" spans="1:16" x14ac:dyDescent="0.3">
      <c r="A237">
        <v>237</v>
      </c>
      <c r="B237">
        <f t="shared" si="18"/>
        <v>14.416</v>
      </c>
      <c r="C237">
        <f t="shared" si="19"/>
        <v>14.416</v>
      </c>
      <c r="D237">
        <f>[1]!XLSTAT_PDFGeneral(B237,14, 16, 1)</f>
        <v>0.11378250164634683</v>
      </c>
      <c r="E237">
        <v>237</v>
      </c>
      <c r="G237">
        <f t="shared" si="20"/>
        <v>15.783567134268534</v>
      </c>
      <c r="H237">
        <f>[1]!XLSTAT_PDFNormal(G237,16,1)</f>
        <v>0.38970699157238131</v>
      </c>
      <c r="I237">
        <v>237</v>
      </c>
      <c r="J237">
        <f t="shared" si="21"/>
        <v>11.347999999999999</v>
      </c>
      <c r="K237">
        <f t="shared" si="22"/>
        <v>11.347999999999999</v>
      </c>
      <c r="L237">
        <f>[1]!XLSTAT_PDFGeneral(J237,17, 1)</f>
        <v>9.2161556330027044E-9</v>
      </c>
      <c r="M237">
        <v>237</v>
      </c>
      <c r="O237">
        <f t="shared" si="23"/>
        <v>2.8376753507014065</v>
      </c>
      <c r="P237">
        <f>[1]!XLSTAT_PDFPoisson(O237,1)</f>
        <v>0.18393972058572117</v>
      </c>
    </row>
    <row r="238" spans="1:16" x14ac:dyDescent="0.3">
      <c r="A238">
        <v>238</v>
      </c>
      <c r="B238">
        <f t="shared" si="18"/>
        <v>-123456789</v>
      </c>
      <c r="C238">
        <f t="shared" si="19"/>
        <v>14.416</v>
      </c>
      <c r="D238">
        <f>[1]!XLSTAT_PDFGeneral(B238,14, 16, 1)</f>
        <v>0</v>
      </c>
      <c r="E238">
        <v>238</v>
      </c>
      <c r="G238">
        <f t="shared" si="20"/>
        <v>15.799599198396791</v>
      </c>
      <c r="H238">
        <f>[1]!XLSTAT_PDFNormal(G238,16,1)</f>
        <v>0.39101131771763897</v>
      </c>
      <c r="I238">
        <v>238</v>
      </c>
      <c r="J238">
        <f t="shared" si="21"/>
        <v>-123456789</v>
      </c>
      <c r="K238">
        <f t="shared" si="22"/>
        <v>11.347999999999999</v>
      </c>
      <c r="L238">
        <f>[1]!XLSTAT_PDFGeneral(J238,17, 1)</f>
        <v>0</v>
      </c>
      <c r="M238">
        <v>238</v>
      </c>
      <c r="O238">
        <f t="shared" si="23"/>
        <v>2.8496993987975987</v>
      </c>
      <c r="P238">
        <f>[1]!XLSTAT_PDFPoisson(O238,1)</f>
        <v>0.18393972058572117</v>
      </c>
    </row>
    <row r="239" spans="1:16" x14ac:dyDescent="0.3">
      <c r="A239">
        <v>239</v>
      </c>
      <c r="B239">
        <f t="shared" si="18"/>
        <v>-123456789</v>
      </c>
      <c r="C239">
        <f t="shared" si="19"/>
        <v>14.428000000000001</v>
      </c>
      <c r="D239">
        <f>[1]!XLSTAT_PDFGeneral(B239,14, 16, 1)</f>
        <v>0</v>
      </c>
      <c r="E239">
        <v>239</v>
      </c>
      <c r="G239">
        <f t="shared" si="20"/>
        <v>15.815631262525047</v>
      </c>
      <c r="H239">
        <f>[1]!XLSTAT_PDFNormal(G239,16,1)</f>
        <v>0.39221918545628098</v>
      </c>
      <c r="I239">
        <v>239</v>
      </c>
      <c r="J239">
        <f t="shared" si="21"/>
        <v>-123456789</v>
      </c>
      <c r="K239">
        <f t="shared" si="22"/>
        <v>11.334</v>
      </c>
      <c r="L239">
        <f>[1]!XLSTAT_PDFGeneral(J239,17, 1)</f>
        <v>0</v>
      </c>
      <c r="M239">
        <v>239</v>
      </c>
      <c r="O239">
        <f t="shared" si="23"/>
        <v>2.8617234468937913</v>
      </c>
      <c r="P239">
        <f>[1]!XLSTAT_PDFPoisson(O239,1)</f>
        <v>0.18393972058572117</v>
      </c>
    </row>
    <row r="240" spans="1:16" x14ac:dyDescent="0.3">
      <c r="A240">
        <v>240</v>
      </c>
      <c r="B240">
        <f t="shared" si="18"/>
        <v>14.428000000000001</v>
      </c>
      <c r="C240">
        <f t="shared" si="19"/>
        <v>14.428000000000001</v>
      </c>
      <c r="D240">
        <f>[1]!XLSTAT_PDFGeneral(B240,14, 16, 1)</f>
        <v>0.11595761608682097</v>
      </c>
      <c r="E240">
        <v>240</v>
      </c>
      <c r="G240">
        <f t="shared" si="20"/>
        <v>15.831663326653304</v>
      </c>
      <c r="H240">
        <f>[1]!XLSTAT_PDFNormal(G240,16,1)</f>
        <v>0.39332967503141064</v>
      </c>
      <c r="I240">
        <v>240</v>
      </c>
      <c r="J240">
        <f t="shared" si="21"/>
        <v>11.334</v>
      </c>
      <c r="K240">
        <f t="shared" si="22"/>
        <v>11.334</v>
      </c>
      <c r="L240">
        <f>[1]!XLSTAT_PDFGeneral(J240,17, 1)</f>
        <v>9.2161556330027044E-9</v>
      </c>
      <c r="M240">
        <v>240</v>
      </c>
      <c r="O240">
        <f t="shared" si="23"/>
        <v>2.8737474949899835</v>
      </c>
      <c r="P240">
        <f>[1]!XLSTAT_PDFPoisson(O240,1)</f>
        <v>0.18393972058572117</v>
      </c>
    </row>
    <row r="241" spans="1:16" x14ac:dyDescent="0.3">
      <c r="A241">
        <v>241</v>
      </c>
      <c r="B241">
        <f t="shared" si="18"/>
        <v>14.44</v>
      </c>
      <c r="C241">
        <f t="shared" si="19"/>
        <v>14.44</v>
      </c>
      <c r="D241">
        <f>[1]!XLSTAT_PDFGeneral(B241,14, 16, 1)</f>
        <v>0.11815729505958221</v>
      </c>
      <c r="E241">
        <v>241</v>
      </c>
      <c r="G241">
        <f t="shared" si="20"/>
        <v>15.84769539078156</v>
      </c>
      <c r="H241">
        <f>[1]!XLSTAT_PDFNormal(G241,16,1)</f>
        <v>0.39434193914993126</v>
      </c>
      <c r="I241">
        <v>241</v>
      </c>
      <c r="J241">
        <f t="shared" si="21"/>
        <v>11.32</v>
      </c>
      <c r="K241">
        <f t="shared" si="22"/>
        <v>11.32</v>
      </c>
      <c r="L241">
        <f>[1]!XLSTAT_PDFGeneral(J241,17, 1)</f>
        <v>9.2161556330027044E-9</v>
      </c>
      <c r="M241">
        <v>241</v>
      </c>
      <c r="O241">
        <f t="shared" si="23"/>
        <v>2.8857715430861761</v>
      </c>
      <c r="P241">
        <f>[1]!XLSTAT_PDFPoisson(O241,1)</f>
        <v>0.18393972058572117</v>
      </c>
    </row>
    <row r="242" spans="1:16" x14ac:dyDescent="0.3">
      <c r="A242">
        <v>242</v>
      </c>
      <c r="B242">
        <f t="shared" si="18"/>
        <v>-123456789</v>
      </c>
      <c r="C242">
        <f t="shared" si="19"/>
        <v>14.44</v>
      </c>
      <c r="D242">
        <f>[1]!XLSTAT_PDFGeneral(B242,14, 16, 1)</f>
        <v>0</v>
      </c>
      <c r="E242">
        <v>242</v>
      </c>
      <c r="G242">
        <f t="shared" si="20"/>
        <v>15.863727454909817</v>
      </c>
      <c r="H242">
        <f>[1]!XLSTAT_PDFNormal(G242,16,1)</f>
        <v>0.39525520405986914</v>
      </c>
      <c r="I242">
        <v>242</v>
      </c>
      <c r="J242">
        <f t="shared" si="21"/>
        <v>-123456789</v>
      </c>
      <c r="K242">
        <f t="shared" si="22"/>
        <v>11.32</v>
      </c>
      <c r="L242">
        <f>[1]!XLSTAT_PDFGeneral(J242,17, 1)</f>
        <v>0</v>
      </c>
      <c r="M242">
        <v>242</v>
      </c>
      <c r="O242">
        <f t="shared" si="23"/>
        <v>2.8977955911823683</v>
      </c>
      <c r="P242">
        <f>[1]!XLSTAT_PDFPoisson(O242,1)</f>
        <v>0.18393972058572117</v>
      </c>
    </row>
    <row r="243" spans="1:16" x14ac:dyDescent="0.3">
      <c r="A243">
        <v>243</v>
      </c>
      <c r="B243">
        <f t="shared" si="18"/>
        <v>-123456789</v>
      </c>
      <c r="C243">
        <f t="shared" si="19"/>
        <v>14.452</v>
      </c>
      <c r="D243">
        <f>[1]!XLSTAT_PDFGeneral(B243,14, 16, 1)</f>
        <v>0</v>
      </c>
      <c r="E243">
        <v>243</v>
      </c>
      <c r="G243">
        <f t="shared" si="20"/>
        <v>15.879759519038073</v>
      </c>
      <c r="H243">
        <f>[1]!XLSTAT_PDFNormal(G243,16,1)</f>
        <v>0.39606877053599093</v>
      </c>
      <c r="I243">
        <v>243</v>
      </c>
      <c r="J243">
        <f t="shared" si="21"/>
        <v>-123456789</v>
      </c>
      <c r="K243">
        <f t="shared" si="22"/>
        <v>11.306000000000001</v>
      </c>
      <c r="L243">
        <f>[1]!XLSTAT_PDFGeneral(J243,17, 1)</f>
        <v>0</v>
      </c>
      <c r="M243">
        <v>243</v>
      </c>
      <c r="O243">
        <f t="shared" si="23"/>
        <v>2.9098196392785609</v>
      </c>
      <c r="P243">
        <f>[1]!XLSTAT_PDFPoisson(O243,1)</f>
        <v>0.18393972058572117</v>
      </c>
    </row>
    <row r="244" spans="1:16" x14ac:dyDescent="0.3">
      <c r="A244">
        <v>244</v>
      </c>
      <c r="B244">
        <f t="shared" si="18"/>
        <v>14.452</v>
      </c>
      <c r="C244">
        <f t="shared" si="19"/>
        <v>14.452</v>
      </c>
      <c r="D244">
        <f>[1]!XLSTAT_PDFGeneral(B244,14, 16, 1)</f>
        <v>0.12038136507575045</v>
      </c>
      <c r="E244">
        <v>244</v>
      </c>
      <c r="G244">
        <f t="shared" si="20"/>
        <v>15.89579158316633</v>
      </c>
      <c r="H244">
        <f>[1]!XLSTAT_PDFNormal(G244,16,1)</f>
        <v>0.39678201477196012</v>
      </c>
      <c r="I244">
        <v>244</v>
      </c>
      <c r="J244">
        <f t="shared" si="21"/>
        <v>11.306000000000001</v>
      </c>
      <c r="K244">
        <f t="shared" si="22"/>
        <v>11.306000000000001</v>
      </c>
      <c r="L244">
        <f>[1]!XLSTAT_PDFGeneral(J244,17, 1)</f>
        <v>9.2161556330027044E-9</v>
      </c>
      <c r="M244">
        <v>244</v>
      </c>
      <c r="O244">
        <f t="shared" si="23"/>
        <v>2.9218436873747531</v>
      </c>
      <c r="P244">
        <f>[1]!XLSTAT_PDFPoisson(O244,1)</f>
        <v>0.18393972058572117</v>
      </c>
    </row>
    <row r="245" spans="1:16" x14ac:dyDescent="0.3">
      <c r="A245">
        <v>245</v>
      </c>
      <c r="B245">
        <f t="shared" si="18"/>
        <v>14.464</v>
      </c>
      <c r="C245">
        <f t="shared" si="19"/>
        <v>14.464</v>
      </c>
      <c r="D245">
        <f>[1]!XLSTAT_PDFGeneral(B245,14, 16, 1)</f>
        <v>0.12262963873298509</v>
      </c>
      <c r="E245">
        <v>245</v>
      </c>
      <c r="G245">
        <f t="shared" si="20"/>
        <v>15.911823647294586</v>
      </c>
      <c r="H245">
        <f>[1]!XLSTAT_PDFNormal(G245,16,1)</f>
        <v>0.3973943891774368</v>
      </c>
      <c r="I245">
        <v>245</v>
      </c>
      <c r="J245">
        <f t="shared" si="21"/>
        <v>11.292</v>
      </c>
      <c r="K245">
        <f t="shared" si="22"/>
        <v>11.292</v>
      </c>
      <c r="L245">
        <f>[1]!XLSTAT_PDFGeneral(J245,17, 1)</f>
        <v>9.2161556330027044E-9</v>
      </c>
      <c r="M245">
        <v>245</v>
      </c>
      <c r="O245">
        <f t="shared" si="23"/>
        <v>2.9338677354709457</v>
      </c>
      <c r="P245">
        <f>[1]!XLSTAT_PDFPoisson(O245,1)</f>
        <v>0.18393972058572117</v>
      </c>
    </row>
    <row r="246" spans="1:16" x14ac:dyDescent="0.3">
      <c r="A246">
        <v>246</v>
      </c>
      <c r="B246">
        <f t="shared" si="18"/>
        <v>-123456789</v>
      </c>
      <c r="C246">
        <f t="shared" si="19"/>
        <v>14.464</v>
      </c>
      <c r="D246">
        <f>[1]!XLSTAT_PDFGeneral(B246,14, 16, 1)</f>
        <v>0</v>
      </c>
      <c r="E246">
        <v>246</v>
      </c>
      <c r="G246">
        <f t="shared" si="20"/>
        <v>15.927855711422843</v>
      </c>
      <c r="H246">
        <f>[1]!XLSTAT_PDFNormal(G246,16,1)</f>
        <v>0.39790542307869708</v>
      </c>
      <c r="I246">
        <v>246</v>
      </c>
      <c r="J246">
        <f t="shared" si="21"/>
        <v>-123456789</v>
      </c>
      <c r="K246">
        <f t="shared" si="22"/>
        <v>11.292</v>
      </c>
      <c r="L246">
        <f>[1]!XLSTAT_PDFGeneral(J246,17, 1)</f>
        <v>0</v>
      </c>
      <c r="M246">
        <v>246</v>
      </c>
      <c r="O246">
        <f t="shared" si="23"/>
        <v>2.9458917835671379</v>
      </c>
      <c r="P246">
        <f>[1]!XLSTAT_PDFPoisson(O246,1)</f>
        <v>0.18393972058572117</v>
      </c>
    </row>
    <row r="247" spans="1:16" x14ac:dyDescent="0.3">
      <c r="A247">
        <v>247</v>
      </c>
      <c r="B247">
        <f t="shared" si="18"/>
        <v>-123456789</v>
      </c>
      <c r="C247">
        <f t="shared" si="19"/>
        <v>14.475999999999999</v>
      </c>
      <c r="D247">
        <f>[1]!XLSTAT_PDFGeneral(B247,14, 16, 1)</f>
        <v>0</v>
      </c>
      <c r="E247">
        <v>247</v>
      </c>
      <c r="G247">
        <f t="shared" si="20"/>
        <v>15.943887775551099</v>
      </c>
      <c r="H247">
        <f>[1]!XLSTAT_PDFNormal(G247,16,1)</f>
        <v>0.39831472332151557</v>
      </c>
      <c r="I247">
        <v>247</v>
      </c>
      <c r="J247">
        <f t="shared" si="21"/>
        <v>-123456789</v>
      </c>
      <c r="K247">
        <f t="shared" si="22"/>
        <v>11.278</v>
      </c>
      <c r="L247">
        <f>[1]!XLSTAT_PDFGeneral(J247,17, 1)</f>
        <v>0</v>
      </c>
      <c r="M247">
        <v>247</v>
      </c>
      <c r="O247">
        <f t="shared" si="23"/>
        <v>2.9579158316633305</v>
      </c>
      <c r="P247">
        <f>[1]!XLSTAT_PDFPoisson(O247,1)</f>
        <v>0.18393972058572117</v>
      </c>
    </row>
    <row r="248" spans="1:16" x14ac:dyDescent="0.3">
      <c r="A248">
        <v>248</v>
      </c>
      <c r="B248">
        <f t="shared" si="18"/>
        <v>14.475999999999999</v>
      </c>
      <c r="C248">
        <f t="shared" si="19"/>
        <v>14.475999999999999</v>
      </c>
      <c r="D248">
        <f>[1]!XLSTAT_PDFGeneral(B248,14, 16, 1)</f>
        <v>0.12490191456255056</v>
      </c>
      <c r="E248">
        <v>248</v>
      </c>
      <c r="G248">
        <f t="shared" si="20"/>
        <v>15.959919839679356</v>
      </c>
      <c r="H248">
        <f>[1]!XLSTAT_PDFNormal(G248,16,1)</f>
        <v>0.3986219747752312</v>
      </c>
      <c r="I248">
        <v>248</v>
      </c>
      <c r="J248">
        <f t="shared" si="21"/>
        <v>11.278</v>
      </c>
      <c r="K248">
        <f t="shared" si="22"/>
        <v>11.278</v>
      </c>
      <c r="L248">
        <f>[1]!XLSTAT_PDFGeneral(J248,17, 1)</f>
        <v>9.2161556330027044E-9</v>
      </c>
      <c r="M248">
        <v>248</v>
      </c>
      <c r="O248">
        <f t="shared" si="23"/>
        <v>2.9699398797595227</v>
      </c>
      <c r="P248">
        <f>[1]!XLSTAT_PDFPoisson(O248,1)</f>
        <v>0.18393972058572117</v>
      </c>
    </row>
    <row r="249" spans="1:16" x14ac:dyDescent="0.3">
      <c r="A249">
        <v>249</v>
      </c>
      <c r="B249">
        <f t="shared" si="18"/>
        <v>14.488</v>
      </c>
      <c r="C249">
        <f t="shared" si="19"/>
        <v>14.488</v>
      </c>
      <c r="D249">
        <f>[1]!XLSTAT_PDFGeneral(B249,14, 16, 1)</f>
        <v>0.12719797688373641</v>
      </c>
      <c r="E249">
        <v>249</v>
      </c>
      <c r="G249">
        <f t="shared" si="20"/>
        <v>15.975951903807612</v>
      </c>
      <c r="H249">
        <f>[1]!XLSTAT_PDFNormal(G249,16,1)</f>
        <v>0.39882694073709046</v>
      </c>
      <c r="I249">
        <v>249</v>
      </c>
      <c r="J249">
        <f t="shared" si="21"/>
        <v>11.263999999999999</v>
      </c>
      <c r="K249">
        <f t="shared" si="22"/>
        <v>11.263999999999999</v>
      </c>
      <c r="L249">
        <f>[1]!XLSTAT_PDFGeneral(J249,17, 1)</f>
        <v>9.2161556330027044E-9</v>
      </c>
      <c r="M249">
        <v>249</v>
      </c>
      <c r="O249">
        <f t="shared" si="23"/>
        <v>2.9819639278557153</v>
      </c>
      <c r="P249">
        <f>[1]!XLSTAT_PDFPoisson(O249,1)</f>
        <v>0.18393972058572117</v>
      </c>
    </row>
    <row r="250" spans="1:16" x14ac:dyDescent="0.3">
      <c r="A250">
        <v>250</v>
      </c>
      <c r="B250">
        <f t="shared" si="18"/>
        <v>-123456789</v>
      </c>
      <c r="C250">
        <f t="shared" si="19"/>
        <v>14.488</v>
      </c>
      <c r="D250">
        <f>[1]!XLSTAT_PDFGeneral(B250,14, 16, 1)</f>
        <v>0</v>
      </c>
      <c r="E250">
        <v>250</v>
      </c>
      <c r="G250">
        <f t="shared" si="20"/>
        <v>15.99198396793587</v>
      </c>
      <c r="H250">
        <f>[1]!XLSTAT_PDFNormal(G250,16,1)</f>
        <v>0.39892946323614309</v>
      </c>
      <c r="I250">
        <v>250</v>
      </c>
      <c r="J250">
        <f t="shared" si="21"/>
        <v>-123456789</v>
      </c>
      <c r="K250">
        <f t="shared" si="22"/>
        <v>11.263999999999999</v>
      </c>
      <c r="L250">
        <f>[1]!XLSTAT_PDFGeneral(J250,17, 1)</f>
        <v>0</v>
      </c>
      <c r="M250">
        <v>250</v>
      </c>
      <c r="O250">
        <f t="shared" si="23"/>
        <v>2.9939879759519075</v>
      </c>
      <c r="P250">
        <f>[1]!XLSTAT_PDFPoisson(O250,1)</f>
        <v>0.18393972058572117</v>
      </c>
    </row>
    <row r="251" spans="1:16" x14ac:dyDescent="0.3">
      <c r="A251">
        <v>251</v>
      </c>
      <c r="B251">
        <f t="shared" si="18"/>
        <v>-123456789</v>
      </c>
      <c r="C251">
        <f t="shared" si="19"/>
        <v>14.5</v>
      </c>
      <c r="D251">
        <f>[1]!XLSTAT_PDFGeneral(B251,14, 16, 1)</f>
        <v>0</v>
      </c>
      <c r="E251">
        <v>251</v>
      </c>
      <c r="G251">
        <f t="shared" si="20"/>
        <v>16.008016032064127</v>
      </c>
      <c r="H251">
        <f>[1]!XLSTAT_PDFNormal(G251,16,1)</f>
        <v>0.39892946323614314</v>
      </c>
      <c r="I251">
        <v>251</v>
      </c>
      <c r="J251">
        <f t="shared" si="21"/>
        <v>-123456789</v>
      </c>
      <c r="K251">
        <f t="shared" si="22"/>
        <v>11.25</v>
      </c>
      <c r="L251">
        <f>[1]!XLSTAT_PDFGeneral(J251,17, 1)</f>
        <v>0</v>
      </c>
      <c r="M251">
        <v>251</v>
      </c>
      <c r="O251">
        <f t="shared" si="23"/>
        <v>3.0060120240481001</v>
      </c>
      <c r="P251">
        <f>[1]!XLSTAT_PDFPoisson(O251,1)</f>
        <v>6.1313240195240384E-2</v>
      </c>
    </row>
    <row r="252" spans="1:16" x14ac:dyDescent="0.3">
      <c r="A252">
        <v>252</v>
      </c>
      <c r="B252">
        <f t="shared" si="18"/>
        <v>14.5</v>
      </c>
      <c r="C252">
        <f t="shared" si="19"/>
        <v>14.5</v>
      </c>
      <c r="D252">
        <f>[1]!XLSTAT_PDFGeneral(B252,14, 16, 1)</f>
        <v>0.12951759566589174</v>
      </c>
      <c r="E252">
        <v>252</v>
      </c>
      <c r="G252">
        <f t="shared" si="20"/>
        <v>16.024048096192381</v>
      </c>
      <c r="H252">
        <f>[1]!XLSTAT_PDFNormal(G252,16,1)</f>
        <v>0.39882694073709052</v>
      </c>
      <c r="I252">
        <v>252</v>
      </c>
      <c r="J252">
        <f t="shared" si="21"/>
        <v>11.25</v>
      </c>
      <c r="K252">
        <f t="shared" si="22"/>
        <v>11.25</v>
      </c>
      <c r="L252">
        <f>[1]!XLSTAT_PDFGeneral(J252,17, 1)</f>
        <v>9.2161556330027044E-9</v>
      </c>
      <c r="M252">
        <v>252</v>
      </c>
      <c r="O252">
        <f t="shared" si="23"/>
        <v>3.0180360721442923</v>
      </c>
      <c r="P252">
        <f>[1]!XLSTAT_PDFPoisson(O252,1)</f>
        <v>6.1313240195240384E-2</v>
      </c>
    </row>
    <row r="253" spans="1:16" x14ac:dyDescent="0.3">
      <c r="A253">
        <v>253</v>
      </c>
      <c r="B253">
        <f t="shared" si="18"/>
        <v>14.512</v>
      </c>
      <c r="C253">
        <f t="shared" si="19"/>
        <v>14.512</v>
      </c>
      <c r="D253">
        <f>[1]!XLSTAT_PDFGeneral(B253,14, 16, 1)</f>
        <v>0.13186052639834292</v>
      </c>
      <c r="E253">
        <v>253</v>
      </c>
      <c r="G253">
        <f t="shared" si="20"/>
        <v>16.040080160320638</v>
      </c>
      <c r="H253">
        <f>[1]!XLSTAT_PDFNormal(G253,16,1)</f>
        <v>0.39862197477523131</v>
      </c>
      <c r="I253">
        <v>253</v>
      </c>
      <c r="J253">
        <f t="shared" si="21"/>
        <v>11.236000000000001</v>
      </c>
      <c r="K253">
        <f t="shared" si="22"/>
        <v>11.236000000000001</v>
      </c>
      <c r="L253">
        <f>[1]!XLSTAT_PDFGeneral(J253,17, 1)</f>
        <v>9.2161556330027044E-9</v>
      </c>
      <c r="M253">
        <v>253</v>
      </c>
      <c r="O253">
        <f t="shared" si="23"/>
        <v>3.0300601202404849</v>
      </c>
      <c r="P253">
        <f>[1]!XLSTAT_PDFPoisson(O253,1)</f>
        <v>6.1313240195240384E-2</v>
      </c>
    </row>
    <row r="254" spans="1:16" x14ac:dyDescent="0.3">
      <c r="A254">
        <v>254</v>
      </c>
      <c r="B254">
        <f t="shared" si="18"/>
        <v>-123456789</v>
      </c>
      <c r="C254">
        <f t="shared" si="19"/>
        <v>14.512</v>
      </c>
      <c r="D254">
        <f>[1]!XLSTAT_PDFGeneral(B254,14, 16, 1)</f>
        <v>0</v>
      </c>
      <c r="E254">
        <v>254</v>
      </c>
      <c r="G254">
        <f t="shared" si="20"/>
        <v>16.056112224448896</v>
      </c>
      <c r="H254">
        <f>[1]!XLSTAT_PDFNormal(G254,16,1)</f>
        <v>0.39831472332151574</v>
      </c>
      <c r="I254">
        <v>254</v>
      </c>
      <c r="J254">
        <f t="shared" si="21"/>
        <v>-123456789</v>
      </c>
      <c r="K254">
        <f t="shared" si="22"/>
        <v>11.236000000000001</v>
      </c>
      <c r="L254">
        <f>[1]!XLSTAT_PDFGeneral(J254,17, 1)</f>
        <v>0</v>
      </c>
      <c r="M254">
        <v>254</v>
      </c>
      <c r="O254">
        <f t="shared" si="23"/>
        <v>3.0420841683366771</v>
      </c>
      <c r="P254">
        <f>[1]!XLSTAT_PDFPoisson(O254,1)</f>
        <v>6.1313240195240384E-2</v>
      </c>
    </row>
    <row r="255" spans="1:16" x14ac:dyDescent="0.3">
      <c r="A255">
        <v>255</v>
      </c>
      <c r="B255">
        <f t="shared" si="18"/>
        <v>-123456789</v>
      </c>
      <c r="C255">
        <f t="shared" si="19"/>
        <v>14.524000000000001</v>
      </c>
      <c r="D255">
        <f>[1]!XLSTAT_PDFGeneral(B255,14, 16, 1)</f>
        <v>0</v>
      </c>
      <c r="E255">
        <v>255</v>
      </c>
      <c r="G255">
        <f t="shared" si="20"/>
        <v>16.072144288577149</v>
      </c>
      <c r="H255">
        <f>[1]!XLSTAT_PDFNormal(G255,16,1)</f>
        <v>0.39790542307869731</v>
      </c>
      <c r="I255">
        <v>255</v>
      </c>
      <c r="J255">
        <f t="shared" si="21"/>
        <v>-123456789</v>
      </c>
      <c r="K255">
        <f t="shared" si="22"/>
        <v>11.222</v>
      </c>
      <c r="L255">
        <f>[1]!XLSTAT_PDFGeneral(J255,17, 1)</f>
        <v>0</v>
      </c>
      <c r="M255">
        <v>255</v>
      </c>
      <c r="O255">
        <f t="shared" si="23"/>
        <v>3.0541082164328697</v>
      </c>
      <c r="P255">
        <f>[1]!XLSTAT_PDFPoisson(O255,1)</f>
        <v>6.1313240195240384E-2</v>
      </c>
    </row>
    <row r="256" spans="1:16" x14ac:dyDescent="0.3">
      <c r="A256">
        <v>256</v>
      </c>
      <c r="B256">
        <f t="shared" si="18"/>
        <v>14.524000000000001</v>
      </c>
      <c r="C256">
        <f t="shared" si="19"/>
        <v>14.524000000000001</v>
      </c>
      <c r="D256">
        <f>[1]!XLSTAT_PDFGeneral(B256,14, 16, 1)</f>
        <v>0.13422650996844721</v>
      </c>
      <c r="E256">
        <v>256</v>
      </c>
      <c r="G256">
        <f t="shared" si="20"/>
        <v>16.088176352705407</v>
      </c>
      <c r="H256">
        <f>[1]!XLSTAT_PDFNormal(G256,16,1)</f>
        <v>0.39739438917743702</v>
      </c>
      <c r="I256">
        <v>256</v>
      </c>
      <c r="J256">
        <f t="shared" si="21"/>
        <v>11.222</v>
      </c>
      <c r="K256">
        <f t="shared" si="22"/>
        <v>11.222</v>
      </c>
      <c r="L256">
        <f>[1]!XLSTAT_PDFGeneral(J256,17, 1)</f>
        <v>9.2161556330027044E-9</v>
      </c>
      <c r="M256">
        <v>256</v>
      </c>
      <c r="O256">
        <f t="shared" si="23"/>
        <v>3.0661322645290618</v>
      </c>
      <c r="P256">
        <f>[1]!XLSTAT_PDFPoisson(O256,1)</f>
        <v>6.1313240195240384E-2</v>
      </c>
    </row>
    <row r="257" spans="1:16" x14ac:dyDescent="0.3">
      <c r="A257">
        <v>257</v>
      </c>
      <c r="B257">
        <f t="shared" ref="B257:B320" si="24">IF(-1^(INT(A257/2)+2)&gt;0,13+2*INT(A257/2-1/2)*0.006,-123456789)</f>
        <v>14.536</v>
      </c>
      <c r="C257">
        <f t="shared" ref="C257:C320" si="25">13+2*INT(A257/2-1/2)*0.006</f>
        <v>14.536</v>
      </c>
      <c r="D257">
        <f>[1]!XLSTAT_PDFGeneral(B257,14, 16, 1)</f>
        <v>0.1366152725480389</v>
      </c>
      <c r="E257">
        <v>257</v>
      </c>
      <c r="G257">
        <f t="shared" ref="G257:G320" si="26">12+(E257-1)*0.0160320641282565</f>
        <v>16.104208416833664</v>
      </c>
      <c r="H257">
        <f>[1]!XLSTAT_PDFNormal(G257,16,1)</f>
        <v>0.39678201477196035</v>
      </c>
      <c r="I257">
        <v>257</v>
      </c>
      <c r="J257">
        <f t="shared" ref="J257:J320" si="27">IF(-1^(INT(I257/2)+2)&gt;0,13+2*INT(I257/2-1/2)*-0.007,-123456789)</f>
        <v>11.208</v>
      </c>
      <c r="K257">
        <f t="shared" ref="K257:K320" si="28">13+2*INT(I257/2-1/2)*-0.007</f>
        <v>11.208</v>
      </c>
      <c r="L257">
        <f>[1]!XLSTAT_PDFGeneral(J257,17, 1)</f>
        <v>9.2161556330027044E-9</v>
      </c>
      <c r="M257">
        <v>257</v>
      </c>
      <c r="O257">
        <f t="shared" ref="O257:O320" si="29">0+(M257-1)*0.0120240480961924</f>
        <v>3.0781563126252545</v>
      </c>
      <c r="P257">
        <f>[1]!XLSTAT_PDFPoisson(O257,1)</f>
        <v>6.1313240195240384E-2</v>
      </c>
    </row>
    <row r="258" spans="1:16" x14ac:dyDescent="0.3">
      <c r="A258">
        <v>258</v>
      </c>
      <c r="B258">
        <f t="shared" si="24"/>
        <v>-123456789</v>
      </c>
      <c r="C258">
        <f t="shared" si="25"/>
        <v>14.536</v>
      </c>
      <c r="D258">
        <f>[1]!XLSTAT_PDFGeneral(B258,14, 16, 1)</f>
        <v>0</v>
      </c>
      <c r="E258">
        <v>258</v>
      </c>
      <c r="G258">
        <f t="shared" si="26"/>
        <v>16.120240480961922</v>
      </c>
      <c r="H258">
        <f>[1]!XLSTAT_PDFNormal(G258,16,1)</f>
        <v>0.39606877053599115</v>
      </c>
      <c r="I258">
        <v>258</v>
      </c>
      <c r="J258">
        <f t="shared" si="27"/>
        <v>-123456789</v>
      </c>
      <c r="K258">
        <f t="shared" si="28"/>
        <v>11.208</v>
      </c>
      <c r="L258">
        <f>[1]!XLSTAT_PDFGeneral(J258,17, 1)</f>
        <v>0</v>
      </c>
      <c r="M258">
        <v>258</v>
      </c>
      <c r="O258">
        <f t="shared" si="29"/>
        <v>3.0901803607214471</v>
      </c>
      <c r="P258">
        <f>[1]!XLSTAT_PDFPoisson(O258,1)</f>
        <v>6.1313240195240384E-2</v>
      </c>
    </row>
    <row r="259" spans="1:16" x14ac:dyDescent="0.3">
      <c r="A259">
        <v>259</v>
      </c>
      <c r="B259">
        <f t="shared" si="24"/>
        <v>-123456789</v>
      </c>
      <c r="C259">
        <f t="shared" si="25"/>
        <v>14.548</v>
      </c>
      <c r="D259">
        <f>[1]!XLSTAT_PDFGeneral(B259,14, 16, 1)</f>
        <v>0</v>
      </c>
      <c r="E259">
        <v>259</v>
      </c>
      <c r="G259">
        <f t="shared" si="26"/>
        <v>16.136272545090179</v>
      </c>
      <c r="H259">
        <f>[1]!XLSTAT_PDFNormal(G259,16,1)</f>
        <v>0.3952552040598693</v>
      </c>
      <c r="I259">
        <v>259</v>
      </c>
      <c r="J259">
        <f t="shared" si="27"/>
        <v>-123456789</v>
      </c>
      <c r="K259">
        <f t="shared" si="28"/>
        <v>11.193999999999999</v>
      </c>
      <c r="L259">
        <f>[1]!XLSTAT_PDFGeneral(J259,17, 1)</f>
        <v>0</v>
      </c>
      <c r="M259">
        <v>259</v>
      </c>
      <c r="O259">
        <f t="shared" si="29"/>
        <v>3.1022044088176393</v>
      </c>
      <c r="P259">
        <f>[1]!XLSTAT_PDFPoisson(O259,1)</f>
        <v>6.1313240195240384E-2</v>
      </c>
    </row>
    <row r="260" spans="1:16" x14ac:dyDescent="0.3">
      <c r="A260">
        <v>260</v>
      </c>
      <c r="B260">
        <f t="shared" si="24"/>
        <v>14.548</v>
      </c>
      <c r="C260">
        <f t="shared" si="25"/>
        <v>14.548</v>
      </c>
      <c r="D260">
        <f>[1]!XLSTAT_PDFGeneral(B260,14, 16, 1)</f>
        <v>0.13902652548852024</v>
      </c>
      <c r="E260">
        <v>260</v>
      </c>
      <c r="G260">
        <f t="shared" si="26"/>
        <v>16.152304609218433</v>
      </c>
      <c r="H260">
        <f>[1]!XLSTAT_PDFNormal(G260,16,1)</f>
        <v>0.39434193914993171</v>
      </c>
      <c r="I260">
        <v>260</v>
      </c>
      <c r="J260">
        <f t="shared" si="27"/>
        <v>11.193999999999999</v>
      </c>
      <c r="K260">
        <f t="shared" si="28"/>
        <v>11.193999999999999</v>
      </c>
      <c r="L260">
        <f>[1]!XLSTAT_PDFGeneral(J260,17, 1)</f>
        <v>9.2161556330027044E-9</v>
      </c>
      <c r="M260">
        <v>260</v>
      </c>
      <c r="O260">
        <f t="shared" si="29"/>
        <v>3.1142284569138319</v>
      </c>
      <c r="P260">
        <f>[1]!XLSTAT_PDFPoisson(O260,1)</f>
        <v>6.1313240195240384E-2</v>
      </c>
    </row>
    <row r="261" spans="1:16" x14ac:dyDescent="0.3">
      <c r="A261">
        <v>261</v>
      </c>
      <c r="B261">
        <f t="shared" si="24"/>
        <v>14.56</v>
      </c>
      <c r="C261">
        <f t="shared" si="25"/>
        <v>14.56</v>
      </c>
      <c r="D261">
        <f>[1]!XLSTAT_PDFGeneral(B261,14, 16, 1)</f>
        <v>0.14145996522483892</v>
      </c>
      <c r="E261">
        <v>261</v>
      </c>
      <c r="G261">
        <f t="shared" si="26"/>
        <v>16.16833667334669</v>
      </c>
      <c r="H261">
        <f>[1]!XLSTAT_PDFNormal(G261,16,1)</f>
        <v>0.39332967503141103</v>
      </c>
      <c r="I261">
        <v>261</v>
      </c>
      <c r="J261">
        <f t="shared" si="27"/>
        <v>11.18</v>
      </c>
      <c r="K261">
        <f t="shared" si="28"/>
        <v>11.18</v>
      </c>
      <c r="L261">
        <f>[1]!XLSTAT_PDFGeneral(J261,17, 1)</f>
        <v>9.2161556330027044E-9</v>
      </c>
      <c r="M261">
        <v>261</v>
      </c>
      <c r="O261">
        <f t="shared" si="29"/>
        <v>3.1262525050100241</v>
      </c>
      <c r="P261">
        <f>[1]!XLSTAT_PDFPoisson(O261,1)</f>
        <v>6.1313240195240384E-2</v>
      </c>
    </row>
    <row r="262" spans="1:16" x14ac:dyDescent="0.3">
      <c r="A262">
        <v>262</v>
      </c>
      <c r="B262">
        <f t="shared" si="24"/>
        <v>-123456789</v>
      </c>
      <c r="C262">
        <f t="shared" si="25"/>
        <v>14.56</v>
      </c>
      <c r="D262">
        <f>[1]!XLSTAT_PDFGeneral(B262,14, 16, 1)</f>
        <v>0</v>
      </c>
      <c r="E262">
        <v>262</v>
      </c>
      <c r="G262">
        <f t="shared" si="26"/>
        <v>16.184368737474948</v>
      </c>
      <c r="H262">
        <f>[1]!XLSTAT_PDFNormal(G262,16,1)</f>
        <v>0.39221918545628132</v>
      </c>
      <c r="I262">
        <v>262</v>
      </c>
      <c r="J262">
        <f t="shared" si="27"/>
        <v>-123456789</v>
      </c>
      <c r="K262">
        <f t="shared" si="28"/>
        <v>11.18</v>
      </c>
      <c r="L262">
        <f>[1]!XLSTAT_PDFGeneral(J262,17, 1)</f>
        <v>0</v>
      </c>
      <c r="M262">
        <v>262</v>
      </c>
      <c r="O262">
        <f t="shared" si="29"/>
        <v>3.1382765531062167</v>
      </c>
      <c r="P262">
        <f>[1]!XLSTAT_PDFPoisson(O262,1)</f>
        <v>6.1313240195240384E-2</v>
      </c>
    </row>
    <row r="263" spans="1:16" x14ac:dyDescent="0.3">
      <c r="A263">
        <v>263</v>
      </c>
      <c r="B263">
        <f t="shared" si="24"/>
        <v>-123456789</v>
      </c>
      <c r="C263">
        <f t="shared" si="25"/>
        <v>14.571999999999999</v>
      </c>
      <c r="D263">
        <f>[1]!XLSTAT_PDFGeneral(B263,14, 16, 1)</f>
        <v>0</v>
      </c>
      <c r="E263">
        <v>263</v>
      </c>
      <c r="G263">
        <f t="shared" si="26"/>
        <v>16.200400801603202</v>
      </c>
      <c r="H263">
        <f>[1]!XLSTAT_PDFNormal(G263,16,1)</f>
        <v>0.39101131771763958</v>
      </c>
      <c r="I263">
        <v>263</v>
      </c>
      <c r="J263">
        <f t="shared" si="27"/>
        <v>-123456789</v>
      </c>
      <c r="K263">
        <f t="shared" si="28"/>
        <v>11.166</v>
      </c>
      <c r="L263">
        <f>[1]!XLSTAT_PDFGeneral(J263,17, 1)</f>
        <v>0</v>
      </c>
      <c r="M263">
        <v>263</v>
      </c>
      <c r="O263">
        <f t="shared" si="29"/>
        <v>3.1503006012024088</v>
      </c>
      <c r="P263">
        <f>[1]!XLSTAT_PDFPoisson(O263,1)</f>
        <v>6.1313240195240384E-2</v>
      </c>
    </row>
    <row r="264" spans="1:16" x14ac:dyDescent="0.3">
      <c r="A264">
        <v>264</v>
      </c>
      <c r="B264">
        <f t="shared" si="24"/>
        <v>14.571999999999999</v>
      </c>
      <c r="C264">
        <f t="shared" si="25"/>
        <v>14.571999999999999</v>
      </c>
      <c r="D264">
        <f>[1]!XLSTAT_PDFGeneral(B264,14, 16, 1)</f>
        <v>0.1439152731885997</v>
      </c>
      <c r="E264">
        <v>264</v>
      </c>
      <c r="G264">
        <f t="shared" si="26"/>
        <v>16.216432865731459</v>
      </c>
      <c r="H264">
        <f>[1]!XLSTAT_PDFNormal(G264,16,1)</f>
        <v>0.38970699157238198</v>
      </c>
      <c r="I264">
        <v>264</v>
      </c>
      <c r="J264">
        <f t="shared" si="27"/>
        <v>11.166</v>
      </c>
      <c r="K264">
        <f t="shared" si="28"/>
        <v>11.166</v>
      </c>
      <c r="L264">
        <f>[1]!XLSTAT_PDFGeneral(J264,17, 1)</f>
        <v>9.2161556330027044E-9</v>
      </c>
      <c r="M264">
        <v>264</v>
      </c>
      <c r="O264">
        <f t="shared" si="29"/>
        <v>3.1623246492986015</v>
      </c>
      <c r="P264">
        <f>[1]!XLSTAT_PDFPoisson(O264,1)</f>
        <v>6.1313240195240384E-2</v>
      </c>
    </row>
    <row r="265" spans="1:16" x14ac:dyDescent="0.3">
      <c r="A265">
        <v>265</v>
      </c>
      <c r="B265">
        <f t="shared" si="24"/>
        <v>14.584</v>
      </c>
      <c r="C265">
        <f t="shared" si="25"/>
        <v>14.584</v>
      </c>
      <c r="D265">
        <f>[1]!XLSTAT_PDFGeneral(B265,14, 16, 1)</f>
        <v>0.1463921157305455</v>
      </c>
      <c r="E265">
        <v>265</v>
      </c>
      <c r="G265">
        <f t="shared" si="26"/>
        <v>16.232464929859717</v>
      </c>
      <c r="H265">
        <f>[1]!XLSTAT_PDFNormal(G265,16,1)</f>
        <v>0.38830719807409619</v>
      </c>
      <c r="I265">
        <v>265</v>
      </c>
      <c r="J265">
        <f t="shared" si="27"/>
        <v>11.151999999999999</v>
      </c>
      <c r="K265">
        <f t="shared" si="28"/>
        <v>11.151999999999999</v>
      </c>
      <c r="L265">
        <f>[1]!XLSTAT_PDFGeneral(J265,17, 1)</f>
        <v>9.2161556330027044E-9</v>
      </c>
      <c r="M265">
        <v>265</v>
      </c>
      <c r="O265">
        <f t="shared" si="29"/>
        <v>3.1743486973947936</v>
      </c>
      <c r="P265">
        <f>[1]!XLSTAT_PDFPoisson(O265,1)</f>
        <v>6.1313240195240384E-2</v>
      </c>
    </row>
    <row r="266" spans="1:16" x14ac:dyDescent="0.3">
      <c r="A266">
        <v>266</v>
      </c>
      <c r="B266">
        <f t="shared" si="24"/>
        <v>-123456789</v>
      </c>
      <c r="C266">
        <f t="shared" si="25"/>
        <v>14.584</v>
      </c>
      <c r="D266">
        <f>[1]!XLSTAT_PDFGeneral(B266,14, 16, 1)</f>
        <v>0</v>
      </c>
      <c r="E266">
        <v>266</v>
      </c>
      <c r="G266">
        <f t="shared" si="26"/>
        <v>16.248496993987974</v>
      </c>
      <c r="H266">
        <f>[1]!XLSTAT_PDFNormal(G266,16,1)</f>
        <v>0.38681299831823707</v>
      </c>
      <c r="I266">
        <v>266</v>
      </c>
      <c r="J266">
        <f t="shared" si="27"/>
        <v>-123456789</v>
      </c>
      <c r="K266">
        <f t="shared" si="28"/>
        <v>11.151999999999999</v>
      </c>
      <c r="L266">
        <f>[1]!XLSTAT_PDFGeneral(J266,17, 1)</f>
        <v>0</v>
      </c>
      <c r="M266">
        <v>266</v>
      </c>
      <c r="O266">
        <f t="shared" si="29"/>
        <v>3.1863727454909863</v>
      </c>
      <c r="P266">
        <f>[1]!XLSTAT_PDFPoisson(O266,1)</f>
        <v>6.1313240195240384E-2</v>
      </c>
    </row>
    <row r="267" spans="1:16" x14ac:dyDescent="0.3">
      <c r="A267">
        <v>267</v>
      </c>
      <c r="B267">
        <f t="shared" si="24"/>
        <v>-123456789</v>
      </c>
      <c r="C267">
        <f t="shared" si="25"/>
        <v>14.596</v>
      </c>
      <c r="D267">
        <f>[1]!XLSTAT_PDFGeneral(B267,14, 16, 1)</f>
        <v>0</v>
      </c>
      <c r="E267">
        <v>267</v>
      </c>
      <c r="G267">
        <f t="shared" si="26"/>
        <v>16.264529058116231</v>
      </c>
      <c r="H267">
        <f>[1]!XLSTAT_PDFNormal(G267,16,1)</f>
        <v>0.38522552210181238</v>
      </c>
      <c r="I267">
        <v>267</v>
      </c>
      <c r="J267">
        <f t="shared" si="27"/>
        <v>-123456789</v>
      </c>
      <c r="K267">
        <f t="shared" si="28"/>
        <v>11.138</v>
      </c>
      <c r="L267">
        <f>[1]!XLSTAT_PDFGeneral(J267,17, 1)</f>
        <v>0</v>
      </c>
      <c r="M267">
        <v>267</v>
      </c>
      <c r="O267">
        <f t="shared" si="29"/>
        <v>3.1983967935871784</v>
      </c>
      <c r="P267">
        <f>[1]!XLSTAT_PDFPoisson(O267,1)</f>
        <v>6.1313240195240384E-2</v>
      </c>
    </row>
    <row r="268" spans="1:16" x14ac:dyDescent="0.3">
      <c r="A268">
        <v>268</v>
      </c>
      <c r="B268">
        <f t="shared" si="24"/>
        <v>14.596</v>
      </c>
      <c r="C268">
        <f t="shared" si="25"/>
        <v>14.596</v>
      </c>
      <c r="D268">
        <f>[1]!XLSTAT_PDFGeneral(B268,14, 16, 1)</f>
        <v>0.1488901440526344</v>
      </c>
      <c r="E268">
        <v>268</v>
      </c>
      <c r="G268">
        <f t="shared" si="26"/>
        <v>16.280561122244485</v>
      </c>
      <c r="H268">
        <f>[1]!XLSTAT_PDFNormal(G268,16,1)</f>
        <v>0.38354596649994993</v>
      </c>
      <c r="I268">
        <v>268</v>
      </c>
      <c r="J268">
        <f t="shared" si="27"/>
        <v>11.138</v>
      </c>
      <c r="K268">
        <f t="shared" si="28"/>
        <v>11.138</v>
      </c>
      <c r="L268">
        <f>[1]!XLSTAT_PDFGeneral(J268,17, 1)</f>
        <v>9.2161556330027044E-9</v>
      </c>
      <c r="M268">
        <v>268</v>
      </c>
      <c r="O268">
        <f t="shared" si="29"/>
        <v>3.2104208416833711</v>
      </c>
      <c r="P268">
        <f>[1]!XLSTAT_PDFPoisson(O268,1)</f>
        <v>6.1313240195240384E-2</v>
      </c>
    </row>
    <row r="269" spans="1:16" x14ac:dyDescent="0.3">
      <c r="A269">
        <v>269</v>
      </c>
      <c r="B269">
        <f t="shared" si="24"/>
        <v>14.608000000000001</v>
      </c>
      <c r="C269">
        <f t="shared" si="25"/>
        <v>14.608000000000001</v>
      </c>
      <c r="D269">
        <f>[1]!XLSTAT_PDFGeneral(B269,14, 16, 1)</f>
        <v>0.15140899414994635</v>
      </c>
      <c r="E269">
        <v>269</v>
      </c>
      <c r="G269">
        <f t="shared" si="26"/>
        <v>16.296593186372743</v>
      </c>
      <c r="H269">
        <f>[1]!XLSTAT_PDFNormal(G269,16,1)</f>
        <v>0.38177559436185143</v>
      </c>
      <c r="I269">
        <v>269</v>
      </c>
      <c r="J269">
        <f t="shared" si="27"/>
        <v>11.124000000000001</v>
      </c>
      <c r="K269">
        <f t="shared" si="28"/>
        <v>11.124000000000001</v>
      </c>
      <c r="L269">
        <f>[1]!XLSTAT_PDFGeneral(J269,17, 1)</f>
        <v>9.2161556330027044E-9</v>
      </c>
      <c r="M269">
        <v>269</v>
      </c>
      <c r="O269">
        <f t="shared" si="29"/>
        <v>3.2224448897795632</v>
      </c>
      <c r="P269">
        <f>[1]!XLSTAT_PDFPoisson(O269,1)</f>
        <v>6.1313240195240384E-2</v>
      </c>
    </row>
    <row r="270" spans="1:16" x14ac:dyDescent="0.3">
      <c r="A270">
        <v>270</v>
      </c>
      <c r="B270">
        <f t="shared" si="24"/>
        <v>-123456789</v>
      </c>
      <c r="C270">
        <f t="shared" si="25"/>
        <v>14.608000000000001</v>
      </c>
      <c r="D270">
        <f>[1]!XLSTAT_PDFGeneral(B270,14, 16, 1)</f>
        <v>0</v>
      </c>
      <c r="E270">
        <v>270</v>
      </c>
      <c r="G270">
        <f t="shared" si="26"/>
        <v>16.312625250501</v>
      </c>
      <c r="H270">
        <f>[1]!XLSTAT_PDFNormal(G270,16,1)</f>
        <v>0.37991573272878509</v>
      </c>
      <c r="I270">
        <v>270</v>
      </c>
      <c r="J270">
        <f t="shared" si="27"/>
        <v>-123456789</v>
      </c>
      <c r="K270">
        <f t="shared" si="28"/>
        <v>11.124000000000001</v>
      </c>
      <c r="L270">
        <f>[1]!XLSTAT_PDFGeneral(J270,17, 1)</f>
        <v>0</v>
      </c>
      <c r="M270">
        <v>270</v>
      </c>
      <c r="O270">
        <f t="shared" si="29"/>
        <v>3.2344689378757558</v>
      </c>
      <c r="P270">
        <f>[1]!XLSTAT_PDFPoisson(O270,1)</f>
        <v>6.1313240195240384E-2</v>
      </c>
    </row>
    <row r="271" spans="1:16" x14ac:dyDescent="0.3">
      <c r="A271">
        <v>271</v>
      </c>
      <c r="B271">
        <f t="shared" si="24"/>
        <v>-123456789</v>
      </c>
      <c r="C271">
        <f t="shared" si="25"/>
        <v>14.620000000000001</v>
      </c>
      <c r="D271">
        <f>[1]!XLSTAT_PDFGeneral(B271,14, 16, 1)</f>
        <v>0</v>
      </c>
      <c r="E271">
        <v>271</v>
      </c>
      <c r="G271">
        <f t="shared" si="26"/>
        <v>16.328657314629254</v>
      </c>
      <c r="H271">
        <f>[1]!XLSTAT_PDFNormal(G271,16,1)</f>
        <v>0.37796777117688335</v>
      </c>
      <c r="I271">
        <v>271</v>
      </c>
      <c r="J271">
        <f t="shared" si="27"/>
        <v>-123456789</v>
      </c>
      <c r="K271">
        <f t="shared" si="28"/>
        <v>11.11</v>
      </c>
      <c r="L271">
        <f>[1]!XLSTAT_PDFGeneral(J271,17, 1)</f>
        <v>0</v>
      </c>
      <c r="M271">
        <v>271</v>
      </c>
      <c r="O271">
        <f t="shared" si="29"/>
        <v>3.246492985971948</v>
      </c>
      <c r="P271">
        <f>[1]!XLSTAT_PDFPoisson(O271,1)</f>
        <v>6.1313240195240384E-2</v>
      </c>
    </row>
    <row r="272" spans="1:16" x14ac:dyDescent="0.3">
      <c r="A272">
        <v>272</v>
      </c>
      <c r="B272">
        <f t="shared" si="24"/>
        <v>14.620000000000001</v>
      </c>
      <c r="C272">
        <f t="shared" si="25"/>
        <v>14.620000000000001</v>
      </c>
      <c r="D272">
        <f>[1]!XLSTAT_PDFGeneral(B272,14, 16, 1)</f>
        <v>0.15394828676263392</v>
      </c>
      <c r="E272">
        <v>272</v>
      </c>
      <c r="G272">
        <f t="shared" si="26"/>
        <v>16.344689378757511</v>
      </c>
      <c r="H272">
        <f>[1]!XLSTAT_PDFNormal(G272,16,1)</f>
        <v>0.37593316008764421</v>
      </c>
      <c r="I272">
        <v>272</v>
      </c>
      <c r="J272">
        <f t="shared" si="27"/>
        <v>11.11</v>
      </c>
      <c r="K272">
        <f t="shared" si="28"/>
        <v>11.11</v>
      </c>
      <c r="L272">
        <f>[1]!XLSTAT_PDFGeneral(J272,17, 1)</f>
        <v>9.2161556330027044E-9</v>
      </c>
      <c r="M272">
        <v>272</v>
      </c>
      <c r="O272">
        <f t="shared" si="29"/>
        <v>3.2585170340681406</v>
      </c>
      <c r="P272">
        <f>[1]!XLSTAT_PDFPoisson(O272,1)</f>
        <v>6.1313240195240384E-2</v>
      </c>
    </row>
    <row r="273" spans="1:16" x14ac:dyDescent="0.3">
      <c r="A273">
        <v>273</v>
      </c>
      <c r="B273">
        <f t="shared" si="24"/>
        <v>14.632</v>
      </c>
      <c r="C273">
        <f t="shared" si="25"/>
        <v>14.632</v>
      </c>
      <c r="D273">
        <f>[1]!XLSTAT_PDFGeneral(B273,14, 16, 1)</f>
        <v>0.15650762733813126</v>
      </c>
      <c r="E273">
        <v>273</v>
      </c>
      <c r="G273">
        <f t="shared" si="26"/>
        <v>16.360721442885769</v>
      </c>
      <c r="H273">
        <f>[1]!XLSTAT_PDFNormal(G273,16,1)</f>
        <v>0.37381340884915326</v>
      </c>
      <c r="I273">
        <v>273</v>
      </c>
      <c r="J273">
        <f t="shared" si="27"/>
        <v>11.096</v>
      </c>
      <c r="K273">
        <f t="shared" si="28"/>
        <v>11.096</v>
      </c>
      <c r="L273">
        <f>[1]!XLSTAT_PDFGeneral(J273,17, 1)</f>
        <v>9.2161556330027044E-9</v>
      </c>
      <c r="M273">
        <v>273</v>
      </c>
      <c r="O273">
        <f t="shared" si="29"/>
        <v>3.2705410821643328</v>
      </c>
      <c r="P273">
        <f>[1]!XLSTAT_PDFPoisson(O273,1)</f>
        <v>6.1313240195240384E-2</v>
      </c>
    </row>
    <row r="274" spans="1:16" x14ac:dyDescent="0.3">
      <c r="A274">
        <v>274</v>
      </c>
      <c r="B274">
        <f t="shared" si="24"/>
        <v>-123456789</v>
      </c>
      <c r="C274">
        <f t="shared" si="25"/>
        <v>14.632</v>
      </c>
      <c r="D274">
        <f>[1]!XLSTAT_PDFGeneral(B274,14, 16, 1)</f>
        <v>0</v>
      </c>
      <c r="E274">
        <v>274</v>
      </c>
      <c r="G274">
        <f t="shared" si="26"/>
        <v>16.376753507014023</v>
      </c>
      <c r="H274">
        <f>[1]!XLSTAT_PDFNormal(G274,16,1)</f>
        <v>0.37161008399113948</v>
      </c>
      <c r="I274">
        <v>274</v>
      </c>
      <c r="J274">
        <f t="shared" si="27"/>
        <v>-123456789</v>
      </c>
      <c r="K274">
        <f t="shared" si="28"/>
        <v>11.096</v>
      </c>
      <c r="L274">
        <f>[1]!XLSTAT_PDFGeneral(J274,17, 1)</f>
        <v>0</v>
      </c>
      <c r="M274">
        <v>274</v>
      </c>
      <c r="O274">
        <f t="shared" si="29"/>
        <v>3.2825651302605254</v>
      </c>
      <c r="P274">
        <f>[1]!XLSTAT_PDFPoisson(O274,1)</f>
        <v>6.1313240195240384E-2</v>
      </c>
    </row>
    <row r="275" spans="1:16" x14ac:dyDescent="0.3">
      <c r="A275">
        <v>275</v>
      </c>
      <c r="B275">
        <f t="shared" si="24"/>
        <v>-123456789</v>
      </c>
      <c r="C275">
        <f t="shared" si="25"/>
        <v>14.644</v>
      </c>
      <c r="D275">
        <f>[1]!XLSTAT_PDFGeneral(B275,14, 16, 1)</f>
        <v>0</v>
      </c>
      <c r="E275">
        <v>275</v>
      </c>
      <c r="G275">
        <f t="shared" si="26"/>
        <v>16.39278557114228</v>
      </c>
      <c r="H275">
        <f>[1]!XLSTAT_PDFNormal(G275,16,1)</f>
        <v>0.36932480725709194</v>
      </c>
      <c r="I275">
        <v>275</v>
      </c>
      <c r="J275">
        <f t="shared" si="27"/>
        <v>-123456789</v>
      </c>
      <c r="K275">
        <f t="shared" si="28"/>
        <v>11.082000000000001</v>
      </c>
      <c r="L275">
        <f>[1]!XLSTAT_PDFGeneral(J275,17, 1)</f>
        <v>0</v>
      </c>
      <c r="M275">
        <v>275</v>
      </c>
      <c r="O275">
        <f t="shared" si="29"/>
        <v>3.2945891783567176</v>
      </c>
      <c r="P275">
        <f>[1]!XLSTAT_PDFPoisson(O275,1)</f>
        <v>6.1313240195240384E-2</v>
      </c>
    </row>
    <row r="276" spans="1:16" x14ac:dyDescent="0.3">
      <c r="A276">
        <v>276</v>
      </c>
      <c r="B276">
        <f t="shared" si="24"/>
        <v>14.644</v>
      </c>
      <c r="C276">
        <f t="shared" si="25"/>
        <v>14.644</v>
      </c>
      <c r="D276">
        <f>[1]!XLSTAT_PDFGeneral(B276,14, 16, 1)</f>
        <v>0.15908660600383068</v>
      </c>
      <c r="E276">
        <v>276</v>
      </c>
      <c r="G276">
        <f t="shared" si="26"/>
        <v>16.408817635270537</v>
      </c>
      <c r="H276">
        <f>[1]!XLSTAT_PDFNormal(G276,16,1)</f>
        <v>0.36695925361676107</v>
      </c>
      <c r="I276">
        <v>276</v>
      </c>
      <c r="J276">
        <f t="shared" si="27"/>
        <v>11.082000000000001</v>
      </c>
      <c r="K276">
        <f t="shared" si="28"/>
        <v>11.082000000000001</v>
      </c>
      <c r="L276">
        <f>[1]!XLSTAT_PDFGeneral(J276,17, 1)</f>
        <v>9.2161556330027044E-9</v>
      </c>
      <c r="M276">
        <v>276</v>
      </c>
      <c r="O276">
        <f t="shared" si="29"/>
        <v>3.3066132264529102</v>
      </c>
      <c r="P276">
        <f>[1]!XLSTAT_PDFPoisson(O276,1)</f>
        <v>6.1313240195240384E-2</v>
      </c>
    </row>
    <row r="277" spans="1:16" x14ac:dyDescent="0.3">
      <c r="A277">
        <v>277</v>
      </c>
      <c r="B277">
        <f t="shared" si="24"/>
        <v>14.656000000000001</v>
      </c>
      <c r="C277">
        <f t="shared" si="25"/>
        <v>14.656000000000001</v>
      </c>
      <c r="D277">
        <f>[1]!XLSTAT_PDFGeneral(B277,14, 16, 1)</f>
        <v>0.16168479755041962</v>
      </c>
      <c r="E277">
        <v>277</v>
      </c>
      <c r="G277">
        <f t="shared" si="26"/>
        <v>16.424849699398795</v>
      </c>
      <c r="H277">
        <f>[1]!XLSTAT_PDFNormal(G277,16,1)</f>
        <v>0.36451514922244194</v>
      </c>
      <c r="I277">
        <v>277</v>
      </c>
      <c r="J277">
        <f t="shared" si="27"/>
        <v>11.068</v>
      </c>
      <c r="K277">
        <f t="shared" si="28"/>
        <v>11.068</v>
      </c>
      <c r="L277">
        <f>[1]!XLSTAT_PDFGeneral(J277,17, 1)</f>
        <v>9.2161556330027044E-9</v>
      </c>
      <c r="M277">
        <v>277</v>
      </c>
      <c r="O277">
        <f t="shared" si="29"/>
        <v>3.3186372745491024</v>
      </c>
      <c r="P277">
        <f>[1]!XLSTAT_PDFPoisson(O277,1)</f>
        <v>6.1313240195240384E-2</v>
      </c>
    </row>
    <row r="278" spans="1:16" x14ac:dyDescent="0.3">
      <c r="A278">
        <v>278</v>
      </c>
      <c r="B278">
        <f t="shared" si="24"/>
        <v>-123456789</v>
      </c>
      <c r="C278">
        <f t="shared" si="25"/>
        <v>14.656000000000001</v>
      </c>
      <c r="D278">
        <f>[1]!XLSTAT_PDFGeneral(B278,14, 16, 1)</f>
        <v>0</v>
      </c>
      <c r="E278">
        <v>278</v>
      </c>
      <c r="G278">
        <f t="shared" si="26"/>
        <v>16.440881763527052</v>
      </c>
      <c r="H278">
        <f>[1]!XLSTAT_PDFNormal(G278,16,1)</f>
        <v>0.3619942693125327</v>
      </c>
      <c r="I278">
        <v>278</v>
      </c>
      <c r="J278">
        <f t="shared" si="27"/>
        <v>-123456789</v>
      </c>
      <c r="K278">
        <f t="shared" si="28"/>
        <v>11.068</v>
      </c>
      <c r="L278">
        <f>[1]!XLSTAT_PDFGeneral(J278,17, 1)</f>
        <v>0</v>
      </c>
      <c r="M278">
        <v>278</v>
      </c>
      <c r="O278">
        <f t="shared" si="29"/>
        <v>3.330661322645295</v>
      </c>
      <c r="P278">
        <f>[1]!XLSTAT_PDFPoisson(O278,1)</f>
        <v>6.1313240195240384E-2</v>
      </c>
    </row>
    <row r="279" spans="1:16" x14ac:dyDescent="0.3">
      <c r="A279">
        <v>279</v>
      </c>
      <c r="B279">
        <f t="shared" si="24"/>
        <v>-123456789</v>
      </c>
      <c r="C279">
        <f t="shared" si="25"/>
        <v>14.667999999999999</v>
      </c>
      <c r="D279">
        <f>[1]!XLSTAT_PDFGeneral(B279,14, 16, 1)</f>
        <v>0</v>
      </c>
      <c r="E279">
        <v>279</v>
      </c>
      <c r="G279">
        <f t="shared" si="26"/>
        <v>16.456913827655306</v>
      </c>
      <c r="H279">
        <f>[1]!XLSTAT_PDFNormal(G279,16,1)</f>
        <v>0.3593984360659267</v>
      </c>
      <c r="I279">
        <v>279</v>
      </c>
      <c r="J279">
        <f t="shared" si="27"/>
        <v>-123456789</v>
      </c>
      <c r="K279">
        <f t="shared" si="28"/>
        <v>11.054</v>
      </c>
      <c r="L279">
        <f>[1]!XLSTAT_PDFGeneral(J279,17, 1)</f>
        <v>0</v>
      </c>
      <c r="M279">
        <v>279</v>
      </c>
      <c r="O279">
        <f t="shared" si="29"/>
        <v>3.3426853707414872</v>
      </c>
      <c r="P279">
        <f>[1]!XLSTAT_PDFPoisson(O279,1)</f>
        <v>6.1313240195240384E-2</v>
      </c>
    </row>
    <row r="280" spans="1:16" x14ac:dyDescent="0.3">
      <c r="A280">
        <v>280</v>
      </c>
      <c r="B280">
        <f t="shared" si="24"/>
        <v>14.667999999999999</v>
      </c>
      <c r="C280">
        <f t="shared" si="25"/>
        <v>14.667999999999999</v>
      </c>
      <c r="D280">
        <f>[1]!XLSTAT_PDFGeneral(B280,14, 16, 1)</f>
        <v>0.16430176142607766</v>
      </c>
      <c r="E280">
        <v>280</v>
      </c>
      <c r="G280">
        <f t="shared" si="26"/>
        <v>16.472945891783564</v>
      </c>
      <c r="H280">
        <f>[1]!XLSTAT_PDFNormal(G280,16,1)</f>
        <v>0.35672951641085848</v>
      </c>
      <c r="I280">
        <v>280</v>
      </c>
      <c r="J280">
        <f t="shared" si="27"/>
        <v>11.054</v>
      </c>
      <c r="K280">
        <f t="shared" si="28"/>
        <v>11.054</v>
      </c>
      <c r="L280">
        <f>[1]!XLSTAT_PDFGeneral(J280,17, 1)</f>
        <v>9.2161556330027044E-9</v>
      </c>
      <c r="M280">
        <v>280</v>
      </c>
      <c r="O280">
        <f t="shared" si="29"/>
        <v>3.3547094188376798</v>
      </c>
      <c r="P280">
        <f>[1]!XLSTAT_PDFPoisson(O280,1)</f>
        <v>6.1313240195240384E-2</v>
      </c>
    </row>
    <row r="281" spans="1:16" x14ac:dyDescent="0.3">
      <c r="A281">
        <v>281</v>
      </c>
      <c r="B281">
        <f t="shared" si="24"/>
        <v>14.68</v>
      </c>
      <c r="C281">
        <f t="shared" si="25"/>
        <v>14.68</v>
      </c>
      <c r="D281">
        <f>[1]!XLSTAT_PDFGeneral(B281,14, 16, 1)</f>
        <v>0.16693704174171375</v>
      </c>
      <c r="E281">
        <v>281</v>
      </c>
      <c r="G281">
        <f t="shared" si="26"/>
        <v>16.488977955911821</v>
      </c>
      <c r="H281">
        <f>[1]!XLSTAT_PDFNormal(G281,16,1)</f>
        <v>0.35398941979189447</v>
      </c>
      <c r="I281">
        <v>281</v>
      </c>
      <c r="J281">
        <f t="shared" si="27"/>
        <v>11.04</v>
      </c>
      <c r="K281">
        <f t="shared" si="28"/>
        <v>11.04</v>
      </c>
      <c r="L281">
        <f>[1]!XLSTAT_PDFGeneral(J281,17, 1)</f>
        <v>9.2161556330027044E-9</v>
      </c>
      <c r="M281">
        <v>281</v>
      </c>
      <c r="O281">
        <f t="shared" si="29"/>
        <v>3.366733466933872</v>
      </c>
      <c r="P281">
        <f>[1]!XLSTAT_PDFPoisson(O281,1)</f>
        <v>6.1313240195240384E-2</v>
      </c>
    </row>
    <row r="282" spans="1:16" x14ac:dyDescent="0.3">
      <c r="A282">
        <v>282</v>
      </c>
      <c r="B282">
        <f t="shared" si="24"/>
        <v>-123456789</v>
      </c>
      <c r="C282">
        <f t="shared" si="25"/>
        <v>14.68</v>
      </c>
      <c r="D282">
        <f>[1]!XLSTAT_PDFGeneral(B282,14, 16, 1)</f>
        <v>0</v>
      </c>
      <c r="E282">
        <v>282</v>
      </c>
      <c r="G282">
        <f t="shared" si="26"/>
        <v>16.505010020040075</v>
      </c>
      <c r="H282">
        <f>[1]!XLSTAT_PDFNormal(G282,16,1)</f>
        <v>0.35118009589878713</v>
      </c>
      <c r="I282">
        <v>282</v>
      </c>
      <c r="J282">
        <f t="shared" si="27"/>
        <v>-123456789</v>
      </c>
      <c r="K282">
        <f t="shared" si="28"/>
        <v>11.04</v>
      </c>
      <c r="L282">
        <f>[1]!XLSTAT_PDFGeneral(J282,17, 1)</f>
        <v>0</v>
      </c>
      <c r="M282">
        <v>282</v>
      </c>
      <c r="O282">
        <f t="shared" si="29"/>
        <v>3.3787575150300646</v>
      </c>
      <c r="P282">
        <f>[1]!XLSTAT_PDFPoisson(O282,1)</f>
        <v>6.1313240195240384E-2</v>
      </c>
    </row>
    <row r="283" spans="1:16" x14ac:dyDescent="0.3">
      <c r="A283">
        <v>283</v>
      </c>
      <c r="B283">
        <f t="shared" si="24"/>
        <v>-123456789</v>
      </c>
      <c r="C283">
        <f t="shared" si="25"/>
        <v>14.692</v>
      </c>
      <c r="D283">
        <f>[1]!XLSTAT_PDFGeneral(B283,14, 16, 1)</f>
        <v>0</v>
      </c>
      <c r="E283">
        <v>283</v>
      </c>
      <c r="G283">
        <f t="shared" si="26"/>
        <v>16.521042084168332</v>
      </c>
      <c r="H283">
        <f>[1]!XLSTAT_PDFNormal(G283,16,1)</f>
        <v>0.34830353236097011</v>
      </c>
      <c r="I283">
        <v>283</v>
      </c>
      <c r="J283">
        <f t="shared" si="27"/>
        <v>-123456789</v>
      </c>
      <c r="K283">
        <f t="shared" si="28"/>
        <v>11.026</v>
      </c>
      <c r="L283">
        <f>[1]!XLSTAT_PDFGeneral(J283,17, 1)</f>
        <v>0</v>
      </c>
      <c r="M283">
        <v>283</v>
      </c>
      <c r="O283">
        <f t="shared" si="29"/>
        <v>3.3907815631262568</v>
      </c>
      <c r="P283">
        <f>[1]!XLSTAT_PDFPoisson(O283,1)</f>
        <v>6.1313240195240384E-2</v>
      </c>
    </row>
    <row r="284" spans="1:16" x14ac:dyDescent="0.3">
      <c r="A284">
        <v>284</v>
      </c>
      <c r="B284">
        <f t="shared" si="24"/>
        <v>14.692</v>
      </c>
      <c r="C284">
        <f t="shared" si="25"/>
        <v>14.692</v>
      </c>
      <c r="D284">
        <f>[1]!XLSTAT_PDFGeneral(B284,14, 16, 1)</f>
        <v>0.16959016728741586</v>
      </c>
      <c r="E284">
        <v>284</v>
      </c>
      <c r="G284">
        <f t="shared" si="26"/>
        <v>16.53707414829659</v>
      </c>
      <c r="H284">
        <f>[1]!XLSTAT_PDFNormal(G284,16,1)</f>
        <v>0.34536175241150463</v>
      </c>
      <c r="I284">
        <v>284</v>
      </c>
      <c r="J284">
        <f t="shared" si="27"/>
        <v>11.026</v>
      </c>
      <c r="K284">
        <f t="shared" si="28"/>
        <v>11.026</v>
      </c>
      <c r="L284">
        <f>[1]!XLSTAT_PDFGeneral(J284,17, 1)</f>
        <v>9.2161556330027044E-9</v>
      </c>
      <c r="M284">
        <v>284</v>
      </c>
      <c r="O284">
        <f t="shared" si="29"/>
        <v>3.4028056112224494</v>
      </c>
      <c r="P284">
        <f>[1]!XLSTAT_PDFPoisson(O284,1)</f>
        <v>6.1313240195240384E-2</v>
      </c>
    </row>
    <row r="285" spans="1:16" x14ac:dyDescent="0.3">
      <c r="A285">
        <v>285</v>
      </c>
      <c r="B285">
        <f t="shared" si="24"/>
        <v>14.704000000000001</v>
      </c>
      <c r="C285">
        <f t="shared" si="25"/>
        <v>14.704000000000001</v>
      </c>
      <c r="D285">
        <f>[1]!XLSTAT_PDFGeneral(B285,14, 16, 1)</f>
        <v>0.17226065156028778</v>
      </c>
      <c r="E285">
        <v>285</v>
      </c>
      <c r="G285">
        <f t="shared" si="26"/>
        <v>16.553106212424847</v>
      </c>
      <c r="H285">
        <f>[1]!XLSTAT_PDFNormal(G285,16,1)</f>
        <v>0.34235681252429395</v>
      </c>
      <c r="I285">
        <v>285</v>
      </c>
      <c r="J285">
        <f t="shared" si="27"/>
        <v>11.012</v>
      </c>
      <c r="K285">
        <f t="shared" si="28"/>
        <v>11.012</v>
      </c>
      <c r="L285">
        <f>[1]!XLSTAT_PDFGeneral(J285,17, 1)</f>
        <v>9.2161556330027044E-9</v>
      </c>
      <c r="M285">
        <v>285</v>
      </c>
      <c r="O285">
        <f t="shared" si="29"/>
        <v>3.4148296593186416</v>
      </c>
      <c r="P285">
        <f>[1]!XLSTAT_PDFPoisson(O285,1)</f>
        <v>6.1313240195240384E-2</v>
      </c>
    </row>
    <row r="286" spans="1:16" x14ac:dyDescent="0.3">
      <c r="A286">
        <v>286</v>
      </c>
      <c r="B286">
        <f t="shared" si="24"/>
        <v>-123456789</v>
      </c>
      <c r="C286">
        <f t="shared" si="25"/>
        <v>14.704000000000001</v>
      </c>
      <c r="D286">
        <f>[1]!XLSTAT_PDFGeneral(B286,14, 16, 1)</f>
        <v>0</v>
      </c>
      <c r="E286">
        <v>286</v>
      </c>
      <c r="G286">
        <f t="shared" si="26"/>
        <v>16.569138276553105</v>
      </c>
      <c r="H286">
        <f>[1]!XLSTAT_PDFNormal(G286,16,1)</f>
        <v>0.33929080002842371</v>
      </c>
      <c r="I286">
        <v>286</v>
      </c>
      <c r="J286">
        <f t="shared" si="27"/>
        <v>-123456789</v>
      </c>
      <c r="K286">
        <f t="shared" si="28"/>
        <v>11.012</v>
      </c>
      <c r="L286">
        <f>[1]!XLSTAT_PDFGeneral(J286,17, 1)</f>
        <v>0</v>
      </c>
      <c r="M286">
        <v>286</v>
      </c>
      <c r="O286">
        <f t="shared" si="29"/>
        <v>3.4268537074148342</v>
      </c>
      <c r="P286">
        <f>[1]!XLSTAT_PDFPoisson(O286,1)</f>
        <v>6.1313240195240384E-2</v>
      </c>
    </row>
    <row r="287" spans="1:16" x14ac:dyDescent="0.3">
      <c r="A287">
        <v>287</v>
      </c>
      <c r="B287">
        <f t="shared" si="24"/>
        <v>-123456789</v>
      </c>
      <c r="C287">
        <f t="shared" si="25"/>
        <v>14.715999999999999</v>
      </c>
      <c r="D287">
        <f>[1]!XLSTAT_PDFGeneral(B287,14, 16, 1)</f>
        <v>0</v>
      </c>
      <c r="E287">
        <v>287</v>
      </c>
      <c r="G287">
        <f t="shared" si="26"/>
        <v>16.585170340681358</v>
      </c>
      <c r="H287">
        <f>[1]!XLSTAT_PDFNormal(G287,16,1)</f>
        <v>0.33616583070347922</v>
      </c>
      <c r="I287">
        <v>287</v>
      </c>
      <c r="J287">
        <f t="shared" si="27"/>
        <v>-123456789</v>
      </c>
      <c r="K287">
        <f t="shared" si="28"/>
        <v>10.997999999999999</v>
      </c>
      <c r="L287">
        <f>[1]!XLSTAT_PDFGeneral(J287,17, 1)</f>
        <v>0</v>
      </c>
      <c r="M287">
        <v>287</v>
      </c>
      <c r="O287">
        <f t="shared" si="29"/>
        <v>3.4388777555110264</v>
      </c>
      <c r="P287">
        <f>[1]!XLSTAT_PDFPoisson(O287,1)</f>
        <v>6.1313240195240384E-2</v>
      </c>
    </row>
    <row r="288" spans="1:16" x14ac:dyDescent="0.3">
      <c r="A288">
        <v>288</v>
      </c>
      <c r="B288">
        <f t="shared" si="24"/>
        <v>14.715999999999999</v>
      </c>
      <c r="C288">
        <f t="shared" si="25"/>
        <v>14.715999999999999</v>
      </c>
      <c r="D288">
        <f>[1]!XLSTAT_PDFGeneral(B288,14, 16, 1)</f>
        <v>0.17494799280382528</v>
      </c>
      <c r="E288">
        <v>288</v>
      </c>
      <c r="G288">
        <f t="shared" si="26"/>
        <v>16.601202404809616</v>
      </c>
      <c r="H288">
        <f>[1]!XLSTAT_PDFNormal(G288,16,1)</f>
        <v>0.33298404635969414</v>
      </c>
      <c r="I288">
        <v>288</v>
      </c>
      <c r="J288">
        <f t="shared" si="27"/>
        <v>10.997999999999999</v>
      </c>
      <c r="K288">
        <f t="shared" si="28"/>
        <v>10.997999999999999</v>
      </c>
      <c r="L288">
        <f>[1]!XLSTAT_PDFGeneral(J288,17, 1)</f>
        <v>1.0137771196302974E-7</v>
      </c>
      <c r="M288">
        <v>288</v>
      </c>
      <c r="O288">
        <f t="shared" si="29"/>
        <v>3.450901803607219</v>
      </c>
      <c r="P288">
        <f>[1]!XLSTAT_PDFPoisson(O288,1)</f>
        <v>6.1313240195240384E-2</v>
      </c>
    </row>
    <row r="289" spans="1:16" x14ac:dyDescent="0.3">
      <c r="A289">
        <v>289</v>
      </c>
      <c r="B289">
        <f t="shared" si="24"/>
        <v>14.728</v>
      </c>
      <c r="C289">
        <f t="shared" si="25"/>
        <v>14.728</v>
      </c>
      <c r="D289">
        <f>[1]!XLSTAT_PDFGeneral(B289,14, 16, 1)</f>
        <v>0.1776516740589851</v>
      </c>
      <c r="E289">
        <v>289</v>
      </c>
      <c r="G289">
        <f t="shared" si="26"/>
        <v>16.617234468937873</v>
      </c>
      <c r="H289">
        <f>[1]!XLSTAT_PDFNormal(G289,16,1)</f>
        <v>0.32974761240678979</v>
      </c>
      <c r="I289">
        <v>289</v>
      </c>
      <c r="J289">
        <f t="shared" si="27"/>
        <v>10.984</v>
      </c>
      <c r="K289">
        <f t="shared" si="28"/>
        <v>10.984</v>
      </c>
      <c r="L289">
        <f>[1]!XLSTAT_PDFGeneral(J289,17, 1)</f>
        <v>1.0137771196302974E-7</v>
      </c>
      <c r="M289">
        <v>289</v>
      </c>
      <c r="O289">
        <f t="shared" si="29"/>
        <v>3.4629258517034112</v>
      </c>
      <c r="P289">
        <f>[1]!XLSTAT_PDFPoisson(O289,1)</f>
        <v>6.1313240195240384E-2</v>
      </c>
    </row>
    <row r="290" spans="1:16" x14ac:dyDescent="0.3">
      <c r="A290">
        <v>290</v>
      </c>
      <c r="B290">
        <f t="shared" si="24"/>
        <v>-123456789</v>
      </c>
      <c r="C290">
        <f t="shared" si="25"/>
        <v>14.728</v>
      </c>
      <c r="D290">
        <f>[1]!XLSTAT_PDFGeneral(B290,14, 16, 1)</f>
        <v>0</v>
      </c>
      <c r="E290">
        <v>290</v>
      </c>
      <c r="G290">
        <f t="shared" si="26"/>
        <v>16.633266533066127</v>
      </c>
      <c r="H290">
        <f>[1]!XLSTAT_PDFNormal(G290,16,1)</f>
        <v>0.32645871541532778</v>
      </c>
      <c r="I290">
        <v>290</v>
      </c>
      <c r="J290">
        <f t="shared" si="27"/>
        <v>-123456789</v>
      </c>
      <c r="K290">
        <f t="shared" si="28"/>
        <v>10.984</v>
      </c>
      <c r="L290">
        <f>[1]!XLSTAT_PDFGeneral(J290,17, 1)</f>
        <v>0</v>
      </c>
      <c r="M290">
        <v>290</v>
      </c>
      <c r="O290">
        <f t="shared" si="29"/>
        <v>3.4749498997996038</v>
      </c>
      <c r="P290">
        <f>[1]!XLSTAT_PDFPoisson(O290,1)</f>
        <v>6.1313240195240384E-2</v>
      </c>
    </row>
    <row r="291" spans="1:16" x14ac:dyDescent="0.3">
      <c r="A291">
        <v>291</v>
      </c>
      <c r="B291">
        <f t="shared" si="24"/>
        <v>-123456789</v>
      </c>
      <c r="C291">
        <f t="shared" si="25"/>
        <v>14.74</v>
      </c>
      <c r="D291">
        <f>[1]!XLSTAT_PDFGeneral(B291,14, 16, 1)</f>
        <v>0</v>
      </c>
      <c r="E291">
        <v>291</v>
      </c>
      <c r="G291">
        <f t="shared" si="26"/>
        <v>16.649298597194385</v>
      </c>
      <c r="H291">
        <f>[1]!XLSTAT_PDFNormal(G291,16,1)</f>
        <v>0.32311956067439418</v>
      </c>
      <c r="I291">
        <v>291</v>
      </c>
      <c r="J291">
        <f t="shared" si="27"/>
        <v>-123456789</v>
      </c>
      <c r="K291">
        <f t="shared" si="28"/>
        <v>10.969999999999999</v>
      </c>
      <c r="L291">
        <f>[1]!XLSTAT_PDFGeneral(J291,17, 1)</f>
        <v>0</v>
      </c>
      <c r="M291">
        <v>291</v>
      </c>
      <c r="O291">
        <f t="shared" si="29"/>
        <v>3.486973947895796</v>
      </c>
      <c r="P291">
        <f>[1]!XLSTAT_PDFPoisson(O291,1)</f>
        <v>6.1313240195240384E-2</v>
      </c>
    </row>
    <row r="292" spans="1:16" x14ac:dyDescent="0.3">
      <c r="A292">
        <v>292</v>
      </c>
      <c r="B292">
        <f t="shared" si="24"/>
        <v>14.74</v>
      </c>
      <c r="C292">
        <f t="shared" si="25"/>
        <v>14.74</v>
      </c>
      <c r="D292">
        <f>[1]!XLSTAT_PDFGeneral(B292,14, 16, 1)</f>
        <v>0.18037116322708038</v>
      </c>
      <c r="E292">
        <v>292</v>
      </c>
      <c r="G292">
        <f t="shared" si="26"/>
        <v>16.665330661322642</v>
      </c>
      <c r="H292">
        <f>[1]!XLSTAT_PDFNormal(G292,16,1)</f>
        <v>0.31973236974940528</v>
      </c>
      <c r="I292">
        <v>292</v>
      </c>
      <c r="J292">
        <f t="shared" si="27"/>
        <v>10.969999999999999</v>
      </c>
      <c r="K292">
        <f t="shared" si="28"/>
        <v>10.969999999999999</v>
      </c>
      <c r="L292">
        <f>[1]!XLSTAT_PDFGeneral(J292,17, 1)</f>
        <v>1.0137771196302974E-7</v>
      </c>
      <c r="M292">
        <v>292</v>
      </c>
      <c r="O292">
        <f t="shared" si="29"/>
        <v>3.4989979959919886</v>
      </c>
      <c r="P292">
        <f>[1]!XLSTAT_PDFPoisson(O292,1)</f>
        <v>6.1313240195240384E-2</v>
      </c>
    </row>
    <row r="293" spans="1:16" x14ac:dyDescent="0.3">
      <c r="A293">
        <v>293</v>
      </c>
      <c r="B293">
        <f t="shared" si="24"/>
        <v>14.752000000000001</v>
      </c>
      <c r="C293">
        <f t="shared" si="25"/>
        <v>14.752000000000001</v>
      </c>
      <c r="D293">
        <f>[1]!XLSTAT_PDFGeneral(B293,14, 16, 1)</f>
        <v>0.18310591314464006</v>
      </c>
      <c r="E293">
        <v>293</v>
      </c>
      <c r="G293">
        <f t="shared" si="26"/>
        <v>16.681362725450899</v>
      </c>
      <c r="H293">
        <f>[1]!XLSTAT_PDFNormal(G293,16,1)</f>
        <v>0.31629937804376568</v>
      </c>
      <c r="I293">
        <v>293</v>
      </c>
      <c r="J293">
        <f t="shared" si="27"/>
        <v>10.956</v>
      </c>
      <c r="K293">
        <f t="shared" si="28"/>
        <v>10.956</v>
      </c>
      <c r="L293">
        <f>[1]!XLSTAT_PDFGeneral(J293,17, 1)</f>
        <v>1.0137771196302974E-7</v>
      </c>
      <c r="M293">
        <v>293</v>
      </c>
      <c r="O293">
        <f t="shared" si="29"/>
        <v>3.5110220440881807</v>
      </c>
      <c r="P293">
        <f>[1]!XLSTAT_PDFPoisson(O293,1)</f>
        <v>6.1313240195240384E-2</v>
      </c>
    </row>
    <row r="294" spans="1:16" x14ac:dyDescent="0.3">
      <c r="A294">
        <v>294</v>
      </c>
      <c r="B294">
        <f t="shared" si="24"/>
        <v>-123456789</v>
      </c>
      <c r="C294">
        <f t="shared" si="25"/>
        <v>14.752000000000001</v>
      </c>
      <c r="D294">
        <f>[1]!XLSTAT_PDFGeneral(B294,14, 16, 1)</f>
        <v>0</v>
      </c>
      <c r="E294">
        <v>294</v>
      </c>
      <c r="G294">
        <f t="shared" si="26"/>
        <v>16.697394789579157</v>
      </c>
      <c r="H294">
        <f>[1]!XLSTAT_PDFNormal(G294,16,1)</f>
        <v>0.31282283236809072</v>
      </c>
      <c r="I294">
        <v>294</v>
      </c>
      <c r="J294">
        <f t="shared" si="27"/>
        <v>-123456789</v>
      </c>
      <c r="K294">
        <f t="shared" si="28"/>
        <v>10.956</v>
      </c>
      <c r="L294">
        <f>[1]!XLSTAT_PDFGeneral(J294,17, 1)</f>
        <v>0</v>
      </c>
      <c r="M294">
        <v>294</v>
      </c>
      <c r="O294">
        <f t="shared" si="29"/>
        <v>3.5230460921843734</v>
      </c>
      <c r="P294">
        <f>[1]!XLSTAT_PDFPoisson(O294,1)</f>
        <v>6.1313240195240384E-2</v>
      </c>
    </row>
    <row r="295" spans="1:16" x14ac:dyDescent="0.3">
      <c r="A295">
        <v>295</v>
      </c>
      <c r="B295">
        <f t="shared" si="24"/>
        <v>-123456789</v>
      </c>
      <c r="C295">
        <f t="shared" si="25"/>
        <v>14.763999999999999</v>
      </c>
      <c r="D295">
        <f>[1]!XLSTAT_PDFGeneral(B295,14, 16, 1)</f>
        <v>0</v>
      </c>
      <c r="E295">
        <v>295</v>
      </c>
      <c r="G295">
        <f t="shared" si="26"/>
        <v>16.713426853707411</v>
      </c>
      <c r="H295">
        <f>[1]!XLSTAT_PDFNormal(G295,16,1)</f>
        <v>0.30930498852063837</v>
      </c>
      <c r="I295">
        <v>295</v>
      </c>
      <c r="J295">
        <f t="shared" si="27"/>
        <v>-123456789</v>
      </c>
      <c r="K295">
        <f t="shared" si="28"/>
        <v>10.942</v>
      </c>
      <c r="L295">
        <f>[1]!XLSTAT_PDFGeneral(J295,17, 1)</f>
        <v>0</v>
      </c>
      <c r="M295">
        <v>295</v>
      </c>
      <c r="O295">
        <f t="shared" si="29"/>
        <v>3.5350701402805655</v>
      </c>
      <c r="P295">
        <f>[1]!XLSTAT_PDFPoisson(O295,1)</f>
        <v>6.1313240195240384E-2</v>
      </c>
    </row>
    <row r="296" spans="1:16" x14ac:dyDescent="0.3">
      <c r="A296">
        <v>296</v>
      </c>
      <c r="B296">
        <f t="shared" si="24"/>
        <v>14.763999999999999</v>
      </c>
      <c r="C296">
        <f t="shared" si="25"/>
        <v>14.763999999999999</v>
      </c>
      <c r="D296">
        <f>[1]!XLSTAT_PDFGeneral(B296,14, 16, 1)</f>
        <v>0.18585536167034566</v>
      </c>
      <c r="E296">
        <v>296</v>
      </c>
      <c r="G296">
        <f t="shared" si="26"/>
        <v>16.729458917835668</v>
      </c>
      <c r="H296">
        <f>[1]!XLSTAT_PDFNormal(G296,16,1)</f>
        <v>0.30574810888253551</v>
      </c>
      <c r="I296">
        <v>296</v>
      </c>
      <c r="J296">
        <f t="shared" si="27"/>
        <v>10.942</v>
      </c>
      <c r="K296">
        <f t="shared" si="28"/>
        <v>10.942</v>
      </c>
      <c r="L296">
        <f>[1]!XLSTAT_PDFGeneral(J296,17, 1)</f>
        <v>1.0137771196302974E-7</v>
      </c>
      <c r="M296">
        <v>296</v>
      </c>
      <c r="O296">
        <f t="shared" si="29"/>
        <v>3.5470941883767582</v>
      </c>
      <c r="P296">
        <f>[1]!XLSTAT_PDFPoisson(O296,1)</f>
        <v>6.1313240195240384E-2</v>
      </c>
    </row>
    <row r="297" spans="1:16" x14ac:dyDescent="0.3">
      <c r="A297">
        <v>297</v>
      </c>
      <c r="B297">
        <f t="shared" si="24"/>
        <v>14.776</v>
      </c>
      <c r="C297">
        <f t="shared" si="25"/>
        <v>14.776</v>
      </c>
      <c r="D297">
        <f>[1]!XLSTAT_PDFGeneral(B297,14, 16, 1)</f>
        <v>0.1886189317841595</v>
      </c>
      <c r="E297">
        <v>297</v>
      </c>
      <c r="G297">
        <f t="shared" si="26"/>
        <v>16.745490981963925</v>
      </c>
      <c r="H297">
        <f>[1]!XLSTAT_PDFNormal(G297,16,1)</f>
        <v>0.30215446003133684</v>
      </c>
      <c r="I297">
        <v>297</v>
      </c>
      <c r="J297">
        <f t="shared" si="27"/>
        <v>10.928000000000001</v>
      </c>
      <c r="K297">
        <f t="shared" si="28"/>
        <v>10.928000000000001</v>
      </c>
      <c r="L297">
        <f>[1]!XLSTAT_PDFGeneral(J297,17, 1)</f>
        <v>1.0137771196302974E-7</v>
      </c>
      <c r="M297">
        <v>297</v>
      </c>
      <c r="O297">
        <f t="shared" si="29"/>
        <v>3.5591182364729503</v>
      </c>
      <c r="P297">
        <f>[1]!XLSTAT_PDFPoisson(O297,1)</f>
        <v>6.1313240195240384E-2</v>
      </c>
    </row>
    <row r="298" spans="1:16" x14ac:dyDescent="0.3">
      <c r="A298">
        <v>298</v>
      </c>
      <c r="B298">
        <f t="shared" si="24"/>
        <v>-123456789</v>
      </c>
      <c r="C298">
        <f t="shared" si="25"/>
        <v>14.776</v>
      </c>
      <c r="D298">
        <f>[1]!XLSTAT_PDFGeneral(B298,14, 16, 1)</f>
        <v>0</v>
      </c>
      <c r="E298">
        <v>298</v>
      </c>
      <c r="G298">
        <f t="shared" si="26"/>
        <v>16.761523046092179</v>
      </c>
      <c r="H298">
        <f>[1]!XLSTAT_PDFNormal(G298,16,1)</f>
        <v>0.29852631037635152</v>
      </c>
      <c r="I298">
        <v>298</v>
      </c>
      <c r="J298">
        <f t="shared" si="27"/>
        <v>-123456789</v>
      </c>
      <c r="K298">
        <f t="shared" si="28"/>
        <v>10.928000000000001</v>
      </c>
      <c r="L298">
        <f>[1]!XLSTAT_PDFGeneral(J298,17, 1)</f>
        <v>0</v>
      </c>
      <c r="M298">
        <v>298</v>
      </c>
      <c r="O298">
        <f t="shared" si="29"/>
        <v>3.571142284569143</v>
      </c>
      <c r="P298">
        <f>[1]!XLSTAT_PDFPoisson(O298,1)</f>
        <v>6.1313240195240384E-2</v>
      </c>
    </row>
    <row r="299" spans="1:16" x14ac:dyDescent="0.3">
      <c r="A299">
        <v>299</v>
      </c>
      <c r="B299">
        <f t="shared" si="24"/>
        <v>-123456789</v>
      </c>
      <c r="C299">
        <f t="shared" si="25"/>
        <v>14.788</v>
      </c>
      <c r="D299">
        <f>[1]!XLSTAT_PDFGeneral(B299,14, 16, 1)</f>
        <v>0</v>
      </c>
      <c r="E299">
        <v>299</v>
      </c>
      <c r="G299">
        <f t="shared" si="26"/>
        <v>16.777555110220437</v>
      </c>
      <c r="H299">
        <f>[1]!XLSTAT_PDFNormal(G299,16,1)</f>
        <v>0.29486592781912119</v>
      </c>
      <c r="I299">
        <v>299</v>
      </c>
      <c r="J299">
        <f t="shared" si="27"/>
        <v>-123456789</v>
      </c>
      <c r="K299">
        <f t="shared" si="28"/>
        <v>10.914</v>
      </c>
      <c r="L299">
        <f>[1]!XLSTAT_PDFGeneral(J299,17, 1)</f>
        <v>0</v>
      </c>
      <c r="M299">
        <v>299</v>
      </c>
      <c r="O299">
        <f t="shared" si="29"/>
        <v>3.5831663326653351</v>
      </c>
      <c r="P299">
        <f>[1]!XLSTAT_PDFPoisson(O299,1)</f>
        <v>6.1313240195240384E-2</v>
      </c>
    </row>
    <row r="300" spans="1:16" x14ac:dyDescent="0.3">
      <c r="A300">
        <v>300</v>
      </c>
      <c r="B300">
        <f t="shared" si="24"/>
        <v>14.788</v>
      </c>
      <c r="C300">
        <f t="shared" si="25"/>
        <v>14.788</v>
      </c>
      <c r="D300">
        <f>[1]!XLSTAT_PDFGeneral(B300,14, 16, 1)</f>
        <v>0.19139603169873615</v>
      </c>
      <c r="E300">
        <v>300</v>
      </c>
      <c r="G300">
        <f t="shared" si="26"/>
        <v>16.793587174348694</v>
      </c>
      <c r="H300">
        <f>[1]!XLSTAT_PDFNormal(G300,16,1)</f>
        <v>0.29117557744234523</v>
      </c>
      <c r="I300">
        <v>300</v>
      </c>
      <c r="J300">
        <f t="shared" si="27"/>
        <v>10.914</v>
      </c>
      <c r="K300">
        <f t="shared" si="28"/>
        <v>10.914</v>
      </c>
      <c r="L300">
        <f>[1]!XLSTAT_PDFGeneral(J300,17, 1)</f>
        <v>1.0137771196302974E-7</v>
      </c>
      <c r="M300">
        <v>300</v>
      </c>
      <c r="O300">
        <f t="shared" si="29"/>
        <v>3.5951903807615277</v>
      </c>
      <c r="P300">
        <f>[1]!XLSTAT_PDFPoisson(O300,1)</f>
        <v>6.1313240195240384E-2</v>
      </c>
    </row>
    <row r="301" spans="1:16" x14ac:dyDescent="0.3">
      <c r="A301">
        <v>301</v>
      </c>
      <c r="B301">
        <f t="shared" si="24"/>
        <v>14.8</v>
      </c>
      <c r="C301">
        <f t="shared" si="25"/>
        <v>14.8</v>
      </c>
      <c r="D301">
        <f>[1]!XLSTAT_PDFGeneral(B301,14, 16, 1)</f>
        <v>0.19418605498321312</v>
      </c>
      <c r="E301">
        <v>301</v>
      </c>
      <c r="G301">
        <f t="shared" si="26"/>
        <v>16.809619238476952</v>
      </c>
      <c r="H301">
        <f>[1]!XLSTAT_PDFNormal(G301,16,1)</f>
        <v>0.28745751923043861</v>
      </c>
      <c r="I301">
        <v>301</v>
      </c>
      <c r="J301">
        <f t="shared" si="27"/>
        <v>10.9</v>
      </c>
      <c r="K301">
        <f t="shared" si="28"/>
        <v>10.9</v>
      </c>
      <c r="L301">
        <f>[1]!XLSTAT_PDFGeneral(J301,17, 1)</f>
        <v>1.0137771196302974E-7</v>
      </c>
      <c r="M301">
        <v>301</v>
      </c>
      <c r="O301">
        <f t="shared" si="29"/>
        <v>3.6072144288577199</v>
      </c>
      <c r="P301">
        <f>[1]!XLSTAT_PDFPoisson(O301,1)</f>
        <v>6.1313240195240384E-2</v>
      </c>
    </row>
    <row r="302" spans="1:16" x14ac:dyDescent="0.3">
      <c r="A302">
        <v>302</v>
      </c>
      <c r="B302">
        <f t="shared" si="24"/>
        <v>-123456789</v>
      </c>
      <c r="C302">
        <f t="shared" si="25"/>
        <v>14.8</v>
      </c>
      <c r="D302">
        <f>[1]!XLSTAT_PDFGeneral(B302,14, 16, 1)</f>
        <v>0</v>
      </c>
      <c r="E302">
        <v>302</v>
      </c>
      <c r="G302">
        <f t="shared" si="26"/>
        <v>16.825651302605209</v>
      </c>
      <c r="H302">
        <f>[1]!XLSTAT_PDFNormal(G302,16,1)</f>
        <v>0.28371400582483947</v>
      </c>
      <c r="I302">
        <v>302</v>
      </c>
      <c r="J302">
        <f t="shared" si="27"/>
        <v>-123456789</v>
      </c>
      <c r="K302">
        <f t="shared" si="28"/>
        <v>10.9</v>
      </c>
      <c r="L302">
        <f>[1]!XLSTAT_PDFGeneral(J302,17, 1)</f>
        <v>0</v>
      </c>
      <c r="M302">
        <v>302</v>
      </c>
      <c r="O302">
        <f t="shared" si="29"/>
        <v>3.6192384769539125</v>
      </c>
      <c r="P302">
        <f>[1]!XLSTAT_PDFPoisson(O302,1)</f>
        <v>6.1313240195240384E-2</v>
      </c>
    </row>
    <row r="303" spans="1:16" x14ac:dyDescent="0.3">
      <c r="A303">
        <v>303</v>
      </c>
      <c r="B303">
        <f t="shared" si="24"/>
        <v>-123456789</v>
      </c>
      <c r="C303">
        <f t="shared" si="25"/>
        <v>14.811999999999999</v>
      </c>
      <c r="D303">
        <f>[1]!XLSTAT_PDFGeneral(B303,14, 16, 1)</f>
        <v>0</v>
      </c>
      <c r="E303">
        <v>303</v>
      </c>
      <c r="G303">
        <f t="shared" si="26"/>
        <v>16.841683366733463</v>
      </c>
      <c r="H303">
        <f>[1]!XLSTAT_PDFNormal(G303,16,1)</f>
        <v>0.27994728031706617</v>
      </c>
      <c r="I303">
        <v>303</v>
      </c>
      <c r="J303">
        <f t="shared" si="27"/>
        <v>-123456789</v>
      </c>
      <c r="K303">
        <f t="shared" si="28"/>
        <v>10.885999999999999</v>
      </c>
      <c r="L303">
        <f>[1]!XLSTAT_PDFGeneral(J303,17, 1)</f>
        <v>0</v>
      </c>
      <c r="M303">
        <v>303</v>
      </c>
      <c r="O303">
        <f t="shared" si="29"/>
        <v>3.6312625250501047</v>
      </c>
      <c r="P303">
        <f>[1]!XLSTAT_PDFPoisson(O303,1)</f>
        <v>6.1313240195240384E-2</v>
      </c>
    </row>
    <row r="304" spans="1:16" x14ac:dyDescent="0.3">
      <c r="A304">
        <v>304</v>
      </c>
      <c r="B304">
        <f t="shared" si="24"/>
        <v>14.811999999999999</v>
      </c>
      <c r="C304">
        <f t="shared" si="25"/>
        <v>14.811999999999999</v>
      </c>
      <c r="D304">
        <f>[1]!XLSTAT_PDFGeneral(B304,14, 16, 1)</f>
        <v>0.19698838069945035</v>
      </c>
      <c r="E304">
        <v>304</v>
      </c>
      <c r="G304">
        <f t="shared" si="26"/>
        <v>16.85771543086172</v>
      </c>
      <c r="H304">
        <f>[1]!XLSTAT_PDFNormal(G304,16,1)</f>
        <v>0.27615957408241903</v>
      </c>
      <c r="I304">
        <v>304</v>
      </c>
      <c r="J304">
        <f t="shared" si="27"/>
        <v>10.885999999999999</v>
      </c>
      <c r="K304">
        <f t="shared" si="28"/>
        <v>10.885999999999999</v>
      </c>
      <c r="L304">
        <f>[1]!XLSTAT_PDFGeneral(J304,17, 1)</f>
        <v>1.0137771196302974E-7</v>
      </c>
      <c r="M304">
        <v>304</v>
      </c>
      <c r="O304">
        <f t="shared" si="29"/>
        <v>3.6432865731462973</v>
      </c>
      <c r="P304">
        <f>[1]!XLSTAT_PDFPoisson(O304,1)</f>
        <v>6.1313240195240384E-2</v>
      </c>
    </row>
    <row r="305" spans="1:16" x14ac:dyDescent="0.3">
      <c r="A305">
        <v>305</v>
      </c>
      <c r="B305">
        <f t="shared" si="24"/>
        <v>14.824</v>
      </c>
      <c r="C305">
        <f t="shared" si="25"/>
        <v>14.824</v>
      </c>
      <c r="D305">
        <f>[1]!XLSTAT_PDFGeneral(B305,14, 16, 1)</f>
        <v>0.19980237355078798</v>
      </c>
      <c r="E305">
        <v>305</v>
      </c>
      <c r="G305">
        <f t="shared" si="26"/>
        <v>16.873747494989978</v>
      </c>
      <c r="H305">
        <f>[1]!XLSTAT_PDFNormal(G305,16,1)</f>
        <v>0.27235310465712709</v>
      </c>
      <c r="I305">
        <v>305</v>
      </c>
      <c r="J305">
        <f t="shared" si="27"/>
        <v>10.872</v>
      </c>
      <c r="K305">
        <f t="shared" si="28"/>
        <v>10.872</v>
      </c>
      <c r="L305">
        <f>[1]!XLSTAT_PDFGeneral(J305,17, 1)</f>
        <v>1.0137771196302974E-7</v>
      </c>
      <c r="M305">
        <v>305</v>
      </c>
      <c r="O305">
        <f t="shared" si="29"/>
        <v>3.6553106212424895</v>
      </c>
      <c r="P305">
        <f>[1]!XLSTAT_PDFPoisson(O305,1)</f>
        <v>6.1313240195240384E-2</v>
      </c>
    </row>
    <row r="306" spans="1:16" x14ac:dyDescent="0.3">
      <c r="A306">
        <v>306</v>
      </c>
      <c r="B306">
        <f t="shared" si="24"/>
        <v>-123456789</v>
      </c>
      <c r="C306">
        <f t="shared" si="25"/>
        <v>14.824</v>
      </c>
      <c r="D306">
        <f>[1]!XLSTAT_PDFGeneral(B306,14, 16, 1)</f>
        <v>0</v>
      </c>
      <c r="E306">
        <v>306</v>
      </c>
      <c r="G306">
        <f t="shared" si="26"/>
        <v>16.889779559118232</v>
      </c>
      <c r="H306">
        <f>[1]!XLSTAT_PDFNormal(G306,16,1)</f>
        <v>0.26853007366159953</v>
      </c>
      <c r="I306">
        <v>306</v>
      </c>
      <c r="J306">
        <f t="shared" si="27"/>
        <v>-123456789</v>
      </c>
      <c r="K306">
        <f t="shared" si="28"/>
        <v>10.872</v>
      </c>
      <c r="L306">
        <f>[1]!XLSTAT_PDFGeneral(J306,17, 1)</f>
        <v>0</v>
      </c>
      <c r="M306">
        <v>306</v>
      </c>
      <c r="O306">
        <f t="shared" si="29"/>
        <v>3.6673346693386821</v>
      </c>
      <c r="P306">
        <f>[1]!XLSTAT_PDFPoisson(O306,1)</f>
        <v>6.1313240195240384E-2</v>
      </c>
    </row>
    <row r="307" spans="1:16" x14ac:dyDescent="0.3">
      <c r="A307">
        <v>307</v>
      </c>
      <c r="B307">
        <f t="shared" si="24"/>
        <v>-123456789</v>
      </c>
      <c r="C307">
        <f t="shared" si="25"/>
        <v>14.836</v>
      </c>
      <c r="D307">
        <f>[1]!XLSTAT_PDFGeneral(B307,14, 16, 1)</f>
        <v>0</v>
      </c>
      <c r="E307">
        <v>307</v>
      </c>
      <c r="G307">
        <f t="shared" si="26"/>
        <v>16.905811623246489</v>
      </c>
      <c r="H307">
        <f>[1]!XLSTAT_PDFNormal(G307,16,1)</f>
        <v>0.26469266477234493</v>
      </c>
      <c r="I307">
        <v>307</v>
      </c>
      <c r="J307">
        <f t="shared" si="27"/>
        <v>-123456789</v>
      </c>
      <c r="K307">
        <f t="shared" si="28"/>
        <v>10.858000000000001</v>
      </c>
      <c r="L307">
        <f>[1]!XLSTAT_PDFGeneral(J307,17, 1)</f>
        <v>0</v>
      </c>
      <c r="M307">
        <v>307</v>
      </c>
      <c r="O307">
        <f t="shared" si="29"/>
        <v>3.6793587174348743</v>
      </c>
      <c r="P307">
        <f>[1]!XLSTAT_PDFPoisson(O307,1)</f>
        <v>6.1313240195240384E-2</v>
      </c>
    </row>
    <row r="308" spans="1:16" x14ac:dyDescent="0.3">
      <c r="A308">
        <v>308</v>
      </c>
      <c r="B308">
        <f t="shared" si="24"/>
        <v>14.836</v>
      </c>
      <c r="C308">
        <f t="shared" si="25"/>
        <v>14.836</v>
      </c>
      <c r="D308">
        <f>[1]!XLSTAT_PDFGeneral(B308,14, 16, 1)</f>
        <v>0.20262738404336914</v>
      </c>
      <c r="E308">
        <v>308</v>
      </c>
      <c r="G308">
        <f t="shared" si="26"/>
        <v>16.921843687374746</v>
      </c>
      <c r="H308">
        <f>[1]!XLSTAT_PDFNormal(G308,16,1)</f>
        <v>0.26084304174500056</v>
      </c>
      <c r="I308">
        <v>308</v>
      </c>
      <c r="J308">
        <f t="shared" si="27"/>
        <v>10.858000000000001</v>
      </c>
      <c r="K308">
        <f t="shared" si="28"/>
        <v>10.858000000000001</v>
      </c>
      <c r="L308">
        <f>[1]!XLSTAT_PDFGeneral(J308,17, 1)</f>
        <v>1.0137771196302974E-7</v>
      </c>
      <c r="M308">
        <v>308</v>
      </c>
      <c r="O308">
        <f t="shared" si="29"/>
        <v>3.6913827655310669</v>
      </c>
      <c r="P308">
        <f>[1]!XLSTAT_PDFPoisson(O308,1)</f>
        <v>6.1313240195240384E-2</v>
      </c>
    </row>
    <row r="309" spans="1:16" x14ac:dyDescent="0.3">
      <c r="A309">
        <v>309</v>
      </c>
      <c r="B309">
        <f t="shared" si="24"/>
        <v>14.848000000000001</v>
      </c>
      <c r="C309">
        <f t="shared" si="25"/>
        <v>14.848000000000001</v>
      </c>
      <c r="D309">
        <f>[1]!XLSTAT_PDFGeneral(B309,14, 16, 1)</f>
        <v>0.2054627486600771</v>
      </c>
      <c r="E309">
        <v>309</v>
      </c>
      <c r="G309">
        <f t="shared" si="26"/>
        <v>16.937875751503</v>
      </c>
      <c r="H309">
        <f>[1]!XLSTAT_PDFNormal(G309,16,1)</f>
        <v>0.25698334649076565</v>
      </c>
      <c r="I309">
        <v>309</v>
      </c>
      <c r="J309">
        <f t="shared" si="27"/>
        <v>10.843999999999999</v>
      </c>
      <c r="K309">
        <f t="shared" si="28"/>
        <v>10.843999999999999</v>
      </c>
      <c r="L309">
        <f>[1]!XLSTAT_PDFGeneral(J309,17, 1)</f>
        <v>1.0137771196302974E-7</v>
      </c>
      <c r="M309">
        <v>309</v>
      </c>
      <c r="O309">
        <f t="shared" si="29"/>
        <v>3.7034068136272591</v>
      </c>
      <c r="P309">
        <f>[1]!XLSTAT_PDFPoisson(O309,1)</f>
        <v>6.1313240195240384E-2</v>
      </c>
    </row>
    <row r="310" spans="1:16" x14ac:dyDescent="0.3">
      <c r="A310">
        <v>310</v>
      </c>
      <c r="B310">
        <f t="shared" si="24"/>
        <v>-123456789</v>
      </c>
      <c r="C310">
        <f t="shared" si="25"/>
        <v>14.848000000000001</v>
      </c>
      <c r="D310">
        <f>[1]!XLSTAT_PDFGeneral(B310,14, 16, 1)</f>
        <v>0</v>
      </c>
      <c r="E310">
        <v>310</v>
      </c>
      <c r="G310">
        <f t="shared" si="26"/>
        <v>16.953907815631258</v>
      </c>
      <c r="H310">
        <f>[1]!XLSTAT_PDFNormal(G310,16,1)</f>
        <v>0.25311569720842753</v>
      </c>
      <c r="I310">
        <v>310</v>
      </c>
      <c r="J310">
        <f t="shared" si="27"/>
        <v>-123456789</v>
      </c>
      <c r="K310">
        <f t="shared" si="28"/>
        <v>10.843999999999999</v>
      </c>
      <c r="L310">
        <f>[1]!XLSTAT_PDFGeneral(J310,17, 1)</f>
        <v>0</v>
      </c>
      <c r="M310">
        <v>310</v>
      </c>
      <c r="O310">
        <f t="shared" si="29"/>
        <v>3.7154308617234517</v>
      </c>
      <c r="P310">
        <f>[1]!XLSTAT_PDFPoisson(O310,1)</f>
        <v>6.1313240195240384E-2</v>
      </c>
    </row>
    <row r="311" spans="1:16" x14ac:dyDescent="0.3">
      <c r="A311">
        <v>311</v>
      </c>
      <c r="B311">
        <f t="shared" si="24"/>
        <v>-123456789</v>
      </c>
      <c r="C311">
        <f t="shared" si="25"/>
        <v>14.86</v>
      </c>
      <c r="D311">
        <f>[1]!XLSTAT_PDFGeneral(B311,14, 16, 1)</f>
        <v>0</v>
      </c>
      <c r="E311">
        <v>311</v>
      </c>
      <c r="G311">
        <f t="shared" si="26"/>
        <v>16.969939879759515</v>
      </c>
      <c r="H311">
        <f>[1]!XLSTAT_PDFNormal(G311,16,1)</f>
        <v>0.24924218657403938</v>
      </c>
      <c r="I311">
        <v>311</v>
      </c>
      <c r="J311">
        <f t="shared" si="27"/>
        <v>-123456789</v>
      </c>
      <c r="K311">
        <f t="shared" si="28"/>
        <v>10.83</v>
      </c>
      <c r="L311">
        <f>[1]!XLSTAT_PDFGeneral(J311,17, 1)</f>
        <v>0</v>
      </c>
      <c r="M311">
        <v>311</v>
      </c>
      <c r="O311">
        <f t="shared" si="29"/>
        <v>3.7274549098196439</v>
      </c>
      <c r="P311">
        <f>[1]!XLSTAT_PDFPoisson(O311,1)</f>
        <v>6.1313240195240384E-2</v>
      </c>
    </row>
    <row r="312" spans="1:16" x14ac:dyDescent="0.3">
      <c r="A312">
        <v>312</v>
      </c>
      <c r="B312">
        <f t="shared" si="24"/>
        <v>14.86</v>
      </c>
      <c r="C312">
        <f t="shared" si="25"/>
        <v>14.86</v>
      </c>
      <c r="D312">
        <f>[1]!XLSTAT_PDFGeneral(B312,14, 16, 1)</f>
        <v>0.20830779004710823</v>
      </c>
      <c r="E312">
        <v>312</v>
      </c>
      <c r="G312">
        <f t="shared" si="26"/>
        <v>16.985971943887773</v>
      </c>
      <c r="H312">
        <f>[1]!XLSTAT_PDFNormal(G312,16,1)</f>
        <v>0.24536487999014953</v>
      </c>
      <c r="I312">
        <v>312</v>
      </c>
      <c r="J312">
        <f t="shared" si="27"/>
        <v>10.83</v>
      </c>
      <c r="K312">
        <f t="shared" si="28"/>
        <v>10.83</v>
      </c>
      <c r="L312">
        <f>[1]!XLSTAT_PDFGeneral(J312,17, 1)</f>
        <v>1.0137771196302974E-7</v>
      </c>
      <c r="M312">
        <v>312</v>
      </c>
      <c r="O312">
        <f t="shared" si="29"/>
        <v>3.7394789579158365</v>
      </c>
      <c r="P312">
        <f>[1]!XLSTAT_PDFPoisson(O312,1)</f>
        <v>6.1313240195240384E-2</v>
      </c>
    </row>
    <row r="313" spans="1:16" x14ac:dyDescent="0.3">
      <c r="A313">
        <v>313</v>
      </c>
      <c r="B313">
        <f t="shared" si="24"/>
        <v>14.872</v>
      </c>
      <c r="C313">
        <f t="shared" si="25"/>
        <v>14.872</v>
      </c>
      <c r="D313">
        <f>[1]!XLSTAT_PDFGeneral(B313,14, 16, 1)</f>
        <v>0.21116181721320312</v>
      </c>
      <c r="E313">
        <v>313</v>
      </c>
      <c r="G313">
        <f t="shared" si="26"/>
        <v>17.00200400801603</v>
      </c>
      <c r="H313">
        <f>[1]!XLSTAT_PDFNormal(G313,16,1)</f>
        <v>0.24148581389637919</v>
      </c>
      <c r="I313">
        <v>313</v>
      </c>
      <c r="J313">
        <f t="shared" si="27"/>
        <v>10.815999999999999</v>
      </c>
      <c r="K313">
        <f t="shared" si="28"/>
        <v>10.815999999999999</v>
      </c>
      <c r="L313">
        <f>[1]!XLSTAT_PDFGeneral(J313,17, 1)</f>
        <v>1.0137771196302974E-7</v>
      </c>
      <c r="M313">
        <v>313</v>
      </c>
      <c r="O313">
        <f t="shared" si="29"/>
        <v>3.7515030060120287</v>
      </c>
      <c r="P313">
        <f>[1]!XLSTAT_PDFPoisson(O313,1)</f>
        <v>6.1313240195240384E-2</v>
      </c>
    </row>
    <row r="314" spans="1:16" x14ac:dyDescent="0.3">
      <c r="A314">
        <v>314</v>
      </c>
      <c r="B314">
        <f t="shared" si="24"/>
        <v>-123456789</v>
      </c>
      <c r="C314">
        <f t="shared" si="25"/>
        <v>14.872</v>
      </c>
      <c r="D314">
        <f>[1]!XLSTAT_PDFGeneral(B314,14, 16, 1)</f>
        <v>0</v>
      </c>
      <c r="E314">
        <v>314</v>
      </c>
      <c r="G314">
        <f t="shared" si="26"/>
        <v>17.018036072144284</v>
      </c>
      <c r="H314">
        <f>[1]!XLSTAT_PDFNormal(G314,16,1)</f>
        <v>0.2376069941429893</v>
      </c>
      <c r="I314">
        <v>314</v>
      </c>
      <c r="J314">
        <f t="shared" si="27"/>
        <v>-123456789</v>
      </c>
      <c r="K314">
        <f t="shared" si="28"/>
        <v>10.815999999999999</v>
      </c>
      <c r="L314">
        <f>[1]!XLSTAT_PDFGeneral(J314,17, 1)</f>
        <v>0</v>
      </c>
      <c r="M314">
        <v>314</v>
      </c>
      <c r="O314">
        <f t="shared" si="29"/>
        <v>3.7635270541082213</v>
      </c>
      <c r="P314">
        <f>[1]!XLSTAT_PDFPoisson(O314,1)</f>
        <v>6.1313240195240384E-2</v>
      </c>
    </row>
    <row r="315" spans="1:16" x14ac:dyDescent="0.3">
      <c r="A315">
        <v>315</v>
      </c>
      <c r="B315">
        <f t="shared" si="24"/>
        <v>-123456789</v>
      </c>
      <c r="C315">
        <f t="shared" si="25"/>
        <v>14.884</v>
      </c>
      <c r="D315">
        <f>[1]!XLSTAT_PDFGeneral(B315,14, 16, 1)</f>
        <v>0</v>
      </c>
      <c r="E315">
        <v>315</v>
      </c>
      <c r="G315">
        <f t="shared" si="26"/>
        <v>17.034068136272541</v>
      </c>
      <c r="H315">
        <f>[1]!XLSTAT_PDFNormal(G315,16,1)</f>
        <v>0.23373039442894117</v>
      </c>
      <c r="I315">
        <v>315</v>
      </c>
      <c r="J315">
        <f t="shared" si="27"/>
        <v>-123456789</v>
      </c>
      <c r="K315">
        <f t="shared" si="28"/>
        <v>10.802</v>
      </c>
      <c r="L315">
        <f>[1]!XLSTAT_PDFGeneral(J315,17, 1)</f>
        <v>0</v>
      </c>
      <c r="M315">
        <v>315</v>
      </c>
      <c r="O315">
        <f t="shared" si="29"/>
        <v>3.7755511022044135</v>
      </c>
      <c r="P315">
        <f>[1]!XLSTAT_PDFPoisson(O315,1)</f>
        <v>6.1313240195240384E-2</v>
      </c>
    </row>
    <row r="316" spans="1:16" x14ac:dyDescent="0.3">
      <c r="A316">
        <v>316</v>
      </c>
      <c r="B316">
        <f t="shared" si="24"/>
        <v>14.884</v>
      </c>
      <c r="C316">
        <f t="shared" si="25"/>
        <v>14.884</v>
      </c>
      <c r="D316">
        <f>[1]!XLSTAT_PDFGeneral(B316,14, 16, 1)</f>
        <v>0.21402412574153223</v>
      </c>
      <c r="E316">
        <v>316</v>
      </c>
      <c r="G316">
        <f t="shared" si="26"/>
        <v>17.050100200400799</v>
      </c>
      <c r="H316">
        <f>[1]!XLSTAT_PDFNormal(G316,16,1)</f>
        <v>0.22985795480583246</v>
      </c>
      <c r="I316">
        <v>316</v>
      </c>
      <c r="J316">
        <f t="shared" si="27"/>
        <v>10.802</v>
      </c>
      <c r="K316">
        <f t="shared" si="28"/>
        <v>10.802</v>
      </c>
      <c r="L316">
        <f>[1]!XLSTAT_PDFGeneral(J316,17, 1)</f>
        <v>1.0137771196302974E-7</v>
      </c>
      <c r="M316">
        <v>316</v>
      </c>
      <c r="O316">
        <f t="shared" si="29"/>
        <v>3.7875751503006061</v>
      </c>
      <c r="P316">
        <f>[1]!XLSTAT_PDFPoisson(O316,1)</f>
        <v>6.1313240195240384E-2</v>
      </c>
    </row>
    <row r="317" spans="1:16" x14ac:dyDescent="0.3">
      <c r="A317">
        <v>317</v>
      </c>
      <c r="B317">
        <f t="shared" si="24"/>
        <v>14.896000000000001</v>
      </c>
      <c r="C317">
        <f t="shared" si="25"/>
        <v>14.896000000000001</v>
      </c>
      <c r="D317">
        <f>[1]!XLSTAT_PDFGeneral(B317,14, 16, 1)</f>
        <v>0.21689399801423567</v>
      </c>
      <c r="E317">
        <v>317</v>
      </c>
      <c r="G317">
        <f t="shared" si="26"/>
        <v>17.066132264529053</v>
      </c>
      <c r="H317">
        <f>[1]!XLSTAT_PDFNormal(G317,16,1)</f>
        <v>0.22599158024892285</v>
      </c>
      <c r="I317">
        <v>317</v>
      </c>
      <c r="J317">
        <f t="shared" si="27"/>
        <v>10.788</v>
      </c>
      <c r="K317">
        <f t="shared" si="28"/>
        <v>10.788</v>
      </c>
      <c r="L317">
        <f>[1]!XLSTAT_PDFGeneral(J317,17, 1)</f>
        <v>1.0137771196302974E-7</v>
      </c>
      <c r="M317">
        <v>317</v>
      </c>
      <c r="O317">
        <f t="shared" si="29"/>
        <v>3.7995991983967983</v>
      </c>
      <c r="P317">
        <f>[1]!XLSTAT_PDFPoisson(O317,1)</f>
        <v>6.1313240195240384E-2</v>
      </c>
    </row>
    <row r="318" spans="1:16" x14ac:dyDescent="0.3">
      <c r="A318">
        <v>318</v>
      </c>
      <c r="B318">
        <f t="shared" si="24"/>
        <v>-123456789</v>
      </c>
      <c r="C318">
        <f t="shared" si="25"/>
        <v>14.896000000000001</v>
      </c>
      <c r="D318">
        <f>[1]!XLSTAT_PDFGeneral(B318,14, 16, 1)</f>
        <v>0</v>
      </c>
      <c r="E318">
        <v>318</v>
      </c>
      <c r="G318">
        <f t="shared" si="26"/>
        <v>17.08216432865731</v>
      </c>
      <c r="H318">
        <f>[1]!XLSTAT_PDFNormal(G318,16,1)</f>
        <v>0.22213313929634795</v>
      </c>
      <c r="I318">
        <v>318</v>
      </c>
      <c r="J318">
        <f t="shared" si="27"/>
        <v>-123456789</v>
      </c>
      <c r="K318">
        <f t="shared" si="28"/>
        <v>10.788</v>
      </c>
      <c r="L318">
        <f>[1]!XLSTAT_PDFGeneral(J318,17, 1)</f>
        <v>0</v>
      </c>
      <c r="M318">
        <v>318</v>
      </c>
      <c r="O318">
        <f t="shared" si="29"/>
        <v>3.8116232464929909</v>
      </c>
      <c r="P318">
        <f>[1]!XLSTAT_PDFPoisson(O318,1)</f>
        <v>6.1313240195240384E-2</v>
      </c>
    </row>
    <row r="319" spans="1:16" x14ac:dyDescent="0.3">
      <c r="A319">
        <v>319</v>
      </c>
      <c r="B319">
        <f t="shared" si="24"/>
        <v>-123456789</v>
      </c>
      <c r="C319">
        <f t="shared" si="25"/>
        <v>14.907999999999999</v>
      </c>
      <c r="D319">
        <f>[1]!XLSTAT_PDFGeneral(B319,14, 16, 1)</f>
        <v>0</v>
      </c>
      <c r="E319">
        <v>319</v>
      </c>
      <c r="G319">
        <f t="shared" si="26"/>
        <v>17.098196392785567</v>
      </c>
      <c r="H319">
        <f>[1]!XLSTAT_PDFNormal(G319,16,1)</f>
        <v>0.21828446275747909</v>
      </c>
      <c r="I319">
        <v>319</v>
      </c>
      <c r="J319">
        <f t="shared" si="27"/>
        <v>-123456789</v>
      </c>
      <c r="K319">
        <f t="shared" si="28"/>
        <v>10.774000000000001</v>
      </c>
      <c r="L319">
        <f>[1]!XLSTAT_PDFGeneral(J319,17, 1)</f>
        <v>0</v>
      </c>
      <c r="M319">
        <v>319</v>
      </c>
      <c r="O319">
        <f t="shared" si="29"/>
        <v>3.8236472945891831</v>
      </c>
      <c r="P319">
        <f>[1]!XLSTAT_PDFPoisson(O319,1)</f>
        <v>6.1313240195240384E-2</v>
      </c>
    </row>
    <row r="320" spans="1:16" x14ac:dyDescent="0.3">
      <c r="A320">
        <v>320</v>
      </c>
      <c r="B320">
        <f t="shared" si="24"/>
        <v>14.907999999999999</v>
      </c>
      <c r="C320">
        <f t="shared" si="25"/>
        <v>14.907999999999999</v>
      </c>
      <c r="D320">
        <f>[1]!XLSTAT_PDFGeneral(B320,14, 16, 1)</f>
        <v>0.21977070344958854</v>
      </c>
      <c r="E320">
        <v>320</v>
      </c>
      <c r="G320">
        <f t="shared" si="26"/>
        <v>17.114228456913825</v>
      </c>
      <c r="H320">
        <f>[1]!XLSTAT_PDFNormal(G320,16,1)</f>
        <v>0.21444734249122546</v>
      </c>
      <c r="I320">
        <v>320</v>
      </c>
      <c r="J320">
        <f t="shared" si="27"/>
        <v>10.774000000000001</v>
      </c>
      <c r="K320">
        <f t="shared" si="28"/>
        <v>10.774000000000001</v>
      </c>
      <c r="L320">
        <f>[1]!XLSTAT_PDFGeneral(J320,17, 1)</f>
        <v>1.0137771196302974E-7</v>
      </c>
      <c r="M320">
        <v>320</v>
      </c>
      <c r="O320">
        <f t="shared" si="29"/>
        <v>3.8356713426853757</v>
      </c>
      <c r="P320">
        <f>[1]!XLSTAT_PDFPoisson(O320,1)</f>
        <v>6.1313240195240384E-2</v>
      </c>
    </row>
    <row r="321" spans="1:16" x14ac:dyDescent="0.3">
      <c r="A321">
        <v>321</v>
      </c>
      <c r="B321">
        <f t="shared" ref="B321:B384" si="30">IF(-1^(INT(A321/2)+2)&gt;0,13+2*INT(A321/2-1/2)*0.006,-123456789)</f>
        <v>14.92</v>
      </c>
      <c r="C321">
        <f t="shared" ref="C321:C384" si="31">13+2*INT(A321/2-1/2)*0.006</f>
        <v>14.92</v>
      </c>
      <c r="D321">
        <f>[1]!XLSTAT_PDFGeneral(B321,14, 16, 1)</f>
        <v>0.22265349875176116</v>
      </c>
      <c r="E321">
        <v>321</v>
      </c>
      <c r="G321">
        <f t="shared" ref="G321:G384" si="32">12+(E321-1)*0.0160320641282565</f>
        <v>17.130260521042082</v>
      </c>
      <c r="H321">
        <f>[1]!XLSTAT_PDFNormal(G321,16,1)</f>
        <v>0.21062353025496405</v>
      </c>
      <c r="I321">
        <v>321</v>
      </c>
      <c r="J321">
        <f t="shared" ref="J321:J384" si="33">IF(-1^(INT(I321/2)+2)&gt;0,13+2*INT(I321/2-1/2)*-0.007,-123456789)</f>
        <v>10.76</v>
      </c>
      <c r="K321">
        <f t="shared" ref="K321:K384" si="34">13+2*INT(I321/2-1/2)*-0.007</f>
        <v>10.76</v>
      </c>
      <c r="L321">
        <f>[1]!XLSTAT_PDFGeneral(J321,17, 1)</f>
        <v>1.0137771196302974E-7</v>
      </c>
      <c r="M321">
        <v>321</v>
      </c>
      <c r="O321">
        <f t="shared" ref="O321:O384" si="35">0+(M321-1)*0.0120240480961924</f>
        <v>3.8476953907815679</v>
      </c>
      <c r="P321">
        <f>[1]!XLSTAT_PDFPoisson(O321,1)</f>
        <v>6.1313240195240384E-2</v>
      </c>
    </row>
    <row r="322" spans="1:16" x14ac:dyDescent="0.3">
      <c r="A322">
        <v>322</v>
      </c>
      <c r="B322">
        <f t="shared" si="30"/>
        <v>-123456789</v>
      </c>
      <c r="C322">
        <f t="shared" si="31"/>
        <v>14.92</v>
      </c>
      <c r="D322">
        <f>[1]!XLSTAT_PDFGeneral(B322,14, 16, 1)</f>
        <v>0</v>
      </c>
      <c r="E322">
        <v>322</v>
      </c>
      <c r="G322">
        <f t="shared" si="32"/>
        <v>17.146292585170336</v>
      </c>
      <c r="H322">
        <f>[1]!XLSTAT_PDFNormal(G322,16,1)</f>
        <v>0.20681473662462949</v>
      </c>
      <c r="I322">
        <v>322</v>
      </c>
      <c r="J322">
        <f t="shared" si="33"/>
        <v>-123456789</v>
      </c>
      <c r="K322">
        <f t="shared" si="34"/>
        <v>10.76</v>
      </c>
      <c r="L322">
        <f>[1]!XLSTAT_PDFGeneral(J322,17, 1)</f>
        <v>0</v>
      </c>
      <c r="M322">
        <v>322</v>
      </c>
      <c r="O322">
        <f t="shared" si="35"/>
        <v>3.8597194388777605</v>
      </c>
      <c r="P322">
        <f>[1]!XLSTAT_PDFPoisson(O322,1)</f>
        <v>6.1313240195240384E-2</v>
      </c>
    </row>
    <row r="323" spans="1:16" x14ac:dyDescent="0.3">
      <c r="A323">
        <v>323</v>
      </c>
      <c r="B323">
        <f t="shared" si="30"/>
        <v>-123456789</v>
      </c>
      <c r="C323">
        <f t="shared" si="31"/>
        <v>14.932</v>
      </c>
      <c r="D323">
        <f>[1]!XLSTAT_PDFGeneral(B323,14, 16, 1)</f>
        <v>0</v>
      </c>
      <c r="E323">
        <v>323</v>
      </c>
      <c r="G323">
        <f t="shared" si="32"/>
        <v>17.162324649298593</v>
      </c>
      <c r="H323">
        <f>[1]!XLSTAT_PDFNormal(G323,16,1)</f>
        <v>0.20302262998635842</v>
      </c>
      <c r="I323">
        <v>323</v>
      </c>
      <c r="J323">
        <f t="shared" si="33"/>
        <v>-123456789</v>
      </c>
      <c r="K323">
        <f t="shared" si="34"/>
        <v>10.746</v>
      </c>
      <c r="L323">
        <f>[1]!XLSTAT_PDFGeneral(J323,17, 1)</f>
        <v>0</v>
      </c>
      <c r="M323">
        <v>323</v>
      </c>
      <c r="O323">
        <f t="shared" si="35"/>
        <v>3.8717434869739531</v>
      </c>
      <c r="P323">
        <f>[1]!XLSTAT_PDFPoisson(O323,1)</f>
        <v>6.1313240195240384E-2</v>
      </c>
    </row>
    <row r="324" spans="1:16" x14ac:dyDescent="0.3">
      <c r="A324">
        <v>324</v>
      </c>
      <c r="B324">
        <f t="shared" si="30"/>
        <v>14.932</v>
      </c>
      <c r="C324">
        <f t="shared" si="31"/>
        <v>14.932</v>
      </c>
      <c r="D324">
        <f>[1]!XLSTAT_PDFGeneral(B324,14, 16, 1)</f>
        <v>0.22554162817312015</v>
      </c>
      <c r="E324">
        <v>324</v>
      </c>
      <c r="G324">
        <f t="shared" si="32"/>
        <v>17.178356713426851</v>
      </c>
      <c r="H324">
        <f>[1]!XLSTAT_PDFNormal(G324,16,1)</f>
        <v>0.19924883559996634</v>
      </c>
      <c r="I324">
        <v>324</v>
      </c>
      <c r="J324">
        <f t="shared" si="33"/>
        <v>10.746</v>
      </c>
      <c r="K324">
        <f t="shared" si="34"/>
        <v>10.746</v>
      </c>
      <c r="L324">
        <f>[1]!XLSTAT_PDFGeneral(J324,17, 1)</f>
        <v>1.0137771196302974E-7</v>
      </c>
      <c r="M324">
        <v>324</v>
      </c>
      <c r="O324">
        <f t="shared" si="35"/>
        <v>3.8837675350701453</v>
      </c>
      <c r="P324">
        <f>[1]!XLSTAT_PDFPoisson(O324,1)</f>
        <v>6.1313240195240384E-2</v>
      </c>
    </row>
    <row r="325" spans="1:16" x14ac:dyDescent="0.3">
      <c r="A325">
        <v>325</v>
      </c>
      <c r="B325">
        <f t="shared" si="30"/>
        <v>14.943999999999999</v>
      </c>
      <c r="C325">
        <f t="shared" si="31"/>
        <v>14.943999999999999</v>
      </c>
      <c r="D325">
        <f>[1]!XLSTAT_PDFGeneral(B325,14, 16, 1)</f>
        <v>0.22843432378901582</v>
      </c>
      <c r="E325">
        <v>325</v>
      </c>
      <c r="G325">
        <f t="shared" si="32"/>
        <v>17.194388777555105</v>
      </c>
      <c r="H325">
        <f>[1]!XLSTAT_PDFNormal(G325,16,1)</f>
        <v>0.19549493473437324</v>
      </c>
      <c r="I325">
        <v>325</v>
      </c>
      <c r="J325">
        <f t="shared" si="33"/>
        <v>10.731999999999999</v>
      </c>
      <c r="K325">
        <f t="shared" si="34"/>
        <v>10.731999999999999</v>
      </c>
      <c r="L325">
        <f>[1]!XLSTAT_PDFGeneral(J325,17, 1)</f>
        <v>1.0137771196302974E-7</v>
      </c>
      <c r="M325">
        <v>325</v>
      </c>
      <c r="O325">
        <f t="shared" si="35"/>
        <v>3.8957915831663379</v>
      </c>
      <c r="P325">
        <f>[1]!XLSTAT_PDFPoisson(O325,1)</f>
        <v>6.1313240195240384E-2</v>
      </c>
    </row>
    <row r="326" spans="1:16" x14ac:dyDescent="0.3">
      <c r="A326">
        <v>326</v>
      </c>
      <c r="B326">
        <f t="shared" si="30"/>
        <v>-123456789</v>
      </c>
      <c r="C326">
        <f t="shared" si="31"/>
        <v>14.943999999999999</v>
      </c>
      <c r="D326">
        <f>[1]!XLSTAT_PDFGeneral(B326,14, 16, 1)</f>
        <v>0</v>
      </c>
      <c r="E326">
        <v>326</v>
      </c>
      <c r="G326">
        <f t="shared" si="32"/>
        <v>17.210420841683362</v>
      </c>
      <c r="H326">
        <f>[1]!XLSTAT_PDFNormal(G326,16,1)</f>
        <v>0.19176246387498655</v>
      </c>
      <c r="I326">
        <v>326</v>
      </c>
      <c r="J326">
        <f t="shared" si="33"/>
        <v>-123456789</v>
      </c>
      <c r="K326">
        <f t="shared" si="34"/>
        <v>10.731999999999999</v>
      </c>
      <c r="L326">
        <f>[1]!XLSTAT_PDFGeneral(J326,17, 1)</f>
        <v>0</v>
      </c>
      <c r="M326">
        <v>326</v>
      </c>
      <c r="O326">
        <f t="shared" si="35"/>
        <v>3.9078156312625301</v>
      </c>
      <c r="P326">
        <f>[1]!XLSTAT_PDFPoisson(O326,1)</f>
        <v>6.1313240195240384E-2</v>
      </c>
    </row>
    <row r="327" spans="1:16" x14ac:dyDescent="0.3">
      <c r="A327">
        <v>327</v>
      </c>
      <c r="B327">
        <f t="shared" si="30"/>
        <v>-123456789</v>
      </c>
      <c r="C327">
        <f t="shared" si="31"/>
        <v>14.956</v>
      </c>
      <c r="D327">
        <f>[1]!XLSTAT_PDFGeneral(B327,14, 16, 1)</f>
        <v>0</v>
      </c>
      <c r="E327">
        <v>327</v>
      </c>
      <c r="G327">
        <f t="shared" si="32"/>
        <v>17.22645290581162</v>
      </c>
      <c r="H327">
        <f>[1]!XLSTAT_PDFNormal(G327,16,1)</f>
        <v>0.18805291400292243</v>
      </c>
      <c r="I327">
        <v>327</v>
      </c>
      <c r="J327">
        <f t="shared" si="33"/>
        <v>-123456789</v>
      </c>
      <c r="K327">
        <f t="shared" si="34"/>
        <v>10.718</v>
      </c>
      <c r="L327">
        <f>[1]!XLSTAT_PDFGeneral(J327,17, 1)</f>
        <v>0</v>
      </c>
      <c r="M327">
        <v>327</v>
      </c>
      <c r="O327">
        <f t="shared" si="35"/>
        <v>3.9198396793587227</v>
      </c>
      <c r="P327">
        <f>[1]!XLSTAT_PDFPoisson(O327,1)</f>
        <v>6.1313240195240384E-2</v>
      </c>
    </row>
    <row r="328" spans="1:16" x14ac:dyDescent="0.3">
      <c r="A328">
        <v>328</v>
      </c>
      <c r="B328">
        <f t="shared" si="30"/>
        <v>14.956</v>
      </c>
      <c r="C328">
        <f t="shared" si="31"/>
        <v>14.956</v>
      </c>
      <c r="D328">
        <f>[1]!XLSTAT_PDFGeneral(B328,14, 16, 1)</f>
        <v>0.2313308057849767</v>
      </c>
      <c r="E328">
        <v>328</v>
      </c>
      <c r="G328">
        <f t="shared" si="32"/>
        <v>17.242484969939877</v>
      </c>
      <c r="H328">
        <f>[1]!XLSTAT_PDFNormal(G328,16,1)</f>
        <v>0.18436772994579759</v>
      </c>
      <c r="I328">
        <v>328</v>
      </c>
      <c r="J328">
        <f t="shared" si="33"/>
        <v>10.718</v>
      </c>
      <c r="K328">
        <f t="shared" si="34"/>
        <v>10.718</v>
      </c>
      <c r="L328">
        <f>[1]!XLSTAT_PDFGeneral(J328,17, 1)</f>
        <v>1.0137771196302974E-7</v>
      </c>
      <c r="M328">
        <v>328</v>
      </c>
      <c r="O328">
        <f t="shared" si="35"/>
        <v>3.9318637274549149</v>
      </c>
      <c r="P328">
        <f>[1]!XLSTAT_PDFPoisson(O328,1)</f>
        <v>6.1313240195240384E-2</v>
      </c>
    </row>
    <row r="329" spans="1:16" x14ac:dyDescent="0.3">
      <c r="A329">
        <v>329</v>
      </c>
      <c r="B329">
        <f t="shared" si="30"/>
        <v>14.968</v>
      </c>
      <c r="C329">
        <f t="shared" si="31"/>
        <v>14.968</v>
      </c>
      <c r="D329">
        <f>[1]!XLSTAT_PDFGeneral(B329,14, 16, 1)</f>
        <v>0.23423028275621952</v>
      </c>
      <c r="E329">
        <v>329</v>
      </c>
      <c r="G329">
        <f t="shared" si="32"/>
        <v>17.258517034068134</v>
      </c>
      <c r="H329">
        <f>[1]!XLSTAT_PDFNormal(G329,16,1)</f>
        <v>0.1807083097997278</v>
      </c>
      <c r="I329">
        <v>329</v>
      </c>
      <c r="J329">
        <f t="shared" si="33"/>
        <v>10.704000000000001</v>
      </c>
      <c r="K329">
        <f t="shared" si="34"/>
        <v>10.704000000000001</v>
      </c>
      <c r="L329">
        <f>[1]!XLSTAT_PDFGeneral(J329,17, 1)</f>
        <v>1.0137771196302974E-7</v>
      </c>
      <c r="M329">
        <v>329</v>
      </c>
      <c r="O329">
        <f t="shared" si="35"/>
        <v>3.9438877755511075</v>
      </c>
      <c r="P329">
        <f>[1]!XLSTAT_PDFPoisson(O329,1)</f>
        <v>6.1313240195240384E-2</v>
      </c>
    </row>
    <row r="330" spans="1:16" x14ac:dyDescent="0.3">
      <c r="A330">
        <v>330</v>
      </c>
      <c r="B330">
        <f t="shared" si="30"/>
        <v>-123456789</v>
      </c>
      <c r="C330">
        <f t="shared" si="31"/>
        <v>14.968</v>
      </c>
      <c r="D330">
        <f>[1]!XLSTAT_PDFGeneral(B330,14, 16, 1)</f>
        <v>0</v>
      </c>
      <c r="E330">
        <v>330</v>
      </c>
      <c r="G330">
        <f t="shared" si="32"/>
        <v>17.274549098196388</v>
      </c>
      <c r="H330">
        <f>[1]!XLSTAT_PDFNormal(G330,16,1)</f>
        <v>0.17707600442203592</v>
      </c>
      <c r="I330">
        <v>330</v>
      </c>
      <c r="J330">
        <f t="shared" si="33"/>
        <v>-123456789</v>
      </c>
      <c r="K330">
        <f t="shared" si="34"/>
        <v>10.704000000000001</v>
      </c>
      <c r="L330">
        <f>[1]!XLSTAT_PDFGeneral(J330,17, 1)</f>
        <v>0</v>
      </c>
      <c r="M330">
        <v>330</v>
      </c>
      <c r="O330">
        <f t="shared" si="35"/>
        <v>3.9559118236472997</v>
      </c>
      <c r="P330">
        <f>[1]!XLSTAT_PDFPoisson(O330,1)</f>
        <v>6.1313240195240384E-2</v>
      </c>
    </row>
    <row r="331" spans="1:16" x14ac:dyDescent="0.3">
      <c r="A331">
        <v>331</v>
      </c>
      <c r="B331">
        <f t="shared" si="30"/>
        <v>-123456789</v>
      </c>
      <c r="C331">
        <f t="shared" si="31"/>
        <v>14.98</v>
      </c>
      <c r="D331">
        <f>[1]!XLSTAT_PDFGeneral(B331,14, 16, 1)</f>
        <v>0</v>
      </c>
      <c r="E331">
        <v>331</v>
      </c>
      <c r="G331">
        <f t="shared" si="32"/>
        <v>17.290581162324646</v>
      </c>
      <c r="H331">
        <f>[1]!XLSTAT_PDFNormal(G331,16,1)</f>
        <v>0.17347211699405266</v>
      </c>
      <c r="I331">
        <v>331</v>
      </c>
      <c r="J331">
        <f t="shared" si="33"/>
        <v>-123456789</v>
      </c>
      <c r="K331">
        <f t="shared" si="34"/>
        <v>10.69</v>
      </c>
      <c r="L331">
        <f>[1]!XLSTAT_PDFGeneral(J331,17, 1)</f>
        <v>0</v>
      </c>
      <c r="M331">
        <v>331</v>
      </c>
      <c r="O331">
        <f t="shared" si="35"/>
        <v>3.9679358717434923</v>
      </c>
      <c r="P331">
        <f>[1]!XLSTAT_PDFPoisson(O331,1)</f>
        <v>6.1313240195240384E-2</v>
      </c>
    </row>
    <row r="332" spans="1:16" x14ac:dyDescent="0.3">
      <c r="A332">
        <v>332</v>
      </c>
      <c r="B332">
        <f t="shared" si="30"/>
        <v>14.98</v>
      </c>
      <c r="C332">
        <f t="shared" si="31"/>
        <v>14.98</v>
      </c>
      <c r="D332">
        <f>[1]!XLSTAT_PDFGeneral(B332,14, 16, 1)</f>
        <v>0.2371319520193797</v>
      </c>
      <c r="E332">
        <v>332</v>
      </c>
      <c r="G332">
        <f t="shared" si="32"/>
        <v>17.306613226452903</v>
      </c>
      <c r="H332">
        <f>[1]!XLSTAT_PDFNormal(G332,16,1)</f>
        <v>0.16989790265329938</v>
      </c>
      <c r="I332">
        <v>332</v>
      </c>
      <c r="J332">
        <f t="shared" si="33"/>
        <v>10.69</v>
      </c>
      <c r="K332">
        <f t="shared" si="34"/>
        <v>10.69</v>
      </c>
      <c r="L332">
        <f>[1]!XLSTAT_PDFGeneral(J332,17, 1)</f>
        <v>1.0137771196302974E-7</v>
      </c>
      <c r="M332">
        <v>332</v>
      </c>
      <c r="O332">
        <f t="shared" si="35"/>
        <v>3.9799599198396844</v>
      </c>
      <c r="P332">
        <f>[1]!XLSTAT_PDFPoisson(O332,1)</f>
        <v>6.1313240195240384E-2</v>
      </c>
    </row>
    <row r="333" spans="1:16" x14ac:dyDescent="0.3">
      <c r="A333">
        <v>333</v>
      </c>
      <c r="B333">
        <f t="shared" si="30"/>
        <v>14.992000000000001</v>
      </c>
      <c r="C333">
        <f t="shared" si="31"/>
        <v>14.992000000000001</v>
      </c>
      <c r="D333">
        <f>[1]!XLSTAT_PDFGeneral(B333,14, 16, 1)</f>
        <v>0.24003499993633973</v>
      </c>
      <c r="E333">
        <v>333</v>
      </c>
      <c r="G333">
        <f t="shared" si="32"/>
        <v>17.322645290581157</v>
      </c>
      <c r="H333">
        <f>[1]!XLSTAT_PDFNormal(G333,16,1)</f>
        <v>0.16635456819420474</v>
      </c>
      <c r="I333">
        <v>333</v>
      </c>
      <c r="J333">
        <f t="shared" si="33"/>
        <v>10.676</v>
      </c>
      <c r="K333">
        <f t="shared" si="34"/>
        <v>10.676</v>
      </c>
      <c r="L333">
        <f>[1]!XLSTAT_PDFGeneral(J333,17, 1)</f>
        <v>1.0137771196302974E-7</v>
      </c>
      <c r="M333">
        <v>333</v>
      </c>
      <c r="O333">
        <f t="shared" si="35"/>
        <v>3.9919839679358771</v>
      </c>
      <c r="P333">
        <f>[1]!XLSTAT_PDFPoisson(O333,1)</f>
        <v>6.1313240195240384E-2</v>
      </c>
    </row>
    <row r="334" spans="1:16" x14ac:dyDescent="0.3">
      <c r="A334">
        <v>334</v>
      </c>
      <c r="B334">
        <f t="shared" si="30"/>
        <v>-123456789</v>
      </c>
      <c r="C334">
        <f t="shared" si="31"/>
        <v>14.992000000000001</v>
      </c>
      <c r="D334">
        <f>[1]!XLSTAT_PDFGeneral(B334,14, 16, 1)</f>
        <v>0</v>
      </c>
      <c r="E334">
        <v>334</v>
      </c>
      <c r="G334">
        <f t="shared" si="32"/>
        <v>17.338677354709414</v>
      </c>
      <c r="H334">
        <f>[1]!XLSTAT_PDFNormal(G334,16,1)</f>
        <v>0.16284327183642366</v>
      </c>
      <c r="I334">
        <v>334</v>
      </c>
      <c r="J334">
        <f t="shared" si="33"/>
        <v>-123456789</v>
      </c>
      <c r="K334">
        <f t="shared" si="34"/>
        <v>10.676</v>
      </c>
      <c r="L334">
        <f>[1]!XLSTAT_PDFGeneral(J334,17, 1)</f>
        <v>0</v>
      </c>
      <c r="M334">
        <v>334</v>
      </c>
      <c r="O334">
        <f t="shared" si="35"/>
        <v>4.0040080160320697</v>
      </c>
      <c r="P334">
        <f>[1]!XLSTAT_PDFPoisson(O334,1)</f>
        <v>1.5328310048810096E-2</v>
      </c>
    </row>
    <row r="335" spans="1:16" x14ac:dyDescent="0.3">
      <c r="A335">
        <v>335</v>
      </c>
      <c r="B335">
        <f t="shared" si="30"/>
        <v>-123456789</v>
      </c>
      <c r="C335">
        <f t="shared" si="31"/>
        <v>15.004</v>
      </c>
      <c r="D335">
        <f>[1]!XLSTAT_PDFGeneral(B335,14, 16, 1)</f>
        <v>0</v>
      </c>
      <c r="E335">
        <v>335</v>
      </c>
      <c r="G335">
        <f t="shared" si="32"/>
        <v>17.354709418837672</v>
      </c>
      <c r="H335">
        <f>[1]!XLSTAT_PDFNormal(G335,16,1)</f>
        <v>0.15936512305972722</v>
      </c>
      <c r="I335">
        <v>335</v>
      </c>
      <c r="J335">
        <f t="shared" si="33"/>
        <v>-123456789</v>
      </c>
      <c r="K335">
        <f t="shared" si="34"/>
        <v>10.661999999999999</v>
      </c>
      <c r="L335">
        <f>[1]!XLSTAT_PDFGeneral(J335,17, 1)</f>
        <v>0</v>
      </c>
      <c r="M335">
        <v>335</v>
      </c>
      <c r="O335">
        <f t="shared" si="35"/>
        <v>4.0160320641282619</v>
      </c>
      <c r="P335">
        <f>[1]!XLSTAT_PDFPoisson(O335,1)</f>
        <v>1.5328310048810096E-2</v>
      </c>
    </row>
    <row r="336" spans="1:16" x14ac:dyDescent="0.3">
      <c r="A336">
        <v>336</v>
      </c>
      <c r="B336">
        <f t="shared" si="30"/>
        <v>15.004</v>
      </c>
      <c r="C336">
        <f t="shared" si="31"/>
        <v>15.004</v>
      </c>
      <c r="D336">
        <f>[1]!XLSTAT_PDFGeneral(B336,14, 16, 1)</f>
        <v>0.24293860225002806</v>
      </c>
      <c r="E336">
        <v>336</v>
      </c>
      <c r="G336">
        <f t="shared" si="32"/>
        <v>17.370741482965929</v>
      </c>
      <c r="H336">
        <f>[1]!XLSTAT_PDFNormal(G336,16,1)</f>
        <v>0.15592118250431206</v>
      </c>
      <c r="I336">
        <v>336</v>
      </c>
      <c r="J336">
        <f t="shared" si="33"/>
        <v>10.661999999999999</v>
      </c>
      <c r="K336">
        <f t="shared" si="34"/>
        <v>10.661999999999999</v>
      </c>
      <c r="L336">
        <f>[1]!XLSTAT_PDFGeneral(J336,17, 1)</f>
        <v>1.0137771196302974E-7</v>
      </c>
      <c r="M336">
        <v>336</v>
      </c>
      <c r="O336">
        <f t="shared" si="35"/>
        <v>4.028056112224454</v>
      </c>
      <c r="P336">
        <f>[1]!XLSTAT_PDFPoisson(O336,1)</f>
        <v>1.5328310048810096E-2</v>
      </c>
    </row>
    <row r="337" spans="1:16" x14ac:dyDescent="0.3">
      <c r="A337">
        <v>337</v>
      </c>
      <c r="B337">
        <f t="shared" si="30"/>
        <v>15.016</v>
      </c>
      <c r="C337">
        <f t="shared" si="31"/>
        <v>15.016</v>
      </c>
      <c r="D337">
        <f>[1]!XLSTAT_PDFGeneral(B337,14, 16, 1)</f>
        <v>0.24584192443204719</v>
      </c>
      <c r="E337">
        <v>337</v>
      </c>
      <c r="G337">
        <f t="shared" si="32"/>
        <v>17.386773547094187</v>
      </c>
      <c r="H337">
        <f>[1]!XLSTAT_PDFNormal(G337,16,1)</f>
        <v>0.15251246193531209</v>
      </c>
      <c r="I337">
        <v>337</v>
      </c>
      <c r="J337">
        <f t="shared" si="33"/>
        <v>10.648</v>
      </c>
      <c r="K337">
        <f t="shared" si="34"/>
        <v>10.648</v>
      </c>
      <c r="L337">
        <f>[1]!XLSTAT_PDFGeneral(J337,17, 1)</f>
        <v>1.0137771196302974E-7</v>
      </c>
      <c r="M337">
        <v>337</v>
      </c>
      <c r="O337">
        <f t="shared" si="35"/>
        <v>4.0400801603206462</v>
      </c>
      <c r="P337">
        <f>[1]!XLSTAT_PDFPoisson(O337,1)</f>
        <v>1.5328310048810096E-2</v>
      </c>
    </row>
    <row r="338" spans="1:16" x14ac:dyDescent="0.3">
      <c r="A338">
        <v>338</v>
      </c>
      <c r="B338">
        <f t="shared" si="30"/>
        <v>-123456789</v>
      </c>
      <c r="C338">
        <f t="shared" si="31"/>
        <v>15.016</v>
      </c>
      <c r="D338">
        <f>[1]!XLSTAT_PDFGeneral(B338,14, 16, 1)</f>
        <v>0</v>
      </c>
      <c r="E338">
        <v>338</v>
      </c>
      <c r="G338">
        <f t="shared" si="32"/>
        <v>17.402805611222441</v>
      </c>
      <c r="H338">
        <f>[1]!XLSTAT_PDFNormal(G338,16,1)</f>
        <v>0.14913992427019224</v>
      </c>
      <c r="I338">
        <v>338</v>
      </c>
      <c r="J338">
        <f t="shared" si="33"/>
        <v>-123456789</v>
      </c>
      <c r="K338">
        <f t="shared" si="34"/>
        <v>10.648</v>
      </c>
      <c r="L338">
        <f>[1]!XLSTAT_PDFGeneral(J338,17, 1)</f>
        <v>0</v>
      </c>
      <c r="M338">
        <v>338</v>
      </c>
      <c r="O338">
        <f t="shared" si="35"/>
        <v>4.0521042084168393</v>
      </c>
      <c r="P338">
        <f>[1]!XLSTAT_PDFPoisson(O338,1)</f>
        <v>1.5328310048810096E-2</v>
      </c>
    </row>
    <row r="339" spans="1:16" x14ac:dyDescent="0.3">
      <c r="A339">
        <v>339</v>
      </c>
      <c r="B339">
        <f t="shared" si="30"/>
        <v>-123456789</v>
      </c>
      <c r="C339">
        <f t="shared" si="31"/>
        <v>15.028</v>
      </c>
      <c r="D339">
        <f>[1]!XLSTAT_PDFGeneral(B339,14, 16, 1)</f>
        <v>0</v>
      </c>
      <c r="E339">
        <v>339</v>
      </c>
      <c r="G339">
        <f t="shared" si="32"/>
        <v>17.418837675350698</v>
      </c>
      <c r="H339">
        <f>[1]!XLSTAT_PDFNormal(G339,16,1)</f>
        <v>0.14580448366761931</v>
      </c>
      <c r="I339">
        <v>339</v>
      </c>
      <c r="J339">
        <f t="shared" si="33"/>
        <v>-123456789</v>
      </c>
      <c r="K339">
        <f t="shared" si="34"/>
        <v>10.634</v>
      </c>
      <c r="L339">
        <f>[1]!XLSTAT_PDFGeneral(J339,17, 1)</f>
        <v>0</v>
      </c>
      <c r="M339">
        <v>339</v>
      </c>
      <c r="O339">
        <f t="shared" si="35"/>
        <v>4.0641282565130314</v>
      </c>
      <c r="P339">
        <f>[1]!XLSTAT_PDFPoisson(O339,1)</f>
        <v>1.5328310048810096E-2</v>
      </c>
    </row>
    <row r="340" spans="1:16" x14ac:dyDescent="0.3">
      <c r="A340">
        <v>340</v>
      </c>
      <c r="B340">
        <f t="shared" si="30"/>
        <v>15.028</v>
      </c>
      <c r="C340">
        <f t="shared" si="31"/>
        <v>15.028</v>
      </c>
      <c r="D340">
        <f>[1]!XLSTAT_PDFGeneral(B340,14, 16, 1)</f>
        <v>0.24874412204196633</v>
      </c>
      <c r="E340">
        <v>340</v>
      </c>
      <c r="G340">
        <f t="shared" si="32"/>
        <v>17.434869739478955</v>
      </c>
      <c r="H340">
        <f>[1]!XLSTAT_PDFNormal(G340,16,1)</f>
        <v>0.14250700567634245</v>
      </c>
      <c r="I340">
        <v>340</v>
      </c>
      <c r="J340">
        <f t="shared" si="33"/>
        <v>10.634</v>
      </c>
      <c r="K340">
        <f t="shared" si="34"/>
        <v>10.634</v>
      </c>
      <c r="L340">
        <f>[1]!XLSTAT_PDFGeneral(J340,17, 1)</f>
        <v>1.0137771196302974E-7</v>
      </c>
      <c r="M340">
        <v>340</v>
      </c>
      <c r="O340">
        <f t="shared" si="35"/>
        <v>4.0761523046092236</v>
      </c>
      <c r="P340">
        <f>[1]!XLSTAT_PDFPoisson(O340,1)</f>
        <v>1.5328310048810096E-2</v>
      </c>
    </row>
    <row r="341" spans="1:16" x14ac:dyDescent="0.3">
      <c r="A341">
        <v>341</v>
      </c>
      <c r="B341">
        <f t="shared" si="30"/>
        <v>15.04</v>
      </c>
      <c r="C341">
        <f t="shared" si="31"/>
        <v>15.04</v>
      </c>
      <c r="D341">
        <f>[1]!XLSTAT_PDFGeneral(B341,14, 16, 1)</f>
        <v>0.25164434109811695</v>
      </c>
      <c r="E341">
        <v>341</v>
      </c>
      <c r="G341">
        <f t="shared" si="32"/>
        <v>17.450901803607209</v>
      </c>
      <c r="H341">
        <f>[1]!XLSTAT_PDFNormal(G341,16,1)</f>
        <v>0.13924830744251465</v>
      </c>
      <c r="I341">
        <v>341</v>
      </c>
      <c r="J341">
        <f t="shared" si="33"/>
        <v>10.620000000000001</v>
      </c>
      <c r="K341">
        <f t="shared" si="34"/>
        <v>10.620000000000001</v>
      </c>
      <c r="L341">
        <f>[1]!XLSTAT_PDFGeneral(J341,17, 1)</f>
        <v>1.0137771196302974E-7</v>
      </c>
      <c r="M341">
        <v>341</v>
      </c>
      <c r="O341">
        <f t="shared" si="35"/>
        <v>4.0881763527054158</v>
      </c>
      <c r="P341">
        <f>[1]!XLSTAT_PDFPoisson(O341,1)</f>
        <v>1.5328310048810096E-2</v>
      </c>
    </row>
    <row r="342" spans="1:16" x14ac:dyDescent="0.3">
      <c r="A342">
        <v>342</v>
      </c>
      <c r="B342">
        <f t="shared" si="30"/>
        <v>-123456789</v>
      </c>
      <c r="C342">
        <f t="shared" si="31"/>
        <v>15.04</v>
      </c>
      <c r="D342">
        <f>[1]!XLSTAT_PDFGeneral(B342,14, 16, 1)</f>
        <v>0</v>
      </c>
      <c r="E342">
        <v>342</v>
      </c>
      <c r="G342">
        <f t="shared" si="32"/>
        <v>17.466933867735467</v>
      </c>
      <c r="H342">
        <f>[1]!XLSTAT_PDFNormal(G342,16,1)</f>
        <v>0.13602915797383969</v>
      </c>
      <c r="I342">
        <v>342</v>
      </c>
      <c r="J342">
        <f t="shared" si="33"/>
        <v>-123456789</v>
      </c>
      <c r="K342">
        <f t="shared" si="34"/>
        <v>10.620000000000001</v>
      </c>
      <c r="L342">
        <f>[1]!XLSTAT_PDFGeneral(J342,17, 1)</f>
        <v>0</v>
      </c>
      <c r="M342">
        <v>342</v>
      </c>
      <c r="O342">
        <f t="shared" si="35"/>
        <v>4.1002004008016089</v>
      </c>
      <c r="P342">
        <f>[1]!XLSTAT_PDFPoisson(O342,1)</f>
        <v>1.5328310048810096E-2</v>
      </c>
    </row>
    <row r="343" spans="1:16" x14ac:dyDescent="0.3">
      <c r="A343">
        <v>343</v>
      </c>
      <c r="B343">
        <f t="shared" si="30"/>
        <v>-123456789</v>
      </c>
      <c r="C343">
        <f t="shared" si="31"/>
        <v>15.052</v>
      </c>
      <c r="D343">
        <f>[1]!XLSTAT_PDFGeneral(B343,14, 16, 1)</f>
        <v>0</v>
      </c>
      <c r="E343">
        <v>343</v>
      </c>
      <c r="G343">
        <f t="shared" si="32"/>
        <v>17.482965931863724</v>
      </c>
      <c r="H343">
        <f>[1]!XLSTAT_PDFNormal(G343,16,1)</f>
        <v>0.13285027845886307</v>
      </c>
      <c r="I343">
        <v>343</v>
      </c>
      <c r="J343">
        <f t="shared" si="33"/>
        <v>-123456789</v>
      </c>
      <c r="K343">
        <f t="shared" si="34"/>
        <v>10.606</v>
      </c>
      <c r="L343">
        <f>[1]!XLSTAT_PDFGeneral(J343,17, 1)</f>
        <v>0</v>
      </c>
      <c r="M343">
        <v>343</v>
      </c>
      <c r="O343">
        <f t="shared" si="35"/>
        <v>4.112224448897801</v>
      </c>
      <c r="P343">
        <f>[1]!XLSTAT_PDFPoisson(O343,1)</f>
        <v>1.5328310048810096E-2</v>
      </c>
    </row>
    <row r="344" spans="1:16" x14ac:dyDescent="0.3">
      <c r="A344">
        <v>344</v>
      </c>
      <c r="B344">
        <f t="shared" si="30"/>
        <v>15.052</v>
      </c>
      <c r="C344">
        <f t="shared" si="31"/>
        <v>15.052</v>
      </c>
      <c r="D344">
        <f>[1]!XLSTAT_PDFGeneral(B344,14, 16, 1)</f>
        <v>0.25454171845970119</v>
      </c>
      <c r="E344">
        <v>344</v>
      </c>
      <c r="G344">
        <f t="shared" si="32"/>
        <v>17.498997995991978</v>
      </c>
      <c r="H344">
        <f>[1]!XLSTAT_PDFNormal(G344,16,1)</f>
        <v>0.12971234263964648</v>
      </c>
      <c r="I344">
        <v>344</v>
      </c>
      <c r="J344">
        <f t="shared" si="33"/>
        <v>10.606</v>
      </c>
      <c r="K344">
        <f t="shared" si="34"/>
        <v>10.606</v>
      </c>
      <c r="L344">
        <f>[1]!XLSTAT_PDFGeneral(J344,17, 1)</f>
        <v>1.0137771196302974E-7</v>
      </c>
      <c r="M344">
        <v>344</v>
      </c>
      <c r="O344">
        <f t="shared" si="35"/>
        <v>4.1242484969939932</v>
      </c>
      <c r="P344">
        <f>[1]!XLSTAT_PDFPoisson(O344,1)</f>
        <v>1.5328310048810096E-2</v>
      </c>
    </row>
    <row r="345" spans="1:16" x14ac:dyDescent="0.3">
      <c r="A345">
        <v>345</v>
      </c>
      <c r="B345">
        <f t="shared" si="30"/>
        <v>15.064</v>
      </c>
      <c r="C345">
        <f t="shared" si="31"/>
        <v>15.064</v>
      </c>
      <c r="D345">
        <f>[1]!XLSTAT_PDFGeneral(B345,14, 16, 1)</f>
        <v>0.25743538222001205</v>
      </c>
      <c r="E345">
        <v>345</v>
      </c>
      <c r="G345">
        <f t="shared" si="32"/>
        <v>17.515030060120235</v>
      </c>
      <c r="H345">
        <f>[1]!XLSTAT_PDFNormal(G345,16,1)</f>
        <v>0.12661597723603055</v>
      </c>
      <c r="I345">
        <v>345</v>
      </c>
      <c r="J345">
        <f t="shared" si="33"/>
        <v>10.592000000000001</v>
      </c>
      <c r="K345">
        <f t="shared" si="34"/>
        <v>10.592000000000001</v>
      </c>
      <c r="L345">
        <f>[1]!XLSTAT_PDFGeneral(J345,17, 1)</f>
        <v>1.0137771196302974E-7</v>
      </c>
      <c r="M345">
        <v>345</v>
      </c>
      <c r="O345">
        <f t="shared" si="35"/>
        <v>4.1362725450901854</v>
      </c>
      <c r="P345">
        <f>[1]!XLSTAT_PDFPoisson(O345,1)</f>
        <v>1.5328310048810096E-2</v>
      </c>
    </row>
    <row r="346" spans="1:16" x14ac:dyDescent="0.3">
      <c r="A346">
        <v>346</v>
      </c>
      <c r="B346">
        <f t="shared" si="30"/>
        <v>-123456789</v>
      </c>
      <c r="C346">
        <f t="shared" si="31"/>
        <v>15.064</v>
      </c>
      <c r="D346">
        <f>[1]!XLSTAT_PDFGeneral(B346,14, 16, 1)</f>
        <v>0</v>
      </c>
      <c r="E346">
        <v>346</v>
      </c>
      <c r="G346">
        <f t="shared" si="32"/>
        <v>17.531062124248493</v>
      </c>
      <c r="H346">
        <f>[1]!XLSTAT_PDFNormal(G346,16,1)</f>
        <v>0.12356176241964038</v>
      </c>
      <c r="I346">
        <v>346</v>
      </c>
      <c r="J346">
        <f t="shared" si="33"/>
        <v>-123456789</v>
      </c>
      <c r="K346">
        <f t="shared" si="34"/>
        <v>10.592000000000001</v>
      </c>
      <c r="L346">
        <f>[1]!XLSTAT_PDFGeneral(J346,17, 1)</f>
        <v>0</v>
      </c>
      <c r="M346">
        <v>346</v>
      </c>
      <c r="O346">
        <f t="shared" si="35"/>
        <v>4.1482965931863784</v>
      </c>
      <c r="P346">
        <f>[1]!XLSTAT_PDFPoisson(O346,1)</f>
        <v>1.5328310048810096E-2</v>
      </c>
    </row>
    <row r="347" spans="1:16" x14ac:dyDescent="0.3">
      <c r="A347">
        <v>347</v>
      </c>
      <c r="B347">
        <f t="shared" si="30"/>
        <v>-123456789</v>
      </c>
      <c r="C347">
        <f t="shared" si="31"/>
        <v>15.076000000000001</v>
      </c>
      <c r="D347">
        <f>[1]!XLSTAT_PDFGeneral(B347,14, 16, 1)</f>
        <v>0</v>
      </c>
      <c r="E347">
        <v>347</v>
      </c>
      <c r="G347">
        <f t="shared" si="32"/>
        <v>17.54709418837675</v>
      </c>
      <c r="H347">
        <f>[1]!XLSTAT_PDFNormal(G347,16,1)</f>
        <v>0.12055023233572376</v>
      </c>
      <c r="I347">
        <v>347</v>
      </c>
      <c r="J347">
        <f t="shared" si="33"/>
        <v>-123456789</v>
      </c>
      <c r="K347">
        <f t="shared" si="34"/>
        <v>10.577999999999999</v>
      </c>
      <c r="L347">
        <f>[1]!XLSTAT_PDFGeneral(J347,17, 1)</f>
        <v>0</v>
      </c>
      <c r="M347">
        <v>347</v>
      </c>
      <c r="O347">
        <f t="shared" si="35"/>
        <v>4.1603206412825706</v>
      </c>
      <c r="P347">
        <f>[1]!XLSTAT_PDFPoisson(O347,1)</f>
        <v>1.5328310048810096E-2</v>
      </c>
    </row>
    <row r="348" spans="1:16" x14ac:dyDescent="0.3">
      <c r="A348">
        <v>348</v>
      </c>
      <c r="B348">
        <f t="shared" si="30"/>
        <v>15.076000000000001</v>
      </c>
      <c r="C348">
        <f t="shared" si="31"/>
        <v>15.076000000000001</v>
      </c>
      <c r="D348">
        <f>[1]!XLSTAT_PDFGeneral(B348,14, 16, 1)</f>
        <v>0.26032445211056043</v>
      </c>
      <c r="E348">
        <v>348</v>
      </c>
      <c r="G348">
        <f t="shared" si="32"/>
        <v>17.563126252505008</v>
      </c>
      <c r="H348">
        <f>[1]!XLSTAT_PDFNormal(G348,16,1)</f>
        <v>0.1175818756708952</v>
      </c>
      <c r="I348">
        <v>348</v>
      </c>
      <c r="J348">
        <f t="shared" si="33"/>
        <v>10.577999999999999</v>
      </c>
      <c r="K348">
        <f t="shared" si="34"/>
        <v>10.577999999999999</v>
      </c>
      <c r="L348">
        <f>[1]!XLSTAT_PDFGeneral(J348,17, 1)</f>
        <v>1.0137771196302974E-7</v>
      </c>
      <c r="M348">
        <v>348</v>
      </c>
      <c r="O348">
        <f t="shared" si="35"/>
        <v>4.1723446893787628</v>
      </c>
      <c r="P348">
        <f>[1]!XLSTAT_PDFPoisson(O348,1)</f>
        <v>1.5328310048810096E-2</v>
      </c>
    </row>
    <row r="349" spans="1:16" x14ac:dyDescent="0.3">
      <c r="A349">
        <v>349</v>
      </c>
      <c r="B349">
        <f t="shared" si="30"/>
        <v>15.088000000000001</v>
      </c>
      <c r="C349">
        <f t="shared" si="31"/>
        <v>15.088000000000001</v>
      </c>
      <c r="D349">
        <f>[1]!XLSTAT_PDFGeneral(B349,14, 16, 1)</f>
        <v>0.26320803991587732</v>
      </c>
      <c r="E349">
        <v>349</v>
      </c>
      <c r="G349">
        <f t="shared" si="32"/>
        <v>17.579158316633261</v>
      </c>
      <c r="H349">
        <f>[1]!XLSTAT_PDFNormal(G349,16,1)</f>
        <v>0.11465713626481175</v>
      </c>
      <c r="I349">
        <v>349</v>
      </c>
      <c r="J349">
        <f t="shared" si="33"/>
        <v>10.564</v>
      </c>
      <c r="K349">
        <f t="shared" si="34"/>
        <v>10.564</v>
      </c>
      <c r="L349">
        <f>[1]!XLSTAT_PDFGeneral(J349,17, 1)</f>
        <v>1.0137771196302974E-7</v>
      </c>
      <c r="M349">
        <v>349</v>
      </c>
      <c r="O349">
        <f t="shared" si="35"/>
        <v>4.184368737474955</v>
      </c>
      <c r="P349">
        <f>[1]!XLSTAT_PDFPoisson(O349,1)</f>
        <v>1.5328310048810096E-2</v>
      </c>
    </row>
    <row r="350" spans="1:16" x14ac:dyDescent="0.3">
      <c r="A350">
        <v>350</v>
      </c>
      <c r="B350">
        <f t="shared" si="30"/>
        <v>-123456789</v>
      </c>
      <c r="C350">
        <f t="shared" si="31"/>
        <v>15.088000000000001</v>
      </c>
      <c r="D350">
        <f>[1]!XLSTAT_PDFGeneral(B350,14, 16, 1)</f>
        <v>0</v>
      </c>
      <c r="E350">
        <v>350</v>
      </c>
      <c r="G350">
        <f t="shared" si="32"/>
        <v>17.595190380761519</v>
      </c>
      <c r="H350">
        <f>[1]!XLSTAT_PDFNormal(G350,16,1)</f>
        <v>0.1117764137637738</v>
      </c>
      <c r="I350">
        <v>350</v>
      </c>
      <c r="J350">
        <f t="shared" si="33"/>
        <v>-123456789</v>
      </c>
      <c r="K350">
        <f t="shared" si="34"/>
        <v>10.564</v>
      </c>
      <c r="L350">
        <f>[1]!XLSTAT_PDFGeneral(J350,17, 1)</f>
        <v>0</v>
      </c>
      <c r="M350">
        <v>350</v>
      </c>
      <c r="O350">
        <f t="shared" si="35"/>
        <v>4.196392785571148</v>
      </c>
      <c r="P350">
        <f>[1]!XLSTAT_PDFPoisson(O350,1)</f>
        <v>1.5328310048810096E-2</v>
      </c>
    </row>
    <row r="351" spans="1:16" x14ac:dyDescent="0.3">
      <c r="A351">
        <v>351</v>
      </c>
      <c r="B351">
        <f t="shared" si="30"/>
        <v>-123456789</v>
      </c>
      <c r="C351">
        <f t="shared" si="31"/>
        <v>15.1</v>
      </c>
      <c r="D351">
        <f>[1]!XLSTAT_PDFGeneral(B351,14, 16, 1)</f>
        <v>0</v>
      </c>
      <c r="E351">
        <v>351</v>
      </c>
      <c r="G351">
        <f t="shared" si="32"/>
        <v>17.611222444889776</v>
      </c>
      <c r="H351">
        <f>[1]!XLSTAT_PDFNormal(G351,16,1)</f>
        <v>0.10894006431423413</v>
      </c>
      <c r="I351">
        <v>351</v>
      </c>
      <c r="J351">
        <f t="shared" si="33"/>
        <v>-123456789</v>
      </c>
      <c r="K351">
        <f t="shared" si="34"/>
        <v>10.55</v>
      </c>
      <c r="L351">
        <f>[1]!XLSTAT_PDFGeneral(J351,17, 1)</f>
        <v>0</v>
      </c>
      <c r="M351">
        <v>351</v>
      </c>
      <c r="O351">
        <f t="shared" si="35"/>
        <v>4.2084168336673402</v>
      </c>
      <c r="P351">
        <f>[1]!XLSTAT_PDFPoisson(O351,1)</f>
        <v>1.5328310048810096E-2</v>
      </c>
    </row>
    <row r="352" spans="1:16" x14ac:dyDescent="0.3">
      <c r="A352">
        <v>352</v>
      </c>
      <c r="B352">
        <f t="shared" si="30"/>
        <v>15.1</v>
      </c>
      <c r="C352">
        <f t="shared" si="31"/>
        <v>15.1</v>
      </c>
      <c r="D352">
        <f>[1]!XLSTAT_PDFGeneral(B352,14, 16, 1)</f>
        <v>0.26608524989875476</v>
      </c>
      <c r="E352">
        <v>352</v>
      </c>
      <c r="G352">
        <f t="shared" si="32"/>
        <v>17.62725450901803</v>
      </c>
      <c r="H352">
        <f>[1]!XLSTAT_PDFNormal(G352,16,1)</f>
        <v>0.10614840129415438</v>
      </c>
      <c r="I352">
        <v>352</v>
      </c>
      <c r="J352">
        <f t="shared" si="33"/>
        <v>10.55</v>
      </c>
      <c r="K352">
        <f t="shared" si="34"/>
        <v>10.55</v>
      </c>
      <c r="L352">
        <f>[1]!XLSTAT_PDFGeneral(J352,17, 1)</f>
        <v>1.0137771196302974E-7</v>
      </c>
      <c r="M352">
        <v>352</v>
      </c>
      <c r="O352">
        <f t="shared" si="35"/>
        <v>4.2204408817635324</v>
      </c>
      <c r="P352">
        <f>[1]!XLSTAT_PDFPoisson(O352,1)</f>
        <v>1.5328310048810096E-2</v>
      </c>
    </row>
    <row r="353" spans="1:16" x14ac:dyDescent="0.3">
      <c r="A353">
        <v>353</v>
      </c>
      <c r="B353">
        <f t="shared" si="30"/>
        <v>15.112</v>
      </c>
      <c r="C353">
        <f t="shared" si="31"/>
        <v>15.112</v>
      </c>
      <c r="D353">
        <f>[1]!XLSTAT_PDFGeneral(B353,14, 16, 1)</f>
        <v>0.26895517923567464</v>
      </c>
      <c r="E353">
        <v>353</v>
      </c>
      <c r="G353">
        <f t="shared" si="32"/>
        <v>17.643286573146288</v>
      </c>
      <c r="H353">
        <f>[1]!XLSTAT_PDFNormal(G353,16,1)</f>
        <v>0.10340169608015021</v>
      </c>
      <c r="I353">
        <v>353</v>
      </c>
      <c r="J353">
        <f t="shared" si="33"/>
        <v>10.536</v>
      </c>
      <c r="K353">
        <f t="shared" si="34"/>
        <v>10.536</v>
      </c>
      <c r="L353">
        <f>[1]!XLSTAT_PDFGeneral(J353,17, 1)</f>
        <v>1.0137771196302974E-7</v>
      </c>
      <c r="M353">
        <v>353</v>
      </c>
      <c r="O353">
        <f t="shared" si="35"/>
        <v>4.2324649298597246</v>
      </c>
      <c r="P353">
        <f>[1]!XLSTAT_PDFPoisson(O353,1)</f>
        <v>1.5328310048810096E-2</v>
      </c>
    </row>
    <row r="354" spans="1:16" x14ac:dyDescent="0.3">
      <c r="A354">
        <v>354</v>
      </c>
      <c r="B354">
        <f t="shared" si="30"/>
        <v>-123456789</v>
      </c>
      <c r="C354">
        <f t="shared" si="31"/>
        <v>15.112</v>
      </c>
      <c r="D354">
        <f>[1]!XLSTAT_PDFGeneral(B354,14, 16, 1)</f>
        <v>0</v>
      </c>
      <c r="E354">
        <v>354</v>
      </c>
      <c r="G354">
        <f t="shared" si="32"/>
        <v>17.659318637274545</v>
      </c>
      <c r="H354">
        <f>[1]!XLSTAT_PDFNormal(G354,16,1)</f>
        <v>0.10070017884835569</v>
      </c>
      <c r="I354">
        <v>354</v>
      </c>
      <c r="J354">
        <f t="shared" si="33"/>
        <v>-123456789</v>
      </c>
      <c r="K354">
        <f t="shared" si="34"/>
        <v>10.536</v>
      </c>
      <c r="L354">
        <f>[1]!XLSTAT_PDFGeneral(J354,17, 1)</f>
        <v>0</v>
      </c>
      <c r="M354">
        <v>354</v>
      </c>
      <c r="O354">
        <f t="shared" si="35"/>
        <v>4.2444889779559176</v>
      </c>
      <c r="P354">
        <f>[1]!XLSTAT_PDFPoisson(O354,1)</f>
        <v>1.5328310048810096E-2</v>
      </c>
    </row>
    <row r="355" spans="1:16" x14ac:dyDescent="0.3">
      <c r="A355">
        <v>355</v>
      </c>
      <c r="B355">
        <f t="shared" si="30"/>
        <v>-123456789</v>
      </c>
      <c r="C355">
        <f t="shared" si="31"/>
        <v>15.124000000000001</v>
      </c>
      <c r="D355">
        <f>[1]!XLSTAT_PDFGeneral(B355,14, 16, 1)</f>
        <v>0</v>
      </c>
      <c r="E355">
        <v>355</v>
      </c>
      <c r="G355">
        <f t="shared" si="32"/>
        <v>17.675350701402802</v>
      </c>
      <c r="H355">
        <f>[1]!XLSTAT_PDFNormal(G355,16,1)</f>
        <v>9.8044039406911587E-2</v>
      </c>
      <c r="I355">
        <v>355</v>
      </c>
      <c r="J355">
        <f t="shared" si="33"/>
        <v>-123456789</v>
      </c>
      <c r="K355">
        <f t="shared" si="34"/>
        <v>10.522</v>
      </c>
      <c r="L355">
        <f>[1]!XLSTAT_PDFGeneral(J355,17, 1)</f>
        <v>0</v>
      </c>
      <c r="M355">
        <v>355</v>
      </c>
      <c r="O355">
        <f t="shared" si="35"/>
        <v>4.2565130260521098</v>
      </c>
      <c r="P355">
        <f>[1]!XLSTAT_PDFPoisson(O355,1)</f>
        <v>1.5328310048810096E-2</v>
      </c>
    </row>
    <row r="356" spans="1:16" x14ac:dyDescent="0.3">
      <c r="A356">
        <v>356</v>
      </c>
      <c r="B356">
        <f t="shared" si="30"/>
        <v>15.124000000000001</v>
      </c>
      <c r="C356">
        <f t="shared" si="31"/>
        <v>15.124000000000001</v>
      </c>
      <c r="D356">
        <f>[1]!XLSTAT_PDFGeneral(B356,14, 16, 1)</f>
        <v>0.271816918462154</v>
      </c>
      <c r="E356">
        <v>356</v>
      </c>
      <c r="G356">
        <f t="shared" si="32"/>
        <v>17.69138276553106</v>
      </c>
      <c r="H356">
        <f>[1]!XLSTAT_PDFNormal(G356,16,1)</f>
        <v>9.5433428058002506E-2</v>
      </c>
      <c r="I356">
        <v>356</v>
      </c>
      <c r="J356">
        <f t="shared" si="33"/>
        <v>10.522</v>
      </c>
      <c r="K356">
        <f t="shared" si="34"/>
        <v>10.522</v>
      </c>
      <c r="L356">
        <f>[1]!XLSTAT_PDFGeneral(J356,17, 1)</f>
        <v>1.0137771196302974E-7</v>
      </c>
      <c r="M356">
        <v>356</v>
      </c>
      <c r="O356">
        <f t="shared" si="35"/>
        <v>4.268537074148302</v>
      </c>
      <c r="P356">
        <f>[1]!XLSTAT_PDFPoisson(O356,1)</f>
        <v>1.5328310048810096E-2</v>
      </c>
    </row>
    <row r="357" spans="1:16" x14ac:dyDescent="0.3">
      <c r="A357">
        <v>357</v>
      </c>
      <c r="B357">
        <f t="shared" si="30"/>
        <v>15.135999999999999</v>
      </c>
      <c r="C357">
        <f t="shared" si="31"/>
        <v>15.135999999999999</v>
      </c>
      <c r="D357">
        <f>[1]!XLSTAT_PDFGeneral(B357,14, 16, 1)</f>
        <v>0.27466955192773679</v>
      </c>
      <c r="E357">
        <v>357</v>
      </c>
      <c r="G357">
        <f t="shared" si="32"/>
        <v>17.707414829659314</v>
      </c>
      <c r="H357">
        <f>[1]!XLSTAT_PDFNormal(G357,16,1)</f>
        <v>9.2868456487355991E-2</v>
      </c>
      <c r="I357">
        <v>357</v>
      </c>
      <c r="J357">
        <f t="shared" si="33"/>
        <v>10.507999999999999</v>
      </c>
      <c r="K357">
        <f t="shared" si="34"/>
        <v>10.507999999999999</v>
      </c>
      <c r="L357">
        <f>[1]!XLSTAT_PDFGeneral(J357,17, 1)</f>
        <v>1.0137771196302974E-7</v>
      </c>
      <c r="M357">
        <v>357</v>
      </c>
      <c r="O357">
        <f t="shared" si="35"/>
        <v>4.2805611222444941</v>
      </c>
      <c r="P357">
        <f>[1]!XLSTAT_PDFPoisson(O357,1)</f>
        <v>1.5328310048810096E-2</v>
      </c>
    </row>
    <row r="358" spans="1:16" x14ac:dyDescent="0.3">
      <c r="A358">
        <v>358</v>
      </c>
      <c r="B358">
        <f t="shared" si="30"/>
        <v>-123456789</v>
      </c>
      <c r="C358">
        <f t="shared" si="31"/>
        <v>15.135999999999999</v>
      </c>
      <c r="D358">
        <f>[1]!XLSTAT_PDFGeneral(B358,14, 16, 1)</f>
        <v>0</v>
      </c>
      <c r="E358">
        <v>358</v>
      </c>
      <c r="G358">
        <f t="shared" si="32"/>
        <v>17.723446893787571</v>
      </c>
      <c r="H358">
        <f>[1]!XLSTAT_PDFNormal(G358,16,1)</f>
        <v>9.0349198679122875E-2</v>
      </c>
      <c r="I358">
        <v>358</v>
      </c>
      <c r="J358">
        <f t="shared" si="33"/>
        <v>-123456789</v>
      </c>
      <c r="K358">
        <f t="shared" si="34"/>
        <v>10.507999999999999</v>
      </c>
      <c r="L358">
        <f>[1]!XLSTAT_PDFGeneral(J358,17, 1)</f>
        <v>0</v>
      </c>
      <c r="M358">
        <v>358</v>
      </c>
      <c r="O358">
        <f t="shared" si="35"/>
        <v>4.2925851703406872</v>
      </c>
      <c r="P358">
        <f>[1]!XLSTAT_PDFPoisson(O358,1)</f>
        <v>1.5328310048810096E-2</v>
      </c>
    </row>
    <row r="359" spans="1:16" x14ac:dyDescent="0.3">
      <c r="A359">
        <v>359</v>
      </c>
      <c r="B359">
        <f t="shared" si="30"/>
        <v>-123456789</v>
      </c>
      <c r="C359">
        <f t="shared" si="31"/>
        <v>15.148</v>
      </c>
      <c r="D359">
        <f>[1]!XLSTAT_PDFGeneral(B359,14, 16, 1)</f>
        <v>0</v>
      </c>
      <c r="E359">
        <v>359</v>
      </c>
      <c r="G359">
        <f t="shared" si="32"/>
        <v>17.739478957915829</v>
      </c>
      <c r="H359">
        <f>[1]!XLSTAT_PDFNormal(G359,16,1)</f>
        <v>8.7875691854080909E-2</v>
      </c>
      <c r="I359">
        <v>359</v>
      </c>
      <c r="J359">
        <f t="shared" si="33"/>
        <v>-123456789</v>
      </c>
      <c r="K359">
        <f t="shared" si="34"/>
        <v>10.494</v>
      </c>
      <c r="L359">
        <f>[1]!XLSTAT_PDFGeneral(J359,17, 1)</f>
        <v>0</v>
      </c>
      <c r="M359">
        <v>359</v>
      </c>
      <c r="O359">
        <f t="shared" si="35"/>
        <v>4.3046092184368794</v>
      </c>
      <c r="P359">
        <f>[1]!XLSTAT_PDFPoisson(O359,1)</f>
        <v>1.5328310048810096E-2</v>
      </c>
    </row>
    <row r="360" spans="1:16" x14ac:dyDescent="0.3">
      <c r="A360">
        <v>360</v>
      </c>
      <c r="B360">
        <f t="shared" si="30"/>
        <v>15.148</v>
      </c>
      <c r="C360">
        <f t="shared" si="31"/>
        <v>15.148</v>
      </c>
      <c r="D360">
        <f>[1]!XLSTAT_PDFGeneral(B360,14, 16, 1)</f>
        <v>0.27751215826033604</v>
      </c>
      <c r="E360">
        <v>360</v>
      </c>
      <c r="G360">
        <f t="shared" si="32"/>
        <v>17.755511022044082</v>
      </c>
      <c r="H360">
        <f>[1]!XLSTAT_PDFNormal(G360,16,1)</f>
        <v>8.5447937429096329E-2</v>
      </c>
      <c r="I360">
        <v>360</v>
      </c>
      <c r="J360">
        <f t="shared" si="33"/>
        <v>10.494</v>
      </c>
      <c r="K360">
        <f t="shared" si="34"/>
        <v>10.494</v>
      </c>
      <c r="L360">
        <f>[1]!XLSTAT_PDFGeneral(J360,17, 1)</f>
        <v>1.0137771196302974E-7</v>
      </c>
      <c r="M360">
        <v>360</v>
      </c>
      <c r="O360">
        <f t="shared" si="35"/>
        <v>4.3166332665330716</v>
      </c>
      <c r="P360">
        <f>[1]!XLSTAT_PDFPoisson(O360,1)</f>
        <v>1.5328310048810096E-2</v>
      </c>
    </row>
    <row r="361" spans="1:16" x14ac:dyDescent="0.3">
      <c r="A361">
        <v>361</v>
      </c>
      <c r="B361">
        <f t="shared" si="30"/>
        <v>15.16</v>
      </c>
      <c r="C361">
        <f t="shared" si="31"/>
        <v>15.16</v>
      </c>
      <c r="D361">
        <f>[1]!XLSTAT_PDFGeneral(B361,14, 16, 1)</f>
        <v>0.28034381083962062</v>
      </c>
      <c r="E361">
        <v>361</v>
      </c>
      <c r="G361">
        <f t="shared" si="32"/>
        <v>17.77154308617234</v>
      </c>
      <c r="H361">
        <f>[1]!XLSTAT_PDFNormal(G361,16,1)</f>
        <v>8.3065901995813582E-2</v>
      </c>
      <c r="I361">
        <v>361</v>
      </c>
      <c r="J361">
        <f t="shared" si="33"/>
        <v>10.48</v>
      </c>
      <c r="K361">
        <f t="shared" si="34"/>
        <v>10.48</v>
      </c>
      <c r="L361">
        <f>[1]!XLSTAT_PDFGeneral(J361,17, 1)</f>
        <v>1.0137771196302974E-7</v>
      </c>
      <c r="M361">
        <v>361</v>
      </c>
      <c r="O361">
        <f t="shared" si="35"/>
        <v>4.3286573146292637</v>
      </c>
      <c r="P361">
        <f>[1]!XLSTAT_PDFPoisson(O361,1)</f>
        <v>1.5328310048810096E-2</v>
      </c>
    </row>
    <row r="362" spans="1:16" x14ac:dyDescent="0.3">
      <c r="A362">
        <v>362</v>
      </c>
      <c r="B362">
        <f t="shared" si="30"/>
        <v>-123456789</v>
      </c>
      <c r="C362">
        <f t="shared" si="31"/>
        <v>15.16</v>
      </c>
      <c r="D362">
        <f>[1]!XLSTAT_PDFGeneral(B362,14, 16, 1)</f>
        <v>0</v>
      </c>
      <c r="E362">
        <v>362</v>
      </c>
      <c r="G362">
        <f t="shared" si="32"/>
        <v>17.787575150300597</v>
      </c>
      <c r="H362">
        <f>[1]!XLSTAT_PDFNormal(G362,16,1)</f>
        <v>8.0729518316562762E-2</v>
      </c>
      <c r="I362">
        <v>362</v>
      </c>
      <c r="J362">
        <f t="shared" si="33"/>
        <v>-123456789</v>
      </c>
      <c r="K362">
        <f t="shared" si="34"/>
        <v>10.48</v>
      </c>
      <c r="L362">
        <f>[1]!XLSTAT_PDFGeneral(J362,17, 1)</f>
        <v>0</v>
      </c>
      <c r="M362">
        <v>362</v>
      </c>
      <c r="O362">
        <f t="shared" si="35"/>
        <v>4.3406813627254568</v>
      </c>
      <c r="P362">
        <f>[1]!XLSTAT_PDFPoisson(O362,1)</f>
        <v>1.5328310048810096E-2</v>
      </c>
    </row>
    <row r="363" spans="1:16" x14ac:dyDescent="0.3">
      <c r="A363">
        <v>363</v>
      </c>
      <c r="B363">
        <f t="shared" si="30"/>
        <v>-123456789</v>
      </c>
      <c r="C363">
        <f t="shared" si="31"/>
        <v>15.172000000000001</v>
      </c>
      <c r="D363">
        <f>[1]!XLSTAT_PDFGeneral(B363,14, 16, 1)</f>
        <v>0</v>
      </c>
      <c r="E363">
        <v>363</v>
      </c>
      <c r="G363">
        <f t="shared" si="32"/>
        <v>17.803607214428855</v>
      </c>
      <c r="H363">
        <f>[1]!XLSTAT_PDFNormal(G363,16,1)</f>
        <v>7.8438686335485466E-2</v>
      </c>
      <c r="I363">
        <v>363</v>
      </c>
      <c r="J363">
        <f t="shared" si="33"/>
        <v>-123456789</v>
      </c>
      <c r="K363">
        <f t="shared" si="34"/>
        <v>10.465999999999999</v>
      </c>
      <c r="L363">
        <f>[1]!XLSTAT_PDFGeneral(J363,17, 1)</f>
        <v>0</v>
      </c>
      <c r="M363">
        <v>363</v>
      </c>
      <c r="O363">
        <f t="shared" si="35"/>
        <v>4.352705410821649</v>
      </c>
      <c r="P363">
        <f>[1]!XLSTAT_PDFPoisson(O363,1)</f>
        <v>1.5328310048810096E-2</v>
      </c>
    </row>
    <row r="364" spans="1:16" x14ac:dyDescent="0.3">
      <c r="A364">
        <v>364</v>
      </c>
      <c r="B364">
        <f t="shared" si="30"/>
        <v>15.172000000000001</v>
      </c>
      <c r="C364">
        <f t="shared" si="31"/>
        <v>15.172000000000001</v>
      </c>
      <c r="D364">
        <f>[1]!XLSTAT_PDFGeneral(B364,14, 16, 1)</f>
        <v>0.28316357827913635</v>
      </c>
      <c r="E364">
        <v>364</v>
      </c>
      <c r="G364">
        <f t="shared" si="32"/>
        <v>17.819639278557112</v>
      </c>
      <c r="H364">
        <f>[1]!XLSTAT_PDFNormal(G364,16,1)</f>
        <v>7.6193274202925529E-2</v>
      </c>
      <c r="I364">
        <v>364</v>
      </c>
      <c r="J364">
        <f t="shared" si="33"/>
        <v>10.465999999999999</v>
      </c>
      <c r="K364">
        <f t="shared" si="34"/>
        <v>10.465999999999999</v>
      </c>
      <c r="L364">
        <f>[1]!XLSTAT_PDFGeneral(J364,17, 1)</f>
        <v>1.0137771196302974E-7</v>
      </c>
      <c r="M364">
        <v>364</v>
      </c>
      <c r="O364">
        <f t="shared" si="35"/>
        <v>4.3647294589178411</v>
      </c>
      <c r="P364">
        <f>[1]!XLSTAT_PDFPoisson(O364,1)</f>
        <v>1.5328310048810096E-2</v>
      </c>
    </row>
    <row r="365" spans="1:16" x14ac:dyDescent="0.3">
      <c r="A365">
        <v>365</v>
      </c>
      <c r="B365">
        <f t="shared" si="30"/>
        <v>15.184000000000001</v>
      </c>
      <c r="C365">
        <f t="shared" si="31"/>
        <v>15.184000000000001</v>
      </c>
      <c r="D365">
        <f>[1]!XLSTAT_PDFGeneral(B365,14, 16, 1)</f>
        <v>0.28597052491682867</v>
      </c>
      <c r="E365">
        <v>365</v>
      </c>
      <c r="G365">
        <f t="shared" si="32"/>
        <v>17.835671342685366</v>
      </c>
      <c r="H365">
        <f>[1]!XLSTAT_PDFNormal(G365,16,1)</f>
        <v>7.3993119311151823E-2</v>
      </c>
      <c r="I365">
        <v>365</v>
      </c>
      <c r="J365">
        <f t="shared" si="33"/>
        <v>10.452</v>
      </c>
      <c r="K365">
        <f t="shared" si="34"/>
        <v>10.452</v>
      </c>
      <c r="L365">
        <f>[1]!XLSTAT_PDFGeneral(J365,17, 1)</f>
        <v>1.0137771196302974E-7</v>
      </c>
      <c r="M365">
        <v>365</v>
      </c>
      <c r="O365">
        <f t="shared" si="35"/>
        <v>4.3767535070140333</v>
      </c>
      <c r="P365">
        <f>[1]!XLSTAT_PDFPoisson(O365,1)</f>
        <v>1.5328310048810096E-2</v>
      </c>
    </row>
    <row r="366" spans="1:16" x14ac:dyDescent="0.3">
      <c r="A366">
        <v>366</v>
      </c>
      <c r="B366">
        <f t="shared" si="30"/>
        <v>-123456789</v>
      </c>
      <c r="C366">
        <f t="shared" si="31"/>
        <v>15.184000000000001</v>
      </c>
      <c r="D366">
        <f>[1]!XLSTAT_PDFGeneral(B366,14, 16, 1)</f>
        <v>0</v>
      </c>
      <c r="E366">
        <v>366</v>
      </c>
      <c r="G366">
        <f t="shared" si="32"/>
        <v>17.851703406813623</v>
      </c>
      <c r="H366">
        <f>[1]!XLSTAT_PDFNormal(G366,16,1)</f>
        <v>7.18380293395154E-2</v>
      </c>
      <c r="I366">
        <v>366</v>
      </c>
      <c r="J366">
        <f t="shared" si="33"/>
        <v>-123456789</v>
      </c>
      <c r="K366">
        <f t="shared" si="34"/>
        <v>10.452</v>
      </c>
      <c r="L366">
        <f>[1]!XLSTAT_PDFGeneral(J366,17, 1)</f>
        <v>0</v>
      </c>
      <c r="M366">
        <v>366</v>
      </c>
      <c r="O366">
        <f t="shared" si="35"/>
        <v>4.3887775551102264</v>
      </c>
      <c r="P366">
        <f>[1]!XLSTAT_PDFPoisson(O366,1)</f>
        <v>1.5328310048810096E-2</v>
      </c>
    </row>
    <row r="367" spans="1:16" x14ac:dyDescent="0.3">
      <c r="A367">
        <v>367</v>
      </c>
      <c r="B367">
        <f t="shared" si="30"/>
        <v>-123456789</v>
      </c>
      <c r="C367">
        <f t="shared" si="31"/>
        <v>15.196</v>
      </c>
      <c r="D367">
        <f>[1]!XLSTAT_PDFGeneral(B367,14, 16, 1)</f>
        <v>0</v>
      </c>
      <c r="E367">
        <v>367</v>
      </c>
      <c r="G367">
        <f t="shared" si="32"/>
        <v>17.867735470941881</v>
      </c>
      <c r="H367">
        <f>[1]!XLSTAT_PDFNormal(G367,16,1)</f>
        <v>6.972778330718965E-2</v>
      </c>
      <c r="I367">
        <v>367</v>
      </c>
      <c r="J367">
        <f t="shared" si="33"/>
        <v>-123456789</v>
      </c>
      <c r="K367">
        <f t="shared" si="34"/>
        <v>10.438000000000001</v>
      </c>
      <c r="L367">
        <f>[1]!XLSTAT_PDFGeneral(J367,17, 1)</f>
        <v>0</v>
      </c>
      <c r="M367">
        <v>367</v>
      </c>
      <c r="O367">
        <f t="shared" si="35"/>
        <v>4.4008016032064186</v>
      </c>
      <c r="P367">
        <f>[1]!XLSTAT_PDFPoisson(O367,1)</f>
        <v>1.5328310048810096E-2</v>
      </c>
    </row>
    <row r="368" spans="1:16" x14ac:dyDescent="0.3">
      <c r="A368">
        <v>368</v>
      </c>
      <c r="B368">
        <f t="shared" si="30"/>
        <v>15.196</v>
      </c>
      <c r="C368">
        <f t="shared" si="31"/>
        <v>15.196</v>
      </c>
      <c r="D368">
        <f>[1]!XLSTAT_PDFGeneral(B368,14, 16, 1)</f>
        <v>0.28876371131362788</v>
      </c>
      <c r="E368">
        <v>368</v>
      </c>
      <c r="G368">
        <f t="shared" si="32"/>
        <v>17.883767535070135</v>
      </c>
      <c r="H368">
        <f>[1]!XLSTAT_PDFNormal(G368,16,1)</f>
        <v>6.76621326316664E-2</v>
      </c>
      <c r="I368">
        <v>368</v>
      </c>
      <c r="J368">
        <f t="shared" si="33"/>
        <v>10.438000000000001</v>
      </c>
      <c r="K368">
        <f t="shared" si="34"/>
        <v>10.438000000000001</v>
      </c>
      <c r="L368">
        <f>[1]!XLSTAT_PDFGeneral(J368,17, 1)</f>
        <v>1.0137771196302974E-7</v>
      </c>
      <c r="M368">
        <v>368</v>
      </c>
      <c r="O368">
        <f t="shared" si="35"/>
        <v>4.4128256513026107</v>
      </c>
      <c r="P368">
        <f>[1]!XLSTAT_PDFPoisson(O368,1)</f>
        <v>1.5328310048810096E-2</v>
      </c>
    </row>
    <row r="369" spans="1:16" x14ac:dyDescent="0.3">
      <c r="A369">
        <v>369</v>
      </c>
      <c r="B369">
        <f t="shared" si="30"/>
        <v>15.208</v>
      </c>
      <c r="C369">
        <f t="shared" si="31"/>
        <v>15.208</v>
      </c>
      <c r="D369">
        <f>[1]!XLSTAT_PDFGeneral(B369,14, 16, 1)</f>
        <v>0.29154219475974724</v>
      </c>
      <c r="E369">
        <v>369</v>
      </c>
      <c r="G369">
        <f t="shared" si="32"/>
        <v>17.899799599198392</v>
      </c>
      <c r="H369">
        <f>[1]!XLSTAT_PDFNormal(G369,16,1)</f>
        <v>6.5640802191236025E-2</v>
      </c>
      <c r="I369">
        <v>369</v>
      </c>
      <c r="J369">
        <f t="shared" si="33"/>
        <v>10.423999999999999</v>
      </c>
      <c r="K369">
        <f t="shared" si="34"/>
        <v>10.423999999999999</v>
      </c>
      <c r="L369">
        <f>[1]!XLSTAT_PDFGeneral(J369,17, 1)</f>
        <v>1.0137771196302974E-7</v>
      </c>
      <c r="M369">
        <v>369</v>
      </c>
      <c r="O369">
        <f t="shared" si="35"/>
        <v>4.4248496993988029</v>
      </c>
      <c r="P369">
        <f>[1]!XLSTAT_PDFPoisson(O369,1)</f>
        <v>1.5328310048810096E-2</v>
      </c>
    </row>
    <row r="370" spans="1:16" x14ac:dyDescent="0.3">
      <c r="A370">
        <v>370</v>
      </c>
      <c r="B370">
        <f t="shared" si="30"/>
        <v>-123456789</v>
      </c>
      <c r="C370">
        <f t="shared" si="31"/>
        <v>15.208</v>
      </c>
      <c r="D370">
        <f>[1]!XLSTAT_PDFGeneral(B370,14, 16, 1)</f>
        <v>0</v>
      </c>
      <c r="E370">
        <v>370</v>
      </c>
      <c r="G370">
        <f t="shared" si="32"/>
        <v>17.915831663326649</v>
      </c>
      <c r="H370">
        <f>[1]!XLSTAT_PDFNormal(G370,16,1)</f>
        <v>6.3663491389725338E-2</v>
      </c>
      <c r="I370">
        <v>370</v>
      </c>
      <c r="J370">
        <f t="shared" si="33"/>
        <v>-123456789</v>
      </c>
      <c r="K370">
        <f t="shared" si="34"/>
        <v>10.423999999999999</v>
      </c>
      <c r="L370">
        <f>[1]!XLSTAT_PDFGeneral(J370,17, 1)</f>
        <v>0</v>
      </c>
      <c r="M370">
        <v>370</v>
      </c>
      <c r="O370">
        <f t="shared" si="35"/>
        <v>4.436873747494996</v>
      </c>
      <c r="P370">
        <f>[1]!XLSTAT_PDFPoisson(O370,1)</f>
        <v>1.5328310048810096E-2</v>
      </c>
    </row>
    <row r="371" spans="1:16" x14ac:dyDescent="0.3">
      <c r="A371">
        <v>371</v>
      </c>
      <c r="B371">
        <f t="shared" si="30"/>
        <v>-123456789</v>
      </c>
      <c r="C371">
        <f t="shared" si="31"/>
        <v>15.22</v>
      </c>
      <c r="D371">
        <f>[1]!XLSTAT_PDFGeneral(B371,14, 16, 1)</f>
        <v>0</v>
      </c>
      <c r="E371">
        <v>371</v>
      </c>
      <c r="G371">
        <f t="shared" si="32"/>
        <v>17.931863727454903</v>
      </c>
      <c r="H371">
        <f>[1]!XLSTAT_PDFNormal(G371,16,1)</f>
        <v>6.1729875221800679E-2</v>
      </c>
      <c r="I371">
        <v>371</v>
      </c>
      <c r="J371">
        <f t="shared" si="33"/>
        <v>-123456789</v>
      </c>
      <c r="K371">
        <f t="shared" si="34"/>
        <v>10.41</v>
      </c>
      <c r="L371">
        <f>[1]!XLSTAT_PDFGeneral(J371,17, 1)</f>
        <v>0</v>
      </c>
      <c r="M371">
        <v>371</v>
      </c>
      <c r="O371">
        <f t="shared" si="35"/>
        <v>4.4488977955911881</v>
      </c>
      <c r="P371">
        <f>[1]!XLSTAT_PDFPoisson(O371,1)</f>
        <v>1.5328310048810096E-2</v>
      </c>
    </row>
    <row r="372" spans="1:16" x14ac:dyDescent="0.3">
      <c r="A372">
        <v>372</v>
      </c>
      <c r="B372">
        <f t="shared" si="30"/>
        <v>15.22</v>
      </c>
      <c r="C372">
        <f t="shared" si="31"/>
        <v>15.22</v>
      </c>
      <c r="D372">
        <f>[1]!XLSTAT_PDFGeneral(B372,14, 16, 1)</f>
        <v>0.29430502978832529</v>
      </c>
      <c r="E372">
        <v>372</v>
      </c>
      <c r="G372">
        <f t="shared" si="32"/>
        <v>17.947895791583161</v>
      </c>
      <c r="H372">
        <f>[1]!XLSTAT_PDFNormal(G372,16,1)</f>
        <v>5.9839605337205976E-2</v>
      </c>
      <c r="I372">
        <v>372</v>
      </c>
      <c r="J372">
        <f t="shared" si="33"/>
        <v>10.41</v>
      </c>
      <c r="K372">
        <f t="shared" si="34"/>
        <v>10.41</v>
      </c>
      <c r="L372">
        <f>[1]!XLSTAT_PDFGeneral(J372,17, 1)</f>
        <v>1.0137771196302974E-7</v>
      </c>
      <c r="M372">
        <v>372</v>
      </c>
      <c r="O372">
        <f t="shared" si="35"/>
        <v>4.4609218436873803</v>
      </c>
      <c r="P372">
        <f>[1]!XLSTAT_PDFPoisson(O372,1)</f>
        <v>1.5328310048810096E-2</v>
      </c>
    </row>
    <row r="373" spans="1:16" x14ac:dyDescent="0.3">
      <c r="A373">
        <v>373</v>
      </c>
      <c r="B373">
        <f t="shared" si="30"/>
        <v>15.231999999999999</v>
      </c>
      <c r="C373">
        <f t="shared" si="31"/>
        <v>15.231999999999999</v>
      </c>
      <c r="D373">
        <f>[1]!XLSTAT_PDFGeneral(B373,14, 16, 1)</f>
        <v>0.29705126869604498</v>
      </c>
      <c r="E373">
        <v>373</v>
      </c>
      <c r="G373">
        <f t="shared" si="32"/>
        <v>17.963927855711418</v>
      </c>
      <c r="H373">
        <f>[1]!XLSTAT_PDFNormal(G373,16,1)</f>
        <v>5.7992311102355268E-2</v>
      </c>
      <c r="I373">
        <v>373</v>
      </c>
      <c r="J373">
        <f t="shared" si="33"/>
        <v>10.396000000000001</v>
      </c>
      <c r="K373">
        <f t="shared" si="34"/>
        <v>10.396000000000001</v>
      </c>
      <c r="L373">
        <f>[1]!XLSTAT_PDFGeneral(J373,17, 1)</f>
        <v>1.0137771196302974E-7</v>
      </c>
      <c r="M373">
        <v>373</v>
      </c>
      <c r="O373">
        <f t="shared" si="35"/>
        <v>4.4729458917835725</v>
      </c>
      <c r="P373">
        <f>[1]!XLSTAT_PDFPoisson(O373,1)</f>
        <v>1.5328310048810096E-2</v>
      </c>
    </row>
    <row r="374" spans="1:16" x14ac:dyDescent="0.3">
      <c r="A374">
        <v>374</v>
      </c>
      <c r="B374">
        <f t="shared" si="30"/>
        <v>-123456789</v>
      </c>
      <c r="C374">
        <f t="shared" si="31"/>
        <v>15.231999999999999</v>
      </c>
      <c r="D374">
        <f>[1]!XLSTAT_PDFGeneral(B374,14, 16, 1)</f>
        <v>0</v>
      </c>
      <c r="E374">
        <v>374</v>
      </c>
      <c r="G374">
        <f t="shared" si="32"/>
        <v>17.979959919839676</v>
      </c>
      <c r="H374">
        <f>[1]!XLSTAT_PDFNormal(G374,16,1)</f>
        <v>5.6187600657740942E-2</v>
      </c>
      <c r="I374">
        <v>374</v>
      </c>
      <c r="J374">
        <f t="shared" si="33"/>
        <v>-123456789</v>
      </c>
      <c r="K374">
        <f t="shared" si="34"/>
        <v>10.396000000000001</v>
      </c>
      <c r="L374">
        <f>[1]!XLSTAT_PDFGeneral(J374,17, 1)</f>
        <v>0</v>
      </c>
      <c r="M374">
        <v>374</v>
      </c>
      <c r="O374">
        <f t="shared" si="35"/>
        <v>4.4849699398797656</v>
      </c>
      <c r="P374">
        <f>[1]!XLSTAT_PDFPoisson(O374,1)</f>
        <v>1.5328310048810096E-2</v>
      </c>
    </row>
    <row r="375" spans="1:16" x14ac:dyDescent="0.3">
      <c r="A375">
        <v>375</v>
      </c>
      <c r="B375">
        <f t="shared" si="30"/>
        <v>-123456789</v>
      </c>
      <c r="C375">
        <f t="shared" si="31"/>
        <v>15.244</v>
      </c>
      <c r="D375">
        <f>[1]!XLSTAT_PDFGeneral(B375,14, 16, 1)</f>
        <v>0</v>
      </c>
      <c r="E375">
        <v>375</v>
      </c>
      <c r="G375">
        <f t="shared" si="32"/>
        <v>17.995991983967933</v>
      </c>
      <c r="H375">
        <f>[1]!XLSTAT_PDFNormal(G375,16,1)</f>
        <v>5.4425061969686252E-2</v>
      </c>
      <c r="I375">
        <v>375</v>
      </c>
      <c r="J375">
        <f t="shared" si="33"/>
        <v>-123456789</v>
      </c>
      <c r="K375">
        <f t="shared" si="34"/>
        <v>10.382</v>
      </c>
      <c r="L375">
        <f>[1]!XLSTAT_PDFGeneral(J375,17, 1)</f>
        <v>0</v>
      </c>
      <c r="M375">
        <v>375</v>
      </c>
      <c r="O375">
        <f t="shared" si="35"/>
        <v>4.4969939879759577</v>
      </c>
      <c r="P375">
        <f>[1]!XLSTAT_PDFPoisson(O375,1)</f>
        <v>1.5328310048810096E-2</v>
      </c>
    </row>
    <row r="376" spans="1:16" x14ac:dyDescent="0.3">
      <c r="A376">
        <v>376</v>
      </c>
      <c r="B376">
        <f t="shared" si="30"/>
        <v>15.244</v>
      </c>
      <c r="C376">
        <f t="shared" si="31"/>
        <v>15.244</v>
      </c>
      <c r="D376">
        <f>[1]!XLSTAT_PDFGeneral(B376,14, 16, 1)</f>
        <v>0.29977996207034224</v>
      </c>
      <c r="E376">
        <v>376</v>
      </c>
      <c r="G376">
        <f t="shared" si="32"/>
        <v>18.012024048096187</v>
      </c>
      <c r="H376">
        <f>[1]!XLSTAT_PDFNormal(G376,16,1)</f>
        <v>5.2704263875018607E-2</v>
      </c>
      <c r="I376">
        <v>376</v>
      </c>
      <c r="J376">
        <f t="shared" si="33"/>
        <v>10.382</v>
      </c>
      <c r="K376">
        <f t="shared" si="34"/>
        <v>10.382</v>
      </c>
      <c r="L376">
        <f>[1]!XLSTAT_PDFGeneral(J376,17, 1)</f>
        <v>1.0137771196302974E-7</v>
      </c>
      <c r="M376">
        <v>376</v>
      </c>
      <c r="O376">
        <f t="shared" si="35"/>
        <v>4.5090180360721499</v>
      </c>
      <c r="P376">
        <f>[1]!XLSTAT_PDFPoisson(O376,1)</f>
        <v>1.5328310048810096E-2</v>
      </c>
    </row>
    <row r="377" spans="1:16" x14ac:dyDescent="0.3">
      <c r="A377">
        <v>377</v>
      </c>
      <c r="B377">
        <f t="shared" si="30"/>
        <v>15.256</v>
      </c>
      <c r="C377">
        <f t="shared" si="31"/>
        <v>15.256</v>
      </c>
      <c r="D377">
        <f>[1]!XLSTAT_PDFGeneral(B377,14, 16, 1)</f>
        <v>0.30249015932280476</v>
      </c>
      <c r="E377">
        <v>377</v>
      </c>
      <c r="G377">
        <f t="shared" si="32"/>
        <v>18.028056112224444</v>
      </c>
      <c r="H377">
        <f>[1]!XLSTAT_PDFNormal(G377,16,1)</f>
        <v>5.1024757117296669E-2</v>
      </c>
      <c r="I377">
        <v>377</v>
      </c>
      <c r="J377">
        <f t="shared" si="33"/>
        <v>10.368</v>
      </c>
      <c r="K377">
        <f t="shared" si="34"/>
        <v>10.368</v>
      </c>
      <c r="L377">
        <f>[1]!XLSTAT_PDFGeneral(J377,17, 1)</f>
        <v>1.0137771196302974E-7</v>
      </c>
      <c r="M377">
        <v>377</v>
      </c>
      <c r="O377">
        <f t="shared" si="35"/>
        <v>4.5210420841683421</v>
      </c>
      <c r="P377">
        <f>[1]!XLSTAT_PDFPoisson(O377,1)</f>
        <v>1.5328310048810096E-2</v>
      </c>
    </row>
    <row r="378" spans="1:16" x14ac:dyDescent="0.3">
      <c r="A378">
        <v>378</v>
      </c>
      <c r="B378">
        <f t="shared" si="30"/>
        <v>-123456789</v>
      </c>
      <c r="C378">
        <f t="shared" si="31"/>
        <v>15.256</v>
      </c>
      <c r="D378">
        <f>[1]!XLSTAT_PDFGeneral(B378,14, 16, 1)</f>
        <v>0</v>
      </c>
      <c r="E378">
        <v>378</v>
      </c>
      <c r="G378">
        <f t="shared" si="32"/>
        <v>18.044088176352702</v>
      </c>
      <c r="H378">
        <f>[1]!XLSTAT_PDFNormal(G378,16,1)</f>
        <v>4.938607537328904E-2</v>
      </c>
      <c r="I378">
        <v>378</v>
      </c>
      <c r="J378">
        <f t="shared" si="33"/>
        <v>-123456789</v>
      </c>
      <c r="K378">
        <f t="shared" si="34"/>
        <v>10.368</v>
      </c>
      <c r="L378">
        <f>[1]!XLSTAT_PDFGeneral(J378,17, 1)</f>
        <v>0</v>
      </c>
      <c r="M378">
        <v>378</v>
      </c>
      <c r="O378">
        <f t="shared" si="35"/>
        <v>4.5330661322645351</v>
      </c>
      <c r="P378">
        <f>[1]!XLSTAT_PDFPoisson(O378,1)</f>
        <v>1.5328310048810096E-2</v>
      </c>
    </row>
    <row r="379" spans="1:16" x14ac:dyDescent="0.3">
      <c r="A379">
        <v>379</v>
      </c>
      <c r="B379">
        <f t="shared" si="30"/>
        <v>-123456789</v>
      </c>
      <c r="C379">
        <f t="shared" si="31"/>
        <v>15.268000000000001</v>
      </c>
      <c r="D379">
        <f>[1]!XLSTAT_PDFGeneral(B379,14, 16, 1)</f>
        <v>0</v>
      </c>
      <c r="E379">
        <v>379</v>
      </c>
      <c r="G379">
        <f t="shared" si="32"/>
        <v>18.060120240480956</v>
      </c>
      <c r="H379">
        <f>[1]!XLSTAT_PDFNormal(G379,16,1)</f>
        <v>4.7787736268448677E-2</v>
      </c>
      <c r="I379">
        <v>379</v>
      </c>
      <c r="J379">
        <f t="shared" si="33"/>
        <v>-123456789</v>
      </c>
      <c r="K379">
        <f t="shared" si="34"/>
        <v>10.353999999999999</v>
      </c>
      <c r="L379">
        <f>[1]!XLSTAT_PDFGeneral(J379,17, 1)</f>
        <v>0</v>
      </c>
      <c r="M379">
        <v>379</v>
      </c>
      <c r="O379">
        <f t="shared" si="35"/>
        <v>4.5450901803607273</v>
      </c>
      <c r="P379">
        <f>[1]!XLSTAT_PDFPoisson(O379,1)</f>
        <v>1.5328310048810096E-2</v>
      </c>
    </row>
    <row r="380" spans="1:16" x14ac:dyDescent="0.3">
      <c r="A380">
        <v>380</v>
      </c>
      <c r="B380">
        <f t="shared" si="30"/>
        <v>15.268000000000001</v>
      </c>
      <c r="C380">
        <f t="shared" si="31"/>
        <v>15.268000000000001</v>
      </c>
      <c r="D380">
        <f>[1]!XLSTAT_PDFGeneral(B380,14, 16, 1)</f>
        <v>0.30518090922836294</v>
      </c>
      <c r="E380">
        <v>380</v>
      </c>
      <c r="G380">
        <f t="shared" si="32"/>
        <v>18.076152304609213</v>
      </c>
      <c r="H380">
        <f>[1]!XLSTAT_PDFNormal(G380,16,1)</f>
        <v>4.6229242380196219E-2</v>
      </c>
      <c r="I380">
        <v>380</v>
      </c>
      <c r="J380">
        <f t="shared" si="33"/>
        <v>10.353999999999999</v>
      </c>
      <c r="K380">
        <f t="shared" si="34"/>
        <v>10.353999999999999</v>
      </c>
      <c r="L380">
        <f>[1]!XLSTAT_PDFGeneral(J380,17, 1)</f>
        <v>1.0137771196302974E-7</v>
      </c>
      <c r="M380">
        <v>380</v>
      </c>
      <c r="O380">
        <f t="shared" si="35"/>
        <v>4.5571142284569195</v>
      </c>
      <c r="P380">
        <f>[1]!XLSTAT_PDFPoisson(O380,1)</f>
        <v>1.5328310048810096E-2</v>
      </c>
    </row>
    <row r="381" spans="1:16" x14ac:dyDescent="0.3">
      <c r="A381">
        <v>381</v>
      </c>
      <c r="B381">
        <f t="shared" si="30"/>
        <v>15.280000000000001</v>
      </c>
      <c r="C381">
        <f t="shared" si="31"/>
        <v>15.280000000000001</v>
      </c>
      <c r="D381">
        <f>[1]!XLSTAT_PDFGeneral(B381,14, 16, 1)</f>
        <v>0.30785126046985317</v>
      </c>
      <c r="E381">
        <v>381</v>
      </c>
      <c r="G381">
        <f t="shared" si="32"/>
        <v>18.09218436873747</v>
      </c>
      <c r="H381">
        <f>[1]!XLSTAT_PDFNormal(G381,16,1)</f>
        <v>4.4710082227885133E-2</v>
      </c>
      <c r="I381">
        <v>381</v>
      </c>
      <c r="J381">
        <f t="shared" si="33"/>
        <v>10.34</v>
      </c>
      <c r="K381">
        <f t="shared" si="34"/>
        <v>10.34</v>
      </c>
      <c r="L381">
        <f>[1]!XLSTAT_PDFGeneral(J381,17, 1)</f>
        <v>1.0137771196302974E-7</v>
      </c>
      <c r="M381">
        <v>381</v>
      </c>
      <c r="O381">
        <f t="shared" si="35"/>
        <v>4.5691382765531117</v>
      </c>
      <c r="P381">
        <f>[1]!XLSTAT_PDFPoisson(O381,1)</f>
        <v>1.5328310048810096E-2</v>
      </c>
    </row>
    <row r="382" spans="1:16" x14ac:dyDescent="0.3">
      <c r="A382">
        <v>382</v>
      </c>
      <c r="B382">
        <f t="shared" si="30"/>
        <v>-123456789</v>
      </c>
      <c r="C382">
        <f t="shared" si="31"/>
        <v>15.280000000000001</v>
      </c>
      <c r="D382">
        <f>[1]!XLSTAT_PDFGeneral(B382,14, 16, 1)</f>
        <v>0</v>
      </c>
      <c r="E382">
        <v>382</v>
      </c>
      <c r="G382">
        <f t="shared" si="32"/>
        <v>18.108216432865728</v>
      </c>
      <c r="H382">
        <f>[1]!XLSTAT_PDFNormal(G382,16,1)</f>
        <v>4.3229731248371546E-2</v>
      </c>
      <c r="I382">
        <v>382</v>
      </c>
      <c r="J382">
        <f t="shared" si="33"/>
        <v>-123456789</v>
      </c>
      <c r="K382">
        <f t="shared" si="34"/>
        <v>10.34</v>
      </c>
      <c r="L382">
        <f>[1]!XLSTAT_PDFGeneral(J382,17, 1)</f>
        <v>0</v>
      </c>
      <c r="M382">
        <v>382</v>
      </c>
      <c r="O382">
        <f t="shared" si="35"/>
        <v>4.5811623246493047</v>
      </c>
      <c r="P382">
        <f>[1]!XLSTAT_PDFPoisson(O382,1)</f>
        <v>1.5328310048810096E-2</v>
      </c>
    </row>
    <row r="383" spans="1:16" x14ac:dyDescent="0.3">
      <c r="A383">
        <v>383</v>
      </c>
      <c r="B383">
        <f t="shared" si="30"/>
        <v>-123456789</v>
      </c>
      <c r="C383">
        <f t="shared" si="31"/>
        <v>15.292</v>
      </c>
      <c r="D383">
        <f>[1]!XLSTAT_PDFGeneral(B383,14, 16, 1)</f>
        <v>0</v>
      </c>
      <c r="E383">
        <v>383</v>
      </c>
      <c r="G383">
        <f t="shared" si="32"/>
        <v>18.124248496993985</v>
      </c>
      <c r="H383">
        <f>[1]!XLSTAT_PDFNormal(G383,16,1)</f>
        <v>4.1787652756183888E-2</v>
      </c>
      <c r="I383">
        <v>383</v>
      </c>
      <c r="J383">
        <f t="shared" si="33"/>
        <v>-123456789</v>
      </c>
      <c r="K383">
        <f t="shared" si="34"/>
        <v>10.326000000000001</v>
      </c>
      <c r="L383">
        <f>[1]!XLSTAT_PDFGeneral(J383,17, 1)</f>
        <v>0</v>
      </c>
      <c r="M383">
        <v>383</v>
      </c>
      <c r="O383">
        <f t="shared" si="35"/>
        <v>4.5931863727454969</v>
      </c>
      <c r="P383">
        <f>[1]!XLSTAT_PDFPoisson(O383,1)</f>
        <v>1.5328310048810096E-2</v>
      </c>
    </row>
    <row r="384" spans="1:16" x14ac:dyDescent="0.3">
      <c r="A384">
        <v>384</v>
      </c>
      <c r="B384">
        <f t="shared" si="30"/>
        <v>15.292</v>
      </c>
      <c r="C384">
        <f t="shared" si="31"/>
        <v>15.292</v>
      </c>
      <c r="D384">
        <f>[1]!XLSTAT_PDFGeneral(B384,14, 16, 1)</f>
        <v>0.31050026218753124</v>
      </c>
      <c r="E384">
        <v>384</v>
      </c>
      <c r="G384">
        <f t="shared" si="32"/>
        <v>18.140280561122239</v>
      </c>
      <c r="H384">
        <f>[1]!XLSTAT_PDFNormal(G384,16,1)</f>
        <v>4.0383298887341011E-2</v>
      </c>
      <c r="I384">
        <v>384</v>
      </c>
      <c r="J384">
        <f t="shared" si="33"/>
        <v>10.326000000000001</v>
      </c>
      <c r="K384">
        <f t="shared" si="34"/>
        <v>10.326000000000001</v>
      </c>
      <c r="L384">
        <f>[1]!XLSTAT_PDFGeneral(J384,17, 1)</f>
        <v>1.0137771196302974E-7</v>
      </c>
      <c r="M384">
        <v>384</v>
      </c>
      <c r="O384">
        <f t="shared" si="35"/>
        <v>4.6052104208416891</v>
      </c>
      <c r="P384">
        <f>[1]!XLSTAT_PDFPoisson(O384,1)</f>
        <v>1.5328310048810096E-2</v>
      </c>
    </row>
    <row r="385" spans="1:16" x14ac:dyDescent="0.3">
      <c r="A385">
        <v>385</v>
      </c>
      <c r="B385">
        <f t="shared" ref="B385:B448" si="36">IF(-1^(INT(A385/2)+2)&gt;0,13+2*INT(A385/2-1/2)*0.006,-123456789)</f>
        <v>15.304</v>
      </c>
      <c r="C385">
        <f t="shared" ref="C385:C448" si="37">13+2*INT(A385/2-1/2)*0.006</f>
        <v>15.304</v>
      </c>
      <c r="D385">
        <f>[1]!XLSTAT_PDFGeneral(B385,14, 16, 1)</f>
        <v>0.3131269645331039</v>
      </c>
      <c r="E385">
        <v>385</v>
      </c>
      <c r="G385">
        <f t="shared" ref="G385:G448" si="38">12+(E385-1)*0.0160320641282565</f>
        <v>18.156312625250496</v>
      </c>
      <c r="H385">
        <f>[1]!XLSTAT_PDFNormal(G385,16,1)</f>
        <v>3.9016111525927183E-2</v>
      </c>
      <c r="I385">
        <v>385</v>
      </c>
      <c r="J385">
        <f t="shared" ref="J385:J448" si="39">IF(-1^(INT(I385/2)+2)&gt;0,13+2*INT(I385/2-1/2)*-0.007,-123456789)</f>
        <v>10.311999999999999</v>
      </c>
      <c r="K385">
        <f t="shared" ref="K385:K448" si="40">13+2*INT(I385/2-1/2)*-0.007</f>
        <v>10.311999999999999</v>
      </c>
      <c r="L385">
        <f>[1]!XLSTAT_PDFGeneral(J385,17, 1)</f>
        <v>1.0137771196302974E-7</v>
      </c>
      <c r="M385">
        <v>385</v>
      </c>
      <c r="O385">
        <f t="shared" ref="O385:O448" si="41">0+(M385-1)*0.0120240480961924</f>
        <v>4.6172344689378821</v>
      </c>
      <c r="P385">
        <f>[1]!XLSTAT_PDFPoisson(O385,1)</f>
        <v>1.5328310048810096E-2</v>
      </c>
    </row>
    <row r="386" spans="1:16" x14ac:dyDescent="0.3">
      <c r="A386">
        <v>386</v>
      </c>
      <c r="B386">
        <f t="shared" si="36"/>
        <v>-123456789</v>
      </c>
      <c r="C386">
        <f t="shared" si="37"/>
        <v>15.304</v>
      </c>
      <c r="D386">
        <f>[1]!XLSTAT_PDFGeneral(B386,14, 16, 1)</f>
        <v>0</v>
      </c>
      <c r="E386">
        <v>386</v>
      </c>
      <c r="G386">
        <f t="shared" si="38"/>
        <v>18.172344689378754</v>
      </c>
      <c r="H386">
        <f>[1]!XLSTAT_PDFNormal(G386,16,1)</f>
        <v>3.7685523212599846E-2</v>
      </c>
      <c r="I386">
        <v>386</v>
      </c>
      <c r="J386">
        <f t="shared" si="39"/>
        <v>-123456789</v>
      </c>
      <c r="K386">
        <f t="shared" si="40"/>
        <v>10.311999999999999</v>
      </c>
      <c r="L386">
        <f>[1]!XLSTAT_PDFGeneral(J386,17, 1)</f>
        <v>0</v>
      </c>
      <c r="M386">
        <v>386</v>
      </c>
      <c r="O386">
        <f t="shared" si="41"/>
        <v>4.6292585170340743</v>
      </c>
      <c r="P386">
        <f>[1]!XLSTAT_PDFPoisson(O386,1)</f>
        <v>1.5328310048810096E-2</v>
      </c>
    </row>
    <row r="387" spans="1:16" x14ac:dyDescent="0.3">
      <c r="A387">
        <v>387</v>
      </c>
      <c r="B387">
        <f t="shared" si="36"/>
        <v>-123456789</v>
      </c>
      <c r="C387">
        <f t="shared" si="37"/>
        <v>15.315999999999999</v>
      </c>
      <c r="D387">
        <f>[1]!XLSTAT_PDFGeneral(B387,14, 16, 1)</f>
        <v>0</v>
      </c>
      <c r="E387">
        <v>387</v>
      </c>
      <c r="G387">
        <f t="shared" si="38"/>
        <v>18.188376753507008</v>
      </c>
      <c r="H387">
        <f>[1]!XLSTAT_PDFNormal(G387,16,1)</f>
        <v>3.6390958034253677E-2</v>
      </c>
      <c r="I387">
        <v>387</v>
      </c>
      <c r="J387">
        <f t="shared" si="39"/>
        <v>-123456789</v>
      </c>
      <c r="K387">
        <f t="shared" si="40"/>
        <v>10.298</v>
      </c>
      <c r="L387">
        <f>[1]!XLSTAT_PDFGeneral(J387,17, 1)</f>
        <v>0</v>
      </c>
      <c r="M387">
        <v>387</v>
      </c>
      <c r="O387">
        <f t="shared" si="41"/>
        <v>4.6412825651302665</v>
      </c>
      <c r="P387">
        <f>[1]!XLSTAT_PDFPoisson(O387,1)</f>
        <v>1.5328310048810096E-2</v>
      </c>
    </row>
    <row r="388" spans="1:16" x14ac:dyDescent="0.3">
      <c r="A388">
        <v>388</v>
      </c>
      <c r="B388">
        <f t="shared" si="36"/>
        <v>15.315999999999999</v>
      </c>
      <c r="C388">
        <f t="shared" si="37"/>
        <v>15.315999999999999</v>
      </c>
      <c r="D388">
        <f>[1]!XLSTAT_PDFGeneral(B388,14, 16, 1)</f>
        <v>0.31573041922783357</v>
      </c>
      <c r="E388">
        <v>388</v>
      </c>
      <c r="G388">
        <f t="shared" si="38"/>
        <v>18.204408817635265</v>
      </c>
      <c r="H388">
        <f>[1]!XLSTAT_PDFNormal(G388,16,1)</f>
        <v>3.5131832494133895E-2</v>
      </c>
      <c r="I388">
        <v>388</v>
      </c>
      <c r="J388">
        <f t="shared" si="39"/>
        <v>10.298</v>
      </c>
      <c r="K388">
        <f t="shared" si="40"/>
        <v>10.298</v>
      </c>
      <c r="L388">
        <f>[1]!XLSTAT_PDFGeneral(J388,17, 1)</f>
        <v>1.0137771196302974E-7</v>
      </c>
      <c r="M388">
        <v>388</v>
      </c>
      <c r="O388">
        <f t="shared" si="41"/>
        <v>4.6533066132264587</v>
      </c>
      <c r="P388">
        <f>[1]!XLSTAT_PDFPoisson(O388,1)</f>
        <v>1.5328310048810096E-2</v>
      </c>
    </row>
    <row r="389" spans="1:16" x14ac:dyDescent="0.3">
      <c r="A389">
        <v>389</v>
      </c>
      <c r="B389">
        <f t="shared" si="36"/>
        <v>15.327999999999999</v>
      </c>
      <c r="C389">
        <f t="shared" si="37"/>
        <v>15.327999999999999</v>
      </c>
      <c r="D389">
        <f>[1]!XLSTAT_PDFGeneral(B389,14, 16, 1)</f>
        <v>0.31830968012427413</v>
      </c>
      <c r="E389">
        <v>389</v>
      </c>
      <c r="G389">
        <f t="shared" si="38"/>
        <v>18.220440881763523</v>
      </c>
      <c r="H389">
        <f>[1]!XLSTAT_PDFNormal(G389,16,1)</f>
        <v>3.3907556361749337E-2</v>
      </c>
      <c r="I389">
        <v>389</v>
      </c>
      <c r="J389">
        <f t="shared" si="39"/>
        <v>10.283999999999999</v>
      </c>
      <c r="K389">
        <f t="shared" si="40"/>
        <v>10.283999999999999</v>
      </c>
      <c r="L389">
        <f>[1]!XLSTAT_PDFGeneral(J389,17, 1)</f>
        <v>1.0137771196302974E-7</v>
      </c>
      <c r="M389">
        <v>389</v>
      </c>
      <c r="O389">
        <f t="shared" si="41"/>
        <v>4.6653306613226517</v>
      </c>
      <c r="P389">
        <f>[1]!XLSTAT_PDFPoisson(O389,1)</f>
        <v>1.5328310048810096E-2</v>
      </c>
    </row>
    <row r="390" spans="1:16" x14ac:dyDescent="0.3">
      <c r="A390">
        <v>390</v>
      </c>
      <c r="B390">
        <f t="shared" si="36"/>
        <v>-123456789</v>
      </c>
      <c r="C390">
        <f t="shared" si="37"/>
        <v>15.327999999999999</v>
      </c>
      <c r="D390">
        <f>[1]!XLSTAT_PDFGeneral(B390,14, 16, 1)</f>
        <v>0</v>
      </c>
      <c r="E390">
        <v>390</v>
      </c>
      <c r="G390">
        <f t="shared" si="38"/>
        <v>18.23647294589178</v>
      </c>
      <c r="H390">
        <f>[1]!XLSTAT_PDFNormal(G390,16,1)</f>
        <v>3.2717533501985877E-2</v>
      </c>
      <c r="I390">
        <v>390</v>
      </c>
      <c r="J390">
        <f t="shared" si="39"/>
        <v>-123456789</v>
      </c>
      <c r="K390">
        <f t="shared" si="40"/>
        <v>10.283999999999999</v>
      </c>
      <c r="L390">
        <f>[1]!XLSTAT_PDFGeneral(J390,17, 1)</f>
        <v>0</v>
      </c>
      <c r="M390">
        <v>390</v>
      </c>
      <c r="O390">
        <f t="shared" si="41"/>
        <v>4.6773547094188439</v>
      </c>
      <c r="P390">
        <f>[1]!XLSTAT_PDFPoisson(O390,1)</f>
        <v>1.5328310048810096E-2</v>
      </c>
    </row>
    <row r="391" spans="1:16" x14ac:dyDescent="0.3">
      <c r="A391">
        <v>391</v>
      </c>
      <c r="B391">
        <f t="shared" si="36"/>
        <v>-123456789</v>
      </c>
      <c r="C391">
        <f t="shared" si="37"/>
        <v>15.34</v>
      </c>
      <c r="D391">
        <f>[1]!XLSTAT_PDFGeneral(B391,14, 16, 1)</f>
        <v>0</v>
      </c>
      <c r="E391">
        <v>391</v>
      </c>
      <c r="G391">
        <f t="shared" si="38"/>
        <v>18.252505010020037</v>
      </c>
      <c r="H391">
        <f>[1]!XLSTAT_PDFNormal(G391,16,1)</f>
        <v>3.1561162682888194E-2</v>
      </c>
      <c r="I391">
        <v>391</v>
      </c>
      <c r="J391">
        <f t="shared" si="39"/>
        <v>-123456789</v>
      </c>
      <c r="K391">
        <f t="shared" si="40"/>
        <v>10.27</v>
      </c>
      <c r="L391">
        <f>[1]!XLSTAT_PDFGeneral(J391,17, 1)</f>
        <v>0</v>
      </c>
      <c r="M391">
        <v>391</v>
      </c>
      <c r="O391">
        <f t="shared" si="41"/>
        <v>4.6893787575150361</v>
      </c>
      <c r="P391">
        <f>[1]!XLSTAT_PDFPoisson(O391,1)</f>
        <v>1.5328310048810096E-2</v>
      </c>
    </row>
    <row r="392" spans="1:16" x14ac:dyDescent="0.3">
      <c r="A392">
        <v>392</v>
      </c>
      <c r="B392">
        <f t="shared" si="36"/>
        <v>15.34</v>
      </c>
      <c r="C392">
        <f t="shared" si="37"/>
        <v>15.34</v>
      </c>
      <c r="D392">
        <f>[1]!XLSTAT_PDFGeneral(B392,14, 16, 1)</f>
        <v>0.32086380377117246</v>
      </c>
      <c r="E392">
        <v>392</v>
      </c>
      <c r="G392">
        <f t="shared" si="38"/>
        <v>18.268537074148291</v>
      </c>
      <c r="H392">
        <f>[1]!XLSTAT_PDFNormal(G392,16,1)</f>
        <v>3.0437838361628149E-2</v>
      </c>
      <c r="I392">
        <v>392</v>
      </c>
      <c r="J392">
        <f t="shared" si="39"/>
        <v>10.27</v>
      </c>
      <c r="K392">
        <f t="shared" si="40"/>
        <v>10.27</v>
      </c>
      <c r="L392">
        <f>[1]!XLSTAT_PDFGeneral(J392,17, 1)</f>
        <v>1.0137771196302974E-7</v>
      </c>
      <c r="M392">
        <v>392</v>
      </c>
      <c r="O392">
        <f t="shared" si="41"/>
        <v>4.7014028056112283</v>
      </c>
      <c r="P392">
        <f>[1]!XLSTAT_PDFPoisson(O392,1)</f>
        <v>1.5328310048810096E-2</v>
      </c>
    </row>
    <row r="393" spans="1:16" x14ac:dyDescent="0.3">
      <c r="A393">
        <v>393</v>
      </c>
      <c r="B393">
        <f t="shared" si="36"/>
        <v>15.352</v>
      </c>
      <c r="C393">
        <f t="shared" si="37"/>
        <v>15.352</v>
      </c>
      <c r="D393">
        <f>[1]!XLSTAT_PDFGeneral(B393,14, 16, 1)</f>
        <v>0.32339184998108</v>
      </c>
      <c r="E393">
        <v>393</v>
      </c>
      <c r="G393">
        <f t="shared" si="38"/>
        <v>18.284569138276549</v>
      </c>
      <c r="H393">
        <f>[1]!XLSTAT_PDFNormal(G393,16,1)</f>
        <v>2.9346951448233433E-2</v>
      </c>
      <c r="I393">
        <v>393</v>
      </c>
      <c r="J393">
        <f t="shared" si="39"/>
        <v>10.256</v>
      </c>
      <c r="K393">
        <f t="shared" si="40"/>
        <v>10.256</v>
      </c>
      <c r="L393">
        <f>[1]!XLSTAT_PDFGeneral(J393,17, 1)</f>
        <v>1.0137771196302974E-7</v>
      </c>
      <c r="M393">
        <v>393</v>
      </c>
      <c r="O393">
        <f t="shared" si="41"/>
        <v>4.7134268537074213</v>
      </c>
      <c r="P393">
        <f>[1]!XLSTAT_PDFPoisson(O393,1)</f>
        <v>1.5328310048810096E-2</v>
      </c>
    </row>
    <row r="394" spans="1:16" x14ac:dyDescent="0.3">
      <c r="A394">
        <v>394</v>
      </c>
      <c r="B394">
        <f t="shared" si="36"/>
        <v>-123456789</v>
      </c>
      <c r="C394">
        <f t="shared" si="37"/>
        <v>15.352</v>
      </c>
      <c r="D394">
        <f>[1]!XLSTAT_PDFGeneral(B394,14, 16, 1)</f>
        <v>0</v>
      </c>
      <c r="E394">
        <v>394</v>
      </c>
      <c r="G394">
        <f t="shared" si="38"/>
        <v>18.300601202404806</v>
      </c>
      <c r="H394">
        <f>[1]!XLSTAT_PDFNormal(G394,16,1)</f>
        <v>2.8287890046709892E-2</v>
      </c>
      <c r="I394">
        <v>394</v>
      </c>
      <c r="J394">
        <f t="shared" si="39"/>
        <v>-123456789</v>
      </c>
      <c r="K394">
        <f t="shared" si="40"/>
        <v>10.256</v>
      </c>
      <c r="L394">
        <f>[1]!XLSTAT_PDFGeneral(J394,17, 1)</f>
        <v>0</v>
      </c>
      <c r="M394">
        <v>394</v>
      </c>
      <c r="O394">
        <f t="shared" si="41"/>
        <v>4.7254509018036135</v>
      </c>
      <c r="P394">
        <f>[1]!XLSTAT_PDFPoisson(O394,1)</f>
        <v>1.5328310048810096E-2</v>
      </c>
    </row>
    <row r="395" spans="1:16" x14ac:dyDescent="0.3">
      <c r="A395">
        <v>395</v>
      </c>
      <c r="B395">
        <f t="shared" si="36"/>
        <v>-123456789</v>
      </c>
      <c r="C395">
        <f t="shared" si="37"/>
        <v>15.364000000000001</v>
      </c>
      <c r="D395">
        <f>[1]!XLSTAT_PDFGeneral(B395,14, 16, 1)</f>
        <v>0</v>
      </c>
      <c r="E395">
        <v>395</v>
      </c>
      <c r="G395">
        <f t="shared" si="38"/>
        <v>18.31663326653306</v>
      </c>
      <c r="H395">
        <f>[1]!XLSTAT_PDFNormal(G395,16,1)</f>
        <v>2.7260040173234988E-2</v>
      </c>
      <c r="I395">
        <v>395</v>
      </c>
      <c r="J395">
        <f t="shared" si="39"/>
        <v>-123456789</v>
      </c>
      <c r="K395">
        <f t="shared" si="40"/>
        <v>10.242000000000001</v>
      </c>
      <c r="L395">
        <f>[1]!XLSTAT_PDFGeneral(J395,17, 1)</f>
        <v>0</v>
      </c>
      <c r="M395">
        <v>395</v>
      </c>
      <c r="O395">
        <f t="shared" si="41"/>
        <v>4.7374749498998057</v>
      </c>
      <c r="P395">
        <f>[1]!XLSTAT_PDFPoisson(O395,1)</f>
        <v>1.5328310048810096E-2</v>
      </c>
    </row>
    <row r="396" spans="1:16" x14ac:dyDescent="0.3">
      <c r="A396">
        <v>396</v>
      </c>
      <c r="B396">
        <f t="shared" si="36"/>
        <v>15.364000000000001</v>
      </c>
      <c r="C396">
        <f t="shared" si="37"/>
        <v>15.364000000000001</v>
      </c>
      <c r="D396">
        <f>[1]!XLSTAT_PDFGeneral(B396,14, 16, 1)</f>
        <v>0.3258928824001987</v>
      </c>
      <c r="E396">
        <v>396</v>
      </c>
      <c r="G396">
        <f t="shared" si="38"/>
        <v>18.332665330661317</v>
      </c>
      <c r="H396">
        <f>[1]!XLSTAT_PDFNormal(G396,16,1)</f>
        <v>2.6262786451159186E-2</v>
      </c>
      <c r="I396">
        <v>396</v>
      </c>
      <c r="J396">
        <f t="shared" si="39"/>
        <v>10.242000000000001</v>
      </c>
      <c r="K396">
        <f t="shared" si="40"/>
        <v>10.242000000000001</v>
      </c>
      <c r="L396">
        <f>[1]!XLSTAT_PDFGeneral(J396,17, 1)</f>
        <v>1.0137771196302974E-7</v>
      </c>
      <c r="M396">
        <v>396</v>
      </c>
      <c r="O396">
        <f t="shared" si="41"/>
        <v>4.7494989979959978</v>
      </c>
      <c r="P396">
        <f>[1]!XLSTAT_PDFPoisson(O396,1)</f>
        <v>1.5328310048810096E-2</v>
      </c>
    </row>
    <row r="397" spans="1:16" x14ac:dyDescent="0.3">
      <c r="A397">
        <v>397</v>
      </c>
      <c r="B397">
        <f t="shared" si="36"/>
        <v>15.375999999999999</v>
      </c>
      <c r="C397">
        <f t="shared" si="37"/>
        <v>15.375999999999999</v>
      </c>
      <c r="D397">
        <f>[1]!XLSTAT_PDFGeneral(B397,14, 16, 1)</f>
        <v>0.3283659690799875</v>
      </c>
      <c r="E397">
        <v>397</v>
      </c>
      <c r="G397">
        <f t="shared" si="38"/>
        <v>18.348697394789575</v>
      </c>
      <c r="H397">
        <f>[1]!XLSTAT_PDFNormal(G397,16,1)</f>
        <v>2.5295512782601878E-2</v>
      </c>
      <c r="I397">
        <v>397</v>
      </c>
      <c r="J397">
        <f t="shared" si="39"/>
        <v>10.228</v>
      </c>
      <c r="K397">
        <f t="shared" si="40"/>
        <v>10.228</v>
      </c>
      <c r="L397">
        <f>[1]!XLSTAT_PDFGeneral(J397,17, 1)</f>
        <v>1.0137771196302974E-7</v>
      </c>
      <c r="M397">
        <v>397</v>
      </c>
      <c r="O397">
        <f t="shared" si="41"/>
        <v>4.7615230460921909</v>
      </c>
      <c r="P397">
        <f>[1]!XLSTAT_PDFPoisson(O397,1)</f>
        <v>1.5328310048810096E-2</v>
      </c>
    </row>
    <row r="398" spans="1:16" x14ac:dyDescent="0.3">
      <c r="A398">
        <v>398</v>
      </c>
      <c r="B398">
        <f t="shared" si="36"/>
        <v>-123456789</v>
      </c>
      <c r="C398">
        <f t="shared" si="37"/>
        <v>15.375999999999999</v>
      </c>
      <c r="D398">
        <f>[1]!XLSTAT_PDFGeneral(B398,14, 16, 1)</f>
        <v>0</v>
      </c>
      <c r="E398">
        <v>398</v>
      </c>
      <c r="G398">
        <f t="shared" si="38"/>
        <v>18.364729458917832</v>
      </c>
      <c r="H398">
        <f>[1]!XLSTAT_PDFNormal(G398,16,1)</f>
        <v>2.4357602996471439E-2</v>
      </c>
      <c r="I398">
        <v>398</v>
      </c>
      <c r="J398">
        <f t="shared" si="39"/>
        <v>-123456789</v>
      </c>
      <c r="K398">
        <f t="shared" si="40"/>
        <v>10.228</v>
      </c>
      <c r="L398">
        <f>[1]!XLSTAT_PDFGeneral(J398,17, 1)</f>
        <v>0</v>
      </c>
      <c r="M398">
        <v>398</v>
      </c>
      <c r="O398">
        <f t="shared" si="41"/>
        <v>4.7735470941883831</v>
      </c>
      <c r="P398">
        <f>[1]!XLSTAT_PDFPoisson(O398,1)</f>
        <v>1.5328310048810096E-2</v>
      </c>
    </row>
    <row r="399" spans="1:16" x14ac:dyDescent="0.3">
      <c r="A399">
        <v>399</v>
      </c>
      <c r="B399">
        <f t="shared" si="36"/>
        <v>-123456789</v>
      </c>
      <c r="C399">
        <f t="shared" si="37"/>
        <v>15.388</v>
      </c>
      <c r="D399">
        <f>[1]!XLSTAT_PDFGeneral(B399,14, 16, 1)</f>
        <v>0</v>
      </c>
      <c r="E399">
        <v>399</v>
      </c>
      <c r="G399">
        <f t="shared" si="38"/>
        <v>18.38076152304609</v>
      </c>
      <c r="H399">
        <f>[1]!XLSTAT_PDFNormal(G399,16,1)</f>
        <v>2.3448441472794627E-2</v>
      </c>
      <c r="I399">
        <v>399</v>
      </c>
      <c r="J399">
        <f t="shared" si="39"/>
        <v>-123456789</v>
      </c>
      <c r="K399">
        <f t="shared" si="40"/>
        <v>10.214</v>
      </c>
      <c r="L399">
        <f>[1]!XLSTAT_PDFGeneral(J399,17, 1)</f>
        <v>0</v>
      </c>
      <c r="M399">
        <v>399</v>
      </c>
      <c r="O399">
        <f t="shared" si="41"/>
        <v>4.7855711422845753</v>
      </c>
      <c r="P399">
        <f>[1]!XLSTAT_PDFPoisson(O399,1)</f>
        <v>1.5328310048810096E-2</v>
      </c>
    </row>
    <row r="400" spans="1:16" x14ac:dyDescent="0.3">
      <c r="A400">
        <v>400</v>
      </c>
      <c r="B400">
        <f t="shared" si="36"/>
        <v>15.388</v>
      </c>
      <c r="C400">
        <f t="shared" si="37"/>
        <v>15.388</v>
      </c>
      <c r="D400">
        <f>[1]!XLSTAT_PDFGeneral(B400,14, 16, 1)</f>
        <v>0.33081018305004833</v>
      </c>
      <c r="E400">
        <v>400</v>
      </c>
      <c r="G400">
        <f t="shared" si="38"/>
        <v>18.396793587174344</v>
      </c>
      <c r="H400">
        <f>[1]!XLSTAT_PDFNormal(G400,16,1)</f>
        <v>2.2567413743281594E-2</v>
      </c>
      <c r="I400">
        <v>400</v>
      </c>
      <c r="J400">
        <f t="shared" si="39"/>
        <v>10.214</v>
      </c>
      <c r="K400">
        <f t="shared" si="40"/>
        <v>10.214</v>
      </c>
      <c r="L400">
        <f>[1]!XLSTAT_PDFGeneral(J400,17, 1)</f>
        <v>1.0137771196302974E-7</v>
      </c>
      <c r="M400">
        <v>400</v>
      </c>
      <c r="O400">
        <f t="shared" si="41"/>
        <v>4.7975951903807674</v>
      </c>
      <c r="P400">
        <f>[1]!XLSTAT_PDFPoisson(O400,1)</f>
        <v>1.5328310048810096E-2</v>
      </c>
    </row>
    <row r="401" spans="1:16" x14ac:dyDescent="0.3">
      <c r="A401">
        <v>401</v>
      </c>
      <c r="B401">
        <f t="shared" si="36"/>
        <v>15.4</v>
      </c>
      <c r="C401">
        <f t="shared" si="37"/>
        <v>15.4</v>
      </c>
      <c r="D401">
        <f>[1]!XLSTAT_PDFGeneral(B401,14, 16, 1)</f>
        <v>0.33322460289179973</v>
      </c>
      <c r="E401">
        <v>401</v>
      </c>
      <c r="G401">
        <f t="shared" si="38"/>
        <v>18.412825651302601</v>
      </c>
      <c r="H401">
        <f>[1]!XLSTAT_PDFNormal(G401,16,1)</f>
        <v>2.1713907068098226E-2</v>
      </c>
      <c r="I401">
        <v>401</v>
      </c>
      <c r="J401">
        <f t="shared" si="39"/>
        <v>10.199999999999999</v>
      </c>
      <c r="K401">
        <f t="shared" si="40"/>
        <v>10.199999999999999</v>
      </c>
      <c r="L401">
        <f>[1]!XLSTAT_PDFGeneral(J401,17, 1)</f>
        <v>1.0137771196302974E-7</v>
      </c>
      <c r="M401">
        <v>401</v>
      </c>
      <c r="O401">
        <f t="shared" si="41"/>
        <v>4.8096192384769605</v>
      </c>
      <c r="P401">
        <f>[1]!XLSTAT_PDFPoisson(O401,1)</f>
        <v>1.5328310048810096E-2</v>
      </c>
    </row>
    <row r="402" spans="1:16" x14ac:dyDescent="0.3">
      <c r="A402">
        <v>402</v>
      </c>
      <c r="B402">
        <f t="shared" si="36"/>
        <v>-123456789</v>
      </c>
      <c r="C402">
        <f t="shared" si="37"/>
        <v>15.4</v>
      </c>
      <c r="D402">
        <f>[1]!XLSTAT_PDFGeneral(B402,14, 16, 1)</f>
        <v>0</v>
      </c>
      <c r="E402">
        <v>402</v>
      </c>
      <c r="G402">
        <f t="shared" si="38"/>
        <v>18.428857715430858</v>
      </c>
      <c r="H402">
        <f>[1]!XLSTAT_PDFNormal(G402,16,1)</f>
        <v>2.0887310988864004E-2</v>
      </c>
      <c r="I402">
        <v>402</v>
      </c>
      <c r="J402">
        <f t="shared" si="39"/>
        <v>-123456789</v>
      </c>
      <c r="K402">
        <f t="shared" si="40"/>
        <v>10.199999999999999</v>
      </c>
      <c r="L402">
        <f>[1]!XLSTAT_PDFGeneral(J402,17, 1)</f>
        <v>0</v>
      </c>
      <c r="M402">
        <v>402</v>
      </c>
      <c r="O402">
        <f t="shared" si="41"/>
        <v>4.8216432865731527</v>
      </c>
      <c r="P402">
        <f>[1]!XLSTAT_PDFPoisson(O402,1)</f>
        <v>1.5328310048810096E-2</v>
      </c>
    </row>
    <row r="403" spans="1:16" x14ac:dyDescent="0.3">
      <c r="A403">
        <v>403</v>
      </c>
      <c r="B403">
        <f t="shared" si="36"/>
        <v>-123456789</v>
      </c>
      <c r="C403">
        <f t="shared" si="37"/>
        <v>15.411999999999999</v>
      </c>
      <c r="D403">
        <f>[1]!XLSTAT_PDFGeneral(B403,14, 16, 1)</f>
        <v>0</v>
      </c>
      <c r="E403">
        <v>403</v>
      </c>
      <c r="G403">
        <f t="shared" si="38"/>
        <v>18.444889779559112</v>
      </c>
      <c r="H403">
        <f>[1]!XLSTAT_PDFNormal(G403,16,1)</f>
        <v>2.0087017857928463E-2</v>
      </c>
      <c r="I403">
        <v>403</v>
      </c>
      <c r="J403">
        <f t="shared" si="39"/>
        <v>-123456789</v>
      </c>
      <c r="K403">
        <f t="shared" si="40"/>
        <v>10.186</v>
      </c>
      <c r="L403">
        <f>[1]!XLSTAT_PDFGeneral(J403,17, 1)</f>
        <v>0</v>
      </c>
      <c r="M403">
        <v>403</v>
      </c>
      <c r="O403">
        <f t="shared" si="41"/>
        <v>4.8336673346693448</v>
      </c>
      <c r="P403">
        <f>[1]!XLSTAT_PDFPoisson(O403,1)</f>
        <v>1.5328310048810096E-2</v>
      </c>
    </row>
    <row r="404" spans="1:16" x14ac:dyDescent="0.3">
      <c r="A404">
        <v>404</v>
      </c>
      <c r="B404">
        <f t="shared" si="36"/>
        <v>15.411999999999999</v>
      </c>
      <c r="C404">
        <f t="shared" si="37"/>
        <v>15.411999999999999</v>
      </c>
      <c r="D404">
        <f>[1]!XLSTAT_PDFGeneral(B404,14, 16, 1)</f>
        <v>0.33560831331245378</v>
      </c>
      <c r="E404">
        <v>404</v>
      </c>
      <c r="G404">
        <f t="shared" si="38"/>
        <v>18.46092184368737</v>
      </c>
      <c r="H404">
        <f>[1]!XLSTAT_PDFNormal(G404,16,1)</f>
        <v>1.9312423344024613E-2</v>
      </c>
      <c r="I404">
        <v>404</v>
      </c>
      <c r="J404">
        <f t="shared" si="39"/>
        <v>10.186</v>
      </c>
      <c r="K404">
        <f t="shared" si="40"/>
        <v>10.186</v>
      </c>
      <c r="L404">
        <f>[1]!XLSTAT_PDFGeneral(J404,17, 1)</f>
        <v>1.0137771196302974E-7</v>
      </c>
      <c r="M404">
        <v>404</v>
      </c>
      <c r="O404">
        <f t="shared" si="41"/>
        <v>4.845691382765537</v>
      </c>
      <c r="P404">
        <f>[1]!XLSTAT_PDFPoisson(O404,1)</f>
        <v>1.5328310048810096E-2</v>
      </c>
    </row>
    <row r="405" spans="1:16" x14ac:dyDescent="0.3">
      <c r="A405">
        <v>405</v>
      </c>
      <c r="B405">
        <f t="shared" si="36"/>
        <v>15.423999999999999</v>
      </c>
      <c r="C405">
        <f t="shared" si="37"/>
        <v>15.423999999999999</v>
      </c>
      <c r="D405">
        <f>[1]!XLSTAT_PDFGeneral(B405,14, 16, 1)</f>
        <v>0.33796040571879699</v>
      </c>
      <c r="E405">
        <v>405</v>
      </c>
      <c r="G405">
        <f t="shared" si="38"/>
        <v>18.476953907815627</v>
      </c>
      <c r="H405">
        <f>[1]!XLSTAT_PDFNormal(G405,16,1)</f>
        <v>1.8562926914435361E-2</v>
      </c>
      <c r="I405">
        <v>405</v>
      </c>
      <c r="J405">
        <f t="shared" si="39"/>
        <v>10.172000000000001</v>
      </c>
      <c r="K405">
        <f t="shared" si="40"/>
        <v>10.172000000000001</v>
      </c>
      <c r="L405">
        <f>[1]!XLSTAT_PDFGeneral(J405,17, 1)</f>
        <v>1.0137771196302974E-7</v>
      </c>
      <c r="M405">
        <v>405</v>
      </c>
      <c r="O405">
        <f t="shared" si="41"/>
        <v>4.8577154308617301</v>
      </c>
      <c r="P405">
        <f>[1]!XLSTAT_PDFPoisson(O405,1)</f>
        <v>1.5328310048810096E-2</v>
      </c>
    </row>
    <row r="406" spans="1:16" x14ac:dyDescent="0.3">
      <c r="A406">
        <v>406</v>
      </c>
      <c r="B406">
        <f t="shared" si="36"/>
        <v>-123456789</v>
      </c>
      <c r="C406">
        <f t="shared" si="37"/>
        <v>15.423999999999999</v>
      </c>
      <c r="D406">
        <f>[1]!XLSTAT_PDFGeneral(B406,14, 16, 1)</f>
        <v>0</v>
      </c>
      <c r="E406">
        <v>406</v>
      </c>
      <c r="G406">
        <f t="shared" si="38"/>
        <v>18.492985971943881</v>
      </c>
      <c r="H406">
        <f>[1]!XLSTAT_PDFNormal(G406,16,1)</f>
        <v>1.783793229384039E-2</v>
      </c>
      <c r="I406">
        <v>406</v>
      </c>
      <c r="J406">
        <f t="shared" si="39"/>
        <v>-123456789</v>
      </c>
      <c r="K406">
        <f t="shared" si="40"/>
        <v>10.172000000000001</v>
      </c>
      <c r="L406">
        <f>[1]!XLSTAT_PDFGeneral(J406,17, 1)</f>
        <v>0</v>
      </c>
      <c r="M406">
        <v>406</v>
      </c>
      <c r="O406">
        <f t="shared" si="41"/>
        <v>4.8697394789579223</v>
      </c>
      <c r="P406">
        <f>[1]!XLSTAT_PDFPoisson(O406,1)</f>
        <v>1.5328310048810096E-2</v>
      </c>
    </row>
    <row r="407" spans="1:16" x14ac:dyDescent="0.3">
      <c r="A407">
        <v>407</v>
      </c>
      <c r="B407">
        <f t="shared" si="36"/>
        <v>-123456789</v>
      </c>
      <c r="C407">
        <f t="shared" si="37"/>
        <v>15.436</v>
      </c>
      <c r="D407">
        <f>[1]!XLSTAT_PDFGeneral(B407,14, 16, 1)</f>
        <v>0</v>
      </c>
      <c r="E407">
        <v>407</v>
      </c>
      <c r="G407">
        <f t="shared" si="38"/>
        <v>18.509018036072138</v>
      </c>
      <c r="H407">
        <f>[1]!XLSTAT_PDFNormal(G407,16,1)</f>
        <v>1.7136847900050874E-2</v>
      </c>
      <c r="I407">
        <v>407</v>
      </c>
      <c r="J407">
        <f t="shared" si="39"/>
        <v>-123456789</v>
      </c>
      <c r="K407">
        <f t="shared" si="40"/>
        <v>10.157999999999999</v>
      </c>
      <c r="L407">
        <f>[1]!XLSTAT_PDFGeneral(J407,17, 1)</f>
        <v>0</v>
      </c>
      <c r="M407">
        <v>407</v>
      </c>
      <c r="O407">
        <f t="shared" si="41"/>
        <v>4.8817635270541144</v>
      </c>
      <c r="P407">
        <f>[1]!XLSTAT_PDFPoisson(O407,1)</f>
        <v>1.5328310048810096E-2</v>
      </c>
    </row>
    <row r="408" spans="1:16" x14ac:dyDescent="0.3">
      <c r="A408">
        <v>408</v>
      </c>
      <c r="B408">
        <f t="shared" si="36"/>
        <v>15.436</v>
      </c>
      <c r="C408">
        <f t="shared" si="37"/>
        <v>15.436</v>
      </c>
      <c r="D408">
        <f>[1]!XLSTAT_PDFGeneral(B408,14, 16, 1)</f>
        <v>0.34027997879027366</v>
      </c>
      <c r="E408">
        <v>408</v>
      </c>
      <c r="G408">
        <f t="shared" si="38"/>
        <v>18.525050100200396</v>
      </c>
      <c r="H408">
        <f>[1]!XLSTAT_PDFNormal(G408,16,1)</f>
        <v>1.6459087256871226E-2</v>
      </c>
      <c r="I408">
        <v>408</v>
      </c>
      <c r="J408">
        <f t="shared" si="39"/>
        <v>10.157999999999999</v>
      </c>
      <c r="K408">
        <f t="shared" si="40"/>
        <v>10.157999999999999</v>
      </c>
      <c r="L408">
        <f>[1]!XLSTAT_PDFGeneral(J408,17, 1)</f>
        <v>1.0137771196302974E-7</v>
      </c>
      <c r="M408">
        <v>408</v>
      </c>
      <c r="O408">
        <f t="shared" si="41"/>
        <v>4.8937875751503066</v>
      </c>
      <c r="P408">
        <f>[1]!XLSTAT_PDFPoisson(O408,1)</f>
        <v>1.5328310048810096E-2</v>
      </c>
    </row>
    <row r="409" spans="1:16" x14ac:dyDescent="0.3">
      <c r="A409">
        <v>409</v>
      </c>
      <c r="B409">
        <f t="shared" si="36"/>
        <v>15.448</v>
      </c>
      <c r="C409">
        <f t="shared" si="37"/>
        <v>15.448</v>
      </c>
      <c r="D409">
        <f>[1]!XLSTAT_PDFGeneral(B409,14, 16, 1)</f>
        <v>0.34256613905087624</v>
      </c>
      <c r="E409">
        <v>409</v>
      </c>
      <c r="G409">
        <f t="shared" si="38"/>
        <v>18.541082164328653</v>
      </c>
      <c r="H409">
        <f>[1]!XLSTAT_PDFNormal(G409,16,1)</f>
        <v>1.580406938435432E-2</v>
      </c>
      <c r="I409">
        <v>409</v>
      </c>
      <c r="J409">
        <f t="shared" si="39"/>
        <v>10.144</v>
      </c>
      <c r="K409">
        <f t="shared" si="40"/>
        <v>10.144</v>
      </c>
      <c r="L409">
        <f>[1]!XLSTAT_PDFGeneral(J409,17, 1)</f>
        <v>1.0137771196302974E-7</v>
      </c>
      <c r="M409">
        <v>409</v>
      </c>
      <c r="O409">
        <f t="shared" si="41"/>
        <v>4.9058116232464997</v>
      </c>
      <c r="P409">
        <f>[1]!XLSTAT_PDFPoisson(O409,1)</f>
        <v>1.5328310048810096E-2</v>
      </c>
    </row>
    <row r="410" spans="1:16" x14ac:dyDescent="0.3">
      <c r="A410">
        <v>410</v>
      </c>
      <c r="B410">
        <f t="shared" si="36"/>
        <v>-123456789</v>
      </c>
      <c r="C410">
        <f t="shared" si="37"/>
        <v>15.448</v>
      </c>
      <c r="D410">
        <f>[1]!XLSTAT_PDFGeneral(B410,14, 16, 1)</f>
        <v>0</v>
      </c>
      <c r="E410">
        <v>410</v>
      </c>
      <c r="G410">
        <f t="shared" si="38"/>
        <v>18.557114228456911</v>
      </c>
      <c r="H410">
        <f>[1]!XLSTAT_PDFNormal(G410,16,1)</f>
        <v>1.5171219166751099E-2</v>
      </c>
      <c r="I410">
        <v>410</v>
      </c>
      <c r="J410">
        <f t="shared" si="39"/>
        <v>-123456789</v>
      </c>
      <c r="K410">
        <f t="shared" si="40"/>
        <v>10.144</v>
      </c>
      <c r="L410">
        <f>[1]!XLSTAT_PDFGeneral(J410,17, 1)</f>
        <v>0</v>
      </c>
      <c r="M410">
        <v>410</v>
      </c>
      <c r="O410">
        <f t="shared" si="41"/>
        <v>4.9178356713426918</v>
      </c>
      <c r="P410">
        <f>[1]!XLSTAT_PDFPoisson(O410,1)</f>
        <v>1.5328310048810096E-2</v>
      </c>
    </row>
    <row r="411" spans="1:16" x14ac:dyDescent="0.3">
      <c r="A411">
        <v>411</v>
      </c>
      <c r="B411">
        <f t="shared" si="36"/>
        <v>-123456789</v>
      </c>
      <c r="C411">
        <f t="shared" si="37"/>
        <v>15.46</v>
      </c>
      <c r="D411">
        <f>[1]!XLSTAT_PDFGeneral(B411,14, 16, 1)</f>
        <v>0</v>
      </c>
      <c r="E411">
        <v>411</v>
      </c>
      <c r="G411">
        <f t="shared" si="38"/>
        <v>18.573146292585164</v>
      </c>
      <c r="H411">
        <f>[1]!XLSTAT_PDFNormal(G411,16,1)</f>
        <v>1.4559967698479798E-2</v>
      </c>
      <c r="I411">
        <v>411</v>
      </c>
      <c r="J411">
        <f t="shared" si="39"/>
        <v>-123456789</v>
      </c>
      <c r="K411">
        <f t="shared" si="40"/>
        <v>10.129999999999999</v>
      </c>
      <c r="L411">
        <f>[1]!XLSTAT_PDFGeneral(J411,17, 1)</f>
        <v>0</v>
      </c>
      <c r="M411">
        <v>411</v>
      </c>
      <c r="O411">
        <f t="shared" si="41"/>
        <v>4.929859719438884</v>
      </c>
      <c r="P411">
        <f>[1]!XLSTAT_PDFPoisson(O411,1)</f>
        <v>1.5328310048810096E-2</v>
      </c>
    </row>
    <row r="412" spans="1:16" x14ac:dyDescent="0.3">
      <c r="A412">
        <v>412</v>
      </c>
      <c r="B412">
        <f t="shared" si="36"/>
        <v>15.46</v>
      </c>
      <c r="C412">
        <f t="shared" si="37"/>
        <v>15.46</v>
      </c>
      <c r="D412">
        <f>[1]!XLSTAT_PDFGeneral(B412,14, 16, 1)</f>
        <v>0.34481800143933355</v>
      </c>
      <c r="E412">
        <v>412</v>
      </c>
      <c r="G412">
        <f t="shared" si="38"/>
        <v>18.589178356713422</v>
      </c>
      <c r="H412">
        <f>[1]!XLSTAT_PDFNormal(G412,16,1)</f>
        <v>1.3969752608466173E-2</v>
      </c>
      <c r="I412">
        <v>412</v>
      </c>
      <c r="J412">
        <f t="shared" si="39"/>
        <v>10.129999999999999</v>
      </c>
      <c r="K412">
        <f t="shared" si="40"/>
        <v>10.129999999999999</v>
      </c>
      <c r="L412">
        <f>[1]!XLSTAT_PDFGeneral(J412,17, 1)</f>
        <v>1.0137771196302974E-7</v>
      </c>
      <c r="M412">
        <v>412</v>
      </c>
      <c r="O412">
        <f t="shared" si="41"/>
        <v>4.9418837675350762</v>
      </c>
      <c r="P412">
        <f>[1]!XLSTAT_PDFPoisson(O412,1)</f>
        <v>1.5328310048810096E-2</v>
      </c>
    </row>
    <row r="413" spans="1:16" x14ac:dyDescent="0.3">
      <c r="A413">
        <v>413</v>
      </c>
      <c r="B413">
        <f t="shared" si="36"/>
        <v>15.472</v>
      </c>
      <c r="C413">
        <f t="shared" si="37"/>
        <v>15.472</v>
      </c>
      <c r="D413">
        <f>[1]!XLSTAT_PDFGeneral(B413,14, 16, 1)</f>
        <v>0.34703468987709224</v>
      </c>
      <c r="E413">
        <v>413</v>
      </c>
      <c r="G413">
        <f t="shared" si="38"/>
        <v>18.605210420841679</v>
      </c>
      <c r="H413">
        <f>[1]!XLSTAT_PDFNormal(G413,16,1)</f>
        <v>1.3400018363232673E-2</v>
      </c>
      <c r="I413">
        <v>413</v>
      </c>
      <c r="J413">
        <f t="shared" si="39"/>
        <v>10.116</v>
      </c>
      <c r="K413">
        <f t="shared" si="40"/>
        <v>10.116</v>
      </c>
      <c r="L413">
        <f>[1]!XLSTAT_PDFGeneral(J413,17, 1)</f>
        <v>1.0137771196302974E-7</v>
      </c>
      <c r="M413">
        <v>413</v>
      </c>
      <c r="O413">
        <f t="shared" si="41"/>
        <v>4.9539078156312693</v>
      </c>
      <c r="P413">
        <f>[1]!XLSTAT_PDFPoisson(O413,1)</f>
        <v>1.5328310048810096E-2</v>
      </c>
    </row>
    <row r="414" spans="1:16" x14ac:dyDescent="0.3">
      <c r="A414">
        <v>414</v>
      </c>
      <c r="B414">
        <f t="shared" si="36"/>
        <v>-123456789</v>
      </c>
      <c r="C414">
        <f t="shared" si="37"/>
        <v>15.472</v>
      </c>
      <c r="D414">
        <f>[1]!XLSTAT_PDFGeneral(B414,14, 16, 1)</f>
        <v>0</v>
      </c>
      <c r="E414">
        <v>414</v>
      </c>
      <c r="G414">
        <f t="shared" si="38"/>
        <v>18.621242484969933</v>
      </c>
      <c r="H414">
        <f>[1]!XLSTAT_PDFNormal(G414,16,1)</f>
        <v>1.2850216549132334E-2</v>
      </c>
      <c r="I414">
        <v>414</v>
      </c>
      <c r="J414">
        <f t="shared" si="39"/>
        <v>-123456789</v>
      </c>
      <c r="K414">
        <f t="shared" si="40"/>
        <v>10.116</v>
      </c>
      <c r="L414">
        <f>[1]!XLSTAT_PDFGeneral(J414,17, 1)</f>
        <v>0</v>
      </c>
      <c r="M414">
        <v>414</v>
      </c>
      <c r="O414">
        <f t="shared" si="41"/>
        <v>4.9659318637274614</v>
      </c>
      <c r="P414">
        <f>[1]!XLSTAT_PDFPoisson(O414,1)</f>
        <v>1.5328310048810096E-2</v>
      </c>
    </row>
    <row r="415" spans="1:16" x14ac:dyDescent="0.3">
      <c r="A415">
        <v>415</v>
      </c>
      <c r="B415">
        <f t="shared" si="36"/>
        <v>-123456789</v>
      </c>
      <c r="C415">
        <f t="shared" si="37"/>
        <v>15.484</v>
      </c>
      <c r="D415">
        <f>[1]!XLSTAT_PDFGeneral(B415,14, 16, 1)</f>
        <v>0</v>
      </c>
      <c r="E415">
        <v>415</v>
      </c>
      <c r="G415">
        <f t="shared" si="38"/>
        <v>18.637274549098191</v>
      </c>
      <c r="H415">
        <f>[1]!XLSTAT_PDFNormal(G415,16,1)</f>
        <v>1.2319806134147739E-2</v>
      </c>
      <c r="I415">
        <v>415</v>
      </c>
      <c r="J415">
        <f t="shared" si="39"/>
        <v>-123456789</v>
      </c>
      <c r="K415">
        <f t="shared" si="40"/>
        <v>10.102</v>
      </c>
      <c r="L415">
        <f>[1]!XLSTAT_PDFGeneral(J415,17, 1)</f>
        <v>0</v>
      </c>
      <c r="M415">
        <v>415</v>
      </c>
      <c r="O415">
        <f t="shared" si="41"/>
        <v>4.9779559118236536</v>
      </c>
      <c r="P415">
        <f>[1]!XLSTAT_PDFPoisson(O415,1)</f>
        <v>1.5328310048810096E-2</v>
      </c>
    </row>
    <row r="416" spans="1:16" x14ac:dyDescent="0.3">
      <c r="A416">
        <v>416</v>
      </c>
      <c r="B416">
        <f t="shared" si="36"/>
        <v>15.484</v>
      </c>
      <c r="C416">
        <f t="shared" si="37"/>
        <v>15.484</v>
      </c>
      <c r="D416">
        <f>[1]!XLSTAT_PDFGeneral(B416,14, 16, 1)</f>
        <v>0.34921533783358666</v>
      </c>
      <c r="E416">
        <v>416</v>
      </c>
      <c r="G416">
        <f t="shared" si="38"/>
        <v>18.653306613226448</v>
      </c>
      <c r="H416">
        <f>[1]!XLSTAT_PDFNormal(G416,16,1)</f>
        <v>1.1808253709693989E-2</v>
      </c>
      <c r="I416">
        <v>416</v>
      </c>
      <c r="J416">
        <f t="shared" si="39"/>
        <v>10.102</v>
      </c>
      <c r="K416">
        <f t="shared" si="40"/>
        <v>10.102</v>
      </c>
      <c r="L416">
        <f>[1]!XLSTAT_PDFGeneral(J416,17, 1)</f>
        <v>1.0137771196302974E-7</v>
      </c>
      <c r="M416">
        <v>416</v>
      </c>
      <c r="O416">
        <f t="shared" si="41"/>
        <v>4.9899799599198458</v>
      </c>
      <c r="P416">
        <f>[1]!XLSTAT_PDFPoisson(O416,1)</f>
        <v>1.5328310048810096E-2</v>
      </c>
    </row>
    <row r="417" spans="1:16" x14ac:dyDescent="0.3">
      <c r="A417">
        <v>417</v>
      </c>
      <c r="B417">
        <f t="shared" si="36"/>
        <v>15.496</v>
      </c>
      <c r="C417">
        <f t="shared" si="37"/>
        <v>15.496</v>
      </c>
      <c r="D417">
        <f>[1]!XLSTAT_PDFGeneral(B417,14, 16, 1)</f>
        <v>0.3513590888882841</v>
      </c>
      <c r="E417">
        <v>417</v>
      </c>
      <c r="G417">
        <f t="shared" si="38"/>
        <v>18.669338677354705</v>
      </c>
      <c r="H417">
        <f>[1]!XLSTAT_PDFNormal(G417,16,1)</f>
        <v>1.131503371287864E-2</v>
      </c>
      <c r="I417">
        <v>417</v>
      </c>
      <c r="J417">
        <f t="shared" si="39"/>
        <v>10.088000000000001</v>
      </c>
      <c r="K417">
        <f t="shared" si="40"/>
        <v>10.088000000000001</v>
      </c>
      <c r="L417">
        <f>[1]!XLSTAT_PDFGeneral(J417,17, 1)</f>
        <v>1.0137771196302974E-7</v>
      </c>
      <c r="M417">
        <v>417</v>
      </c>
      <c r="O417">
        <f t="shared" si="41"/>
        <v>5.0020040080160388</v>
      </c>
      <c r="P417">
        <f>[1]!XLSTAT_PDFPoisson(O417,1)</f>
        <v>3.0656620097620196E-3</v>
      </c>
    </row>
    <row r="418" spans="1:16" x14ac:dyDescent="0.3">
      <c r="A418">
        <v>418</v>
      </c>
      <c r="B418">
        <f t="shared" si="36"/>
        <v>-123456789</v>
      </c>
      <c r="C418">
        <f t="shared" si="37"/>
        <v>15.496</v>
      </c>
      <c r="D418">
        <f>[1]!XLSTAT_PDFGeneral(B418,14, 16, 1)</f>
        <v>0</v>
      </c>
      <c r="E418">
        <v>418</v>
      </c>
      <c r="G418">
        <f t="shared" si="38"/>
        <v>18.685370741482963</v>
      </c>
      <c r="H418">
        <f>[1]!XLSTAT_PDFNormal(G418,16,1)</f>
        <v>1.0839628629691485E-2</v>
      </c>
      <c r="I418">
        <v>418</v>
      </c>
      <c r="J418">
        <f t="shared" si="39"/>
        <v>-123456789</v>
      </c>
      <c r="K418">
        <f t="shared" si="40"/>
        <v>10.088000000000001</v>
      </c>
      <c r="L418">
        <f>[1]!XLSTAT_PDFGeneral(J418,17, 1)</f>
        <v>0</v>
      </c>
      <c r="M418">
        <v>418</v>
      </c>
      <c r="O418">
        <f t="shared" si="41"/>
        <v>5.014028056112231</v>
      </c>
      <c r="P418">
        <f>[1]!XLSTAT_PDFPoisson(O418,1)</f>
        <v>3.0656620097620196E-3</v>
      </c>
    </row>
    <row r="419" spans="1:16" x14ac:dyDescent="0.3">
      <c r="A419">
        <v>419</v>
      </c>
      <c r="B419">
        <f t="shared" si="36"/>
        <v>-123456789</v>
      </c>
      <c r="C419">
        <f t="shared" si="37"/>
        <v>15.507999999999999</v>
      </c>
      <c r="D419">
        <f>[1]!XLSTAT_PDFGeneral(B419,14, 16, 1)</f>
        <v>0</v>
      </c>
      <c r="E419">
        <v>419</v>
      </c>
      <c r="G419">
        <f t="shared" si="38"/>
        <v>18.701402805611217</v>
      </c>
      <c r="H419">
        <f>[1]!XLSTAT_PDFNormal(G419,16,1)</f>
        <v>1.0381529179608523E-2</v>
      </c>
      <c r="I419">
        <v>419</v>
      </c>
      <c r="J419">
        <f t="shared" si="39"/>
        <v>-123456789</v>
      </c>
      <c r="K419">
        <f t="shared" si="40"/>
        <v>10.074</v>
      </c>
      <c r="L419">
        <f>[1]!XLSTAT_PDFGeneral(J419,17, 1)</f>
        <v>0</v>
      </c>
      <c r="M419">
        <v>419</v>
      </c>
      <c r="O419">
        <f t="shared" si="41"/>
        <v>5.0260521042084232</v>
      </c>
      <c r="P419">
        <f>[1]!XLSTAT_PDFPoisson(O419,1)</f>
        <v>3.0656620097620196E-3</v>
      </c>
    </row>
    <row r="420" spans="1:16" x14ac:dyDescent="0.3">
      <c r="A420">
        <v>420</v>
      </c>
      <c r="B420">
        <f t="shared" si="36"/>
        <v>15.507999999999999</v>
      </c>
      <c r="C420">
        <f t="shared" si="37"/>
        <v>15.507999999999999</v>
      </c>
      <c r="D420">
        <f>[1]!XLSTAT_PDFGeneral(B420,14, 16, 1)</f>
        <v>0.35346509728900322</v>
      </c>
      <c r="E420">
        <v>420</v>
      </c>
      <c r="G420">
        <f t="shared" si="38"/>
        <v>18.717434869739474</v>
      </c>
      <c r="H420">
        <f>[1]!XLSTAT_PDFNormal(G420,16,1)</f>
        <v>9.9402344821072405E-3</v>
      </c>
      <c r="I420">
        <v>420</v>
      </c>
      <c r="J420">
        <f t="shared" si="39"/>
        <v>10.074</v>
      </c>
      <c r="K420">
        <f t="shared" si="40"/>
        <v>10.074</v>
      </c>
      <c r="L420">
        <f>[1]!XLSTAT_PDFGeneral(J420,17, 1)</f>
        <v>1.0137771196302974E-7</v>
      </c>
      <c r="M420">
        <v>420</v>
      </c>
      <c r="O420">
        <f t="shared" si="41"/>
        <v>5.0380761523046154</v>
      </c>
      <c r="P420">
        <f>[1]!XLSTAT_PDFPoisson(O420,1)</f>
        <v>3.0656620097620196E-3</v>
      </c>
    </row>
    <row r="421" spans="1:16" x14ac:dyDescent="0.3">
      <c r="A421">
        <v>421</v>
      </c>
      <c r="B421">
        <f t="shared" si="36"/>
        <v>15.52</v>
      </c>
      <c r="C421">
        <f t="shared" si="37"/>
        <v>15.52</v>
      </c>
      <c r="D421">
        <f>[1]!XLSTAT_PDFGeneral(B421,14, 16, 1)</f>
        <v>0.35553252850599704</v>
      </c>
      <c r="E421">
        <v>421</v>
      </c>
      <c r="G421">
        <f t="shared" si="38"/>
        <v>18.733466933867732</v>
      </c>
      <c r="H421">
        <f>[1]!XLSTAT_PDFNormal(G421,16,1)</f>
        <v>9.5152522056033816E-3</v>
      </c>
      <c r="I421">
        <v>421</v>
      </c>
      <c r="J421">
        <f t="shared" si="39"/>
        <v>10.06</v>
      </c>
      <c r="K421">
        <f t="shared" si="40"/>
        <v>10.06</v>
      </c>
      <c r="L421">
        <f>[1]!XLSTAT_PDFGeneral(J421,17, 1)</f>
        <v>1.0137771196302974E-7</v>
      </c>
      <c r="M421">
        <v>421</v>
      </c>
      <c r="O421">
        <f t="shared" si="41"/>
        <v>5.0501002004008084</v>
      </c>
      <c r="P421">
        <f>[1]!XLSTAT_PDFPoisson(O421,1)</f>
        <v>3.0656620097620196E-3</v>
      </c>
    </row>
    <row r="422" spans="1:16" x14ac:dyDescent="0.3">
      <c r="A422">
        <v>422</v>
      </c>
      <c r="B422">
        <f t="shared" si="36"/>
        <v>-123456789</v>
      </c>
      <c r="C422">
        <f t="shared" si="37"/>
        <v>15.52</v>
      </c>
      <c r="D422">
        <f>[1]!XLSTAT_PDFGeneral(B422,14, 16, 1)</f>
        <v>0</v>
      </c>
      <c r="E422">
        <v>422</v>
      </c>
      <c r="G422">
        <f t="shared" si="38"/>
        <v>18.749498997995985</v>
      </c>
      <c r="H422">
        <f>[1]!XLSTAT_PDFNormal(G422,16,1)</f>
        <v>9.1060986993252747E-3</v>
      </c>
      <c r="I422">
        <v>422</v>
      </c>
      <c r="J422">
        <f t="shared" si="39"/>
        <v>-123456789</v>
      </c>
      <c r="K422">
        <f t="shared" si="40"/>
        <v>10.06</v>
      </c>
      <c r="L422">
        <f>[1]!XLSTAT_PDFGeneral(J422,17, 1)</f>
        <v>0</v>
      </c>
      <c r="M422">
        <v>422</v>
      </c>
      <c r="O422">
        <f t="shared" si="41"/>
        <v>5.0621242484970006</v>
      </c>
      <c r="P422">
        <f>[1]!XLSTAT_PDFPoisson(O422,1)</f>
        <v>3.0656620097620196E-3</v>
      </c>
    </row>
    <row r="423" spans="1:16" x14ac:dyDescent="0.3">
      <c r="A423">
        <v>423</v>
      </c>
      <c r="B423">
        <f t="shared" si="36"/>
        <v>-123456789</v>
      </c>
      <c r="C423">
        <f t="shared" si="37"/>
        <v>15.532</v>
      </c>
      <c r="D423">
        <f>[1]!XLSTAT_PDFGeneral(B423,14, 16, 1)</f>
        <v>0</v>
      </c>
      <c r="E423">
        <v>423</v>
      </c>
      <c r="G423">
        <f t="shared" si="38"/>
        <v>18.765531062124243</v>
      </c>
      <c r="H423">
        <f>[1]!XLSTAT_PDFNormal(G423,16,1)</f>
        <v>8.7122991086529614E-3</v>
      </c>
      <c r="I423">
        <v>423</v>
      </c>
      <c r="J423">
        <f t="shared" si="39"/>
        <v>-123456789</v>
      </c>
      <c r="K423">
        <f t="shared" si="40"/>
        <v>10.045999999999999</v>
      </c>
      <c r="L423">
        <f>[1]!XLSTAT_PDFGeneral(J423,17, 1)</f>
        <v>0</v>
      </c>
      <c r="M423">
        <v>423</v>
      </c>
      <c r="O423">
        <f t="shared" si="41"/>
        <v>5.0741482965931928</v>
      </c>
      <c r="P423">
        <f>[1]!XLSTAT_PDFPoisson(O423,1)</f>
        <v>3.0656620097620196E-3</v>
      </c>
    </row>
    <row r="424" spans="1:16" x14ac:dyDescent="0.3">
      <c r="A424">
        <v>424</v>
      </c>
      <c r="B424">
        <f t="shared" si="36"/>
        <v>15.532</v>
      </c>
      <c r="C424">
        <f t="shared" si="37"/>
        <v>15.532</v>
      </c>
      <c r="D424">
        <f>[1]!XLSTAT_PDFGeneral(B424,14, 16, 1)</f>
        <v>0.35756055978128964</v>
      </c>
      <c r="E424">
        <v>424</v>
      </c>
      <c r="G424">
        <f t="shared" si="38"/>
        <v>18.7815631262525</v>
      </c>
      <c r="H424">
        <f>[1]!XLSTAT_PDFNormal(G424,16,1)</f>
        <v>8.3333874744557258E-3</v>
      </c>
      <c r="I424">
        <v>424</v>
      </c>
      <c r="J424">
        <f t="shared" si="39"/>
        <v>10.045999999999999</v>
      </c>
      <c r="K424">
        <f t="shared" si="40"/>
        <v>10.045999999999999</v>
      </c>
      <c r="L424">
        <f>[1]!XLSTAT_PDFGeneral(J424,17, 1)</f>
        <v>1.0137771196302974E-7</v>
      </c>
      <c r="M424">
        <v>424</v>
      </c>
      <c r="O424">
        <f t="shared" si="41"/>
        <v>5.0861723446893849</v>
      </c>
      <c r="P424">
        <f>[1]!XLSTAT_PDFPoisson(O424,1)</f>
        <v>3.0656620097620196E-3</v>
      </c>
    </row>
    <row r="425" spans="1:16" x14ac:dyDescent="0.3">
      <c r="A425">
        <v>425</v>
      </c>
      <c r="B425">
        <f t="shared" si="36"/>
        <v>15.544</v>
      </c>
      <c r="C425">
        <f t="shared" si="37"/>
        <v>15.544</v>
      </c>
      <c r="D425">
        <f>[1]!XLSTAT_PDFGeneral(B425,14, 16, 1)</f>
        <v>0.35954838067276967</v>
      </c>
      <c r="E425">
        <v>425</v>
      </c>
      <c r="G425">
        <f t="shared" si="38"/>
        <v>18.797595190380758</v>
      </c>
      <c r="H425">
        <f>[1]!XLSTAT_PDFNormal(G425,16,1)</f>
        <v>7.9689068169644696E-3</v>
      </c>
      <c r="I425">
        <v>425</v>
      </c>
      <c r="J425">
        <f t="shared" si="39"/>
        <v>10.032</v>
      </c>
      <c r="K425">
        <f t="shared" si="40"/>
        <v>10.032</v>
      </c>
      <c r="L425">
        <f>[1]!XLSTAT_PDFGeneral(J425,17, 1)</f>
        <v>1.0137771196302974E-7</v>
      </c>
      <c r="M425">
        <v>425</v>
      </c>
      <c r="O425">
        <f t="shared" si="41"/>
        <v>5.098196392785578</v>
      </c>
      <c r="P425">
        <f>[1]!XLSTAT_PDFPoisson(O425,1)</f>
        <v>3.0656620097620196E-3</v>
      </c>
    </row>
    <row r="426" spans="1:16" x14ac:dyDescent="0.3">
      <c r="A426">
        <v>426</v>
      </c>
      <c r="B426">
        <f t="shared" si="36"/>
        <v>-123456789</v>
      </c>
      <c r="C426">
        <f t="shared" si="37"/>
        <v>15.544</v>
      </c>
      <c r="D426">
        <f>[1]!XLSTAT_PDFGeneral(B426,14, 16, 1)</f>
        <v>0</v>
      </c>
      <c r="E426">
        <v>426</v>
      </c>
      <c r="G426">
        <f t="shared" si="38"/>
        <v>18.813627254509015</v>
      </c>
      <c r="H426">
        <f>[1]!XLSTAT_PDFNormal(G426,16,1)</f>
        <v>7.6184092047224946E-3</v>
      </c>
      <c r="I426">
        <v>426</v>
      </c>
      <c r="J426">
        <f t="shared" si="39"/>
        <v>-123456789</v>
      </c>
      <c r="K426">
        <f t="shared" si="40"/>
        <v>10.032</v>
      </c>
      <c r="L426">
        <f>[1]!XLSTAT_PDFGeneral(J426,17, 1)</f>
        <v>0</v>
      </c>
      <c r="M426">
        <v>426</v>
      </c>
      <c r="O426">
        <f t="shared" si="41"/>
        <v>5.1102204408817702</v>
      </c>
      <c r="P426">
        <f>[1]!XLSTAT_PDFPoisson(O426,1)</f>
        <v>3.0656620097620196E-3</v>
      </c>
    </row>
    <row r="427" spans="1:16" x14ac:dyDescent="0.3">
      <c r="A427">
        <v>427</v>
      </c>
      <c r="B427">
        <f t="shared" si="36"/>
        <v>-123456789</v>
      </c>
      <c r="C427">
        <f t="shared" si="37"/>
        <v>15.556000000000001</v>
      </c>
      <c r="D427">
        <f>[1]!XLSTAT_PDFGeneral(B427,14, 16, 1)</f>
        <v>0</v>
      </c>
      <c r="E427">
        <v>427</v>
      </c>
      <c r="G427">
        <f t="shared" si="38"/>
        <v>18.829659318637269</v>
      </c>
      <c r="H427">
        <f>[1]!XLSTAT_PDFNormal(G427,16,1)</f>
        <v>7.2814558091591356E-3</v>
      </c>
      <c r="I427">
        <v>427</v>
      </c>
      <c r="J427">
        <f t="shared" si="39"/>
        <v>-123456789</v>
      </c>
      <c r="K427">
        <f t="shared" si="40"/>
        <v>10.018000000000001</v>
      </c>
      <c r="L427">
        <f>[1]!XLSTAT_PDFGeneral(J427,17, 1)</f>
        <v>0</v>
      </c>
      <c r="M427">
        <v>427</v>
      </c>
      <c r="O427">
        <f t="shared" si="41"/>
        <v>5.1222444889779624</v>
      </c>
      <c r="P427">
        <f>[1]!XLSTAT_PDFPoisson(O427,1)</f>
        <v>3.0656620097620196E-3</v>
      </c>
    </row>
    <row r="428" spans="1:16" x14ac:dyDescent="0.3">
      <c r="A428">
        <v>428</v>
      </c>
      <c r="B428">
        <f t="shared" si="36"/>
        <v>15.556000000000001</v>
      </c>
      <c r="C428">
        <f t="shared" si="37"/>
        <v>15.556000000000001</v>
      </c>
      <c r="D428">
        <f>[1]!XLSTAT_PDFGeneral(B428,14, 16, 1)</f>
        <v>0.36149519359253302</v>
      </c>
      <c r="E428">
        <v>428</v>
      </c>
      <c r="G428">
        <f t="shared" si="38"/>
        <v>18.845691382765526</v>
      </c>
      <c r="H428">
        <f>[1]!XLSTAT_PDFNormal(G428,16,1)</f>
        <v>6.9576169453323834E-3</v>
      </c>
      <c r="I428">
        <v>428</v>
      </c>
      <c r="J428">
        <f t="shared" si="39"/>
        <v>10.018000000000001</v>
      </c>
      <c r="K428">
        <f t="shared" si="40"/>
        <v>10.018000000000001</v>
      </c>
      <c r="L428">
        <f>[1]!XLSTAT_PDFGeneral(J428,17, 1)</f>
        <v>1.0137771196302974E-7</v>
      </c>
      <c r="M428">
        <v>428</v>
      </c>
      <c r="O428">
        <f t="shared" si="41"/>
        <v>5.1342685370741545</v>
      </c>
      <c r="P428">
        <f>[1]!XLSTAT_PDFPoisson(O428,1)</f>
        <v>3.0656620097620196E-3</v>
      </c>
    </row>
    <row r="429" spans="1:16" x14ac:dyDescent="0.3">
      <c r="A429">
        <v>429</v>
      </c>
      <c r="B429">
        <f t="shared" si="36"/>
        <v>15.568</v>
      </c>
      <c r="C429">
        <f t="shared" si="37"/>
        <v>15.568</v>
      </c>
      <c r="D429">
        <f>[1]!XLSTAT_PDFGeneral(B429,14, 16, 1)</f>
        <v>0.36340021433897718</v>
      </c>
      <c r="E429">
        <v>429</v>
      </c>
      <c r="G429">
        <f t="shared" si="38"/>
        <v>18.861723446893784</v>
      </c>
      <c r="H429">
        <f>[1]!XLSTAT_PDFNormal(G429,16,1)</f>
        <v>6.6464720993883574E-3</v>
      </c>
      <c r="I429">
        <v>429</v>
      </c>
      <c r="J429">
        <f t="shared" si="39"/>
        <v>10.004</v>
      </c>
      <c r="K429">
        <f t="shared" si="40"/>
        <v>10.004</v>
      </c>
      <c r="L429">
        <f>[1]!XLSTAT_PDFGeneral(J429,17, 1)</f>
        <v>1.0137771196302974E-7</v>
      </c>
      <c r="M429">
        <v>429</v>
      </c>
      <c r="O429">
        <f t="shared" si="41"/>
        <v>5.1462925851703476</v>
      </c>
      <c r="P429">
        <f>[1]!XLSTAT_PDFPoisson(O429,1)</f>
        <v>3.0656620097620196E-3</v>
      </c>
    </row>
    <row r="430" spans="1:16" x14ac:dyDescent="0.3">
      <c r="A430">
        <v>430</v>
      </c>
      <c r="B430">
        <f t="shared" si="36"/>
        <v>-123456789</v>
      </c>
      <c r="C430">
        <f t="shared" si="37"/>
        <v>15.568</v>
      </c>
      <c r="D430">
        <f>[1]!XLSTAT_PDFGeneral(B430,14, 16, 1)</f>
        <v>0</v>
      </c>
      <c r="E430">
        <v>430</v>
      </c>
      <c r="G430">
        <f t="shared" si="38"/>
        <v>18.877755511022038</v>
      </c>
      <c r="H430">
        <f>[1]!XLSTAT_PDFNormal(G430,16,1)</f>
        <v>6.3476099432823591E-3</v>
      </c>
      <c r="I430">
        <v>430</v>
      </c>
      <c r="J430">
        <f t="shared" si="39"/>
        <v>-123456789</v>
      </c>
      <c r="K430">
        <f t="shared" si="40"/>
        <v>10.004</v>
      </c>
      <c r="L430">
        <f>[1]!XLSTAT_PDFGeneral(J430,17, 1)</f>
        <v>0</v>
      </c>
      <c r="M430">
        <v>430</v>
      </c>
      <c r="O430">
        <f t="shared" si="41"/>
        <v>5.1583166332665398</v>
      </c>
      <c r="P430">
        <f>[1]!XLSTAT_PDFPoisson(O430,1)</f>
        <v>3.0656620097620196E-3</v>
      </c>
    </row>
    <row r="431" spans="1:16" x14ac:dyDescent="0.3">
      <c r="A431">
        <v>431</v>
      </c>
      <c r="B431">
        <f t="shared" si="36"/>
        <v>-123456789</v>
      </c>
      <c r="C431">
        <f t="shared" si="37"/>
        <v>15.58</v>
      </c>
      <c r="D431">
        <f>[1]!XLSTAT_PDFGeneral(B431,14, 16, 1)</f>
        <v>0</v>
      </c>
      <c r="E431">
        <v>431</v>
      </c>
      <c r="G431">
        <f t="shared" si="38"/>
        <v>18.893787575150295</v>
      </c>
      <c r="H431">
        <f>[1]!XLSTAT_PDFNormal(G431,16,1)</f>
        <v>6.0606283373063705E-3</v>
      </c>
      <c r="I431">
        <v>431</v>
      </c>
      <c r="J431">
        <f t="shared" si="39"/>
        <v>-123456789</v>
      </c>
      <c r="K431">
        <f t="shared" si="40"/>
        <v>9.99</v>
      </c>
      <c r="L431">
        <f>[1]!XLSTAT_PDFGeneral(J431,17, 1)</f>
        <v>0</v>
      </c>
      <c r="M431">
        <v>431</v>
      </c>
      <c r="O431">
        <f t="shared" si="41"/>
        <v>5.1703406813627319</v>
      </c>
      <c r="P431">
        <f>[1]!XLSTAT_PDFPoisson(O431,1)</f>
        <v>3.0656620097620196E-3</v>
      </c>
    </row>
    <row r="432" spans="1:16" x14ac:dyDescent="0.3">
      <c r="A432">
        <v>432</v>
      </c>
      <c r="B432">
        <f t="shared" si="36"/>
        <v>15.58</v>
      </c>
      <c r="C432">
        <f t="shared" si="37"/>
        <v>15.58</v>
      </c>
      <c r="D432">
        <f>[1]!XLSTAT_PDFGeneral(B432,14, 16, 1)</f>
        <v>0.36526267262215389</v>
      </c>
      <c r="E432">
        <v>432</v>
      </c>
      <c r="G432">
        <f t="shared" si="38"/>
        <v>18.909819639278552</v>
      </c>
      <c r="H432">
        <f>[1]!XLSTAT_PDFNormal(G432,16,1)</f>
        <v>5.7851343209650722E-3</v>
      </c>
      <c r="I432">
        <v>432</v>
      </c>
      <c r="J432">
        <f t="shared" si="39"/>
        <v>9.99</v>
      </c>
      <c r="K432">
        <f t="shared" si="40"/>
        <v>9.99</v>
      </c>
      <c r="L432">
        <f>[1]!XLSTAT_PDFGeneral(J432,17, 1)</f>
        <v>1.0137771196302976E-6</v>
      </c>
      <c r="M432">
        <v>432</v>
      </c>
      <c r="O432">
        <f t="shared" si="41"/>
        <v>5.1823647294589241</v>
      </c>
      <c r="P432">
        <f>[1]!XLSTAT_PDFPoisson(O432,1)</f>
        <v>3.0656620097620196E-3</v>
      </c>
    </row>
    <row r="433" spans="1:16" x14ac:dyDescent="0.3">
      <c r="A433">
        <v>433</v>
      </c>
      <c r="B433">
        <f t="shared" si="36"/>
        <v>15.592000000000001</v>
      </c>
      <c r="C433">
        <f t="shared" si="37"/>
        <v>15.592000000000001</v>
      </c>
      <c r="D433">
        <f>[1]!XLSTAT_PDFGeneral(B433,14, 16, 1)</f>
        <v>0.3670818125818826</v>
      </c>
      <c r="E433">
        <v>433</v>
      </c>
      <c r="G433">
        <f t="shared" si="38"/>
        <v>18.925851703406806</v>
      </c>
      <c r="H433">
        <f>[1]!XLSTAT_PDFNormal(G433,16,1)</f>
        <v>5.5207440927367369E-3</v>
      </c>
      <c r="I433">
        <v>433</v>
      </c>
      <c r="J433">
        <f t="shared" si="39"/>
        <v>9.9759999999999991</v>
      </c>
      <c r="K433">
        <f t="shared" si="40"/>
        <v>9.9759999999999991</v>
      </c>
      <c r="L433">
        <f>[1]!XLSTAT_PDFGeneral(J433,17, 1)</f>
        <v>1.0137771196302976E-6</v>
      </c>
      <c r="M433">
        <v>433</v>
      </c>
      <c r="O433">
        <f t="shared" si="41"/>
        <v>5.1943887775551172</v>
      </c>
      <c r="P433">
        <f>[1]!XLSTAT_PDFPoisson(O433,1)</f>
        <v>3.0656620097620196E-3</v>
      </c>
    </row>
    <row r="434" spans="1:16" x14ac:dyDescent="0.3">
      <c r="A434">
        <v>434</v>
      </c>
      <c r="B434">
        <f t="shared" si="36"/>
        <v>-123456789</v>
      </c>
      <c r="C434">
        <f t="shared" si="37"/>
        <v>15.592000000000001</v>
      </c>
      <c r="D434">
        <f>[1]!XLSTAT_PDFGeneral(B434,14, 16, 1)</f>
        <v>0</v>
      </c>
      <c r="E434">
        <v>434</v>
      </c>
      <c r="G434">
        <f t="shared" si="38"/>
        <v>18.941883767535064</v>
      </c>
      <c r="H434">
        <f>[1]!XLSTAT_PDFNormal(G434,16,1)</f>
        <v>5.2670829792525785E-3</v>
      </c>
      <c r="I434">
        <v>434</v>
      </c>
      <c r="J434">
        <f t="shared" si="39"/>
        <v>-123456789</v>
      </c>
      <c r="K434">
        <f t="shared" si="40"/>
        <v>9.9759999999999991</v>
      </c>
      <c r="L434">
        <f>[1]!XLSTAT_PDFGeneral(J434,17, 1)</f>
        <v>0</v>
      </c>
      <c r="M434">
        <v>434</v>
      </c>
      <c r="O434">
        <f t="shared" si="41"/>
        <v>5.2064128256513094</v>
      </c>
      <c r="P434">
        <f>[1]!XLSTAT_PDFPoisson(O434,1)</f>
        <v>3.0656620097620196E-3</v>
      </c>
    </row>
    <row r="435" spans="1:16" x14ac:dyDescent="0.3">
      <c r="A435">
        <v>435</v>
      </c>
      <c r="B435">
        <f t="shared" si="36"/>
        <v>-123456789</v>
      </c>
      <c r="C435">
        <f t="shared" si="37"/>
        <v>15.603999999999999</v>
      </c>
      <c r="D435">
        <f>[1]!XLSTAT_PDFGeneral(B435,14, 16, 1)</f>
        <v>0</v>
      </c>
      <c r="E435">
        <v>435</v>
      </c>
      <c r="G435">
        <f t="shared" si="38"/>
        <v>18.957915831663321</v>
      </c>
      <c r="H435">
        <f>[1]!XLSTAT_PDFNormal(G435,16,1)</f>
        <v>5.0237853944224524E-3</v>
      </c>
      <c r="I435">
        <v>435</v>
      </c>
      <c r="J435">
        <f t="shared" si="39"/>
        <v>-123456789</v>
      </c>
      <c r="K435">
        <f t="shared" si="40"/>
        <v>9.9619999999999997</v>
      </c>
      <c r="L435">
        <f>[1]!XLSTAT_PDFGeneral(J435,17, 1)</f>
        <v>0</v>
      </c>
      <c r="M435">
        <v>435</v>
      </c>
      <c r="O435">
        <f t="shared" si="41"/>
        <v>5.2184368737475015</v>
      </c>
      <c r="P435">
        <f>[1]!XLSTAT_PDFPoisson(O435,1)</f>
        <v>3.0656620097620196E-3</v>
      </c>
    </row>
    <row r="436" spans="1:16" x14ac:dyDescent="0.3">
      <c r="A436">
        <v>436</v>
      </c>
      <c r="B436">
        <f t="shared" si="36"/>
        <v>15.603999999999999</v>
      </c>
      <c r="C436">
        <f t="shared" si="37"/>
        <v>15.603999999999999</v>
      </c>
      <c r="D436">
        <f>[1]!XLSTAT_PDFGeneral(B436,14, 16, 1)</f>
        <v>0.36885689329814464</v>
      </c>
      <c r="E436">
        <v>436</v>
      </c>
      <c r="G436">
        <f t="shared" si="38"/>
        <v>18.973947895791579</v>
      </c>
      <c r="H436">
        <f>[1]!XLSTAT_PDFNormal(G436,16,1)</f>
        <v>4.7904947890267313E-3</v>
      </c>
      <c r="I436">
        <v>436</v>
      </c>
      <c r="J436">
        <f t="shared" si="39"/>
        <v>9.9619999999999997</v>
      </c>
      <c r="K436">
        <f t="shared" si="40"/>
        <v>9.9619999999999997</v>
      </c>
      <c r="L436">
        <f>[1]!XLSTAT_PDFGeneral(J436,17, 1)</f>
        <v>1.0137771196302976E-6</v>
      </c>
      <c r="M436">
        <v>436</v>
      </c>
      <c r="O436">
        <f t="shared" si="41"/>
        <v>5.2304609218436937</v>
      </c>
      <c r="P436">
        <f>[1]!XLSTAT_PDFPoisson(O436,1)</f>
        <v>3.0656620097620196E-3</v>
      </c>
    </row>
    <row r="437" spans="1:16" x14ac:dyDescent="0.3">
      <c r="A437">
        <v>437</v>
      </c>
      <c r="B437">
        <f t="shared" si="36"/>
        <v>15.616</v>
      </c>
      <c r="C437">
        <f t="shared" si="37"/>
        <v>15.616</v>
      </c>
      <c r="D437">
        <f>[1]!XLSTAT_PDFGeneral(B437,14, 16, 1)</f>
        <v>0.3705871892932735</v>
      </c>
      <c r="E437">
        <v>437</v>
      </c>
      <c r="G437">
        <f t="shared" si="38"/>
        <v>18.989979959919836</v>
      </c>
      <c r="H437">
        <f>[1]!XLSTAT_PDFNormal(G437,16,1)</f>
        <v>4.5668635912892042E-3</v>
      </c>
      <c r="I437">
        <v>437</v>
      </c>
      <c r="J437">
        <f t="shared" si="39"/>
        <v>9.9480000000000004</v>
      </c>
      <c r="K437">
        <f t="shared" si="40"/>
        <v>9.9480000000000004</v>
      </c>
      <c r="L437">
        <f>[1]!XLSTAT_PDFGeneral(J437,17, 1)</f>
        <v>1.0137771196302976E-6</v>
      </c>
      <c r="M437">
        <v>437</v>
      </c>
      <c r="O437">
        <f t="shared" si="41"/>
        <v>5.2424849699398868</v>
      </c>
      <c r="P437">
        <f>[1]!XLSTAT_PDFPoisson(O437,1)</f>
        <v>3.0656620097620196E-3</v>
      </c>
    </row>
    <row r="438" spans="1:16" x14ac:dyDescent="0.3">
      <c r="A438">
        <v>438</v>
      </c>
      <c r="B438">
        <f t="shared" si="36"/>
        <v>-123456789</v>
      </c>
      <c r="C438">
        <f t="shared" si="37"/>
        <v>15.616</v>
      </c>
      <c r="D438">
        <f>[1]!XLSTAT_PDFGeneral(B438,14, 16, 1)</f>
        <v>0</v>
      </c>
      <c r="E438">
        <v>438</v>
      </c>
      <c r="G438">
        <f t="shared" si="38"/>
        <v>19.00601202404809</v>
      </c>
      <c r="H438">
        <f>[1]!XLSTAT_PDFNormal(G438,16,1)</f>
        <v>4.352553138936655E-3</v>
      </c>
      <c r="I438">
        <v>438</v>
      </c>
      <c r="J438">
        <f t="shared" si="39"/>
        <v>-123456789</v>
      </c>
      <c r="K438">
        <f t="shared" si="40"/>
        <v>9.9480000000000004</v>
      </c>
      <c r="L438">
        <f>[1]!XLSTAT_PDFGeneral(J438,17, 1)</f>
        <v>0</v>
      </c>
      <c r="M438">
        <v>438</v>
      </c>
      <c r="O438">
        <f t="shared" si="41"/>
        <v>5.2545090180360789</v>
      </c>
      <c r="P438">
        <f>[1]!XLSTAT_PDFPoisson(O438,1)</f>
        <v>3.0656620097620196E-3</v>
      </c>
    </row>
    <row r="439" spans="1:16" x14ac:dyDescent="0.3">
      <c r="A439">
        <v>439</v>
      </c>
      <c r="B439">
        <f t="shared" si="36"/>
        <v>-123456789</v>
      </c>
      <c r="C439">
        <f t="shared" si="37"/>
        <v>15.628</v>
      </c>
      <c r="D439">
        <f>[1]!XLSTAT_PDFGeneral(B439,14, 16, 1)</f>
        <v>0</v>
      </c>
      <c r="E439">
        <v>439</v>
      </c>
      <c r="G439">
        <f t="shared" si="38"/>
        <v>19.022044088176347</v>
      </c>
      <c r="H439">
        <f>[1]!XLSTAT_PDFNormal(G439,16,1)</f>
        <v>4.1472336032425698E-3</v>
      </c>
      <c r="I439">
        <v>439</v>
      </c>
      <c r="J439">
        <f t="shared" si="39"/>
        <v>-123456789</v>
      </c>
      <c r="K439">
        <f t="shared" si="40"/>
        <v>9.9339999999999993</v>
      </c>
      <c r="L439">
        <f>[1]!XLSTAT_PDFGeneral(J439,17, 1)</f>
        <v>0</v>
      </c>
      <c r="M439">
        <v>439</v>
      </c>
      <c r="O439">
        <f t="shared" si="41"/>
        <v>5.2665330661322711</v>
      </c>
      <c r="P439">
        <f>[1]!XLSTAT_PDFPoisson(O439,1)</f>
        <v>3.0656620097620196E-3</v>
      </c>
    </row>
    <row r="440" spans="1:16" x14ac:dyDescent="0.3">
      <c r="A440">
        <v>440</v>
      </c>
      <c r="B440">
        <f t="shared" si="36"/>
        <v>15.628</v>
      </c>
      <c r="C440">
        <f t="shared" si="37"/>
        <v>15.628</v>
      </c>
      <c r="D440">
        <f>[1]!XLSTAT_PDFGeneral(B440,14, 16, 1)</f>
        <v>0.37227199102546293</v>
      </c>
      <c r="E440">
        <v>440</v>
      </c>
      <c r="G440">
        <f t="shared" si="38"/>
        <v>19.038076152304605</v>
      </c>
      <c r="H440">
        <f>[1]!XLSTAT_PDFNormal(G440,16,1)</f>
        <v>3.9505839055440882E-3</v>
      </c>
      <c r="I440">
        <v>440</v>
      </c>
      <c r="J440">
        <f t="shared" si="39"/>
        <v>9.9339999999999993</v>
      </c>
      <c r="K440">
        <f t="shared" si="40"/>
        <v>9.9339999999999993</v>
      </c>
      <c r="L440">
        <f>[1]!XLSTAT_PDFGeneral(J440,17, 1)</f>
        <v>1.0137771196302976E-6</v>
      </c>
      <c r="M440">
        <v>440</v>
      </c>
      <c r="O440">
        <f t="shared" si="41"/>
        <v>5.2785571142284633</v>
      </c>
      <c r="P440">
        <f>[1]!XLSTAT_PDFPoisson(O440,1)</f>
        <v>3.0656620097620196E-3</v>
      </c>
    </row>
    <row r="441" spans="1:16" x14ac:dyDescent="0.3">
      <c r="A441">
        <v>441</v>
      </c>
      <c r="B441">
        <f t="shared" si="36"/>
        <v>15.64</v>
      </c>
      <c r="C441">
        <f t="shared" si="37"/>
        <v>15.64</v>
      </c>
      <c r="D441">
        <f>[1]!XLSTAT_PDFGeneral(B441,14, 16, 1)</f>
        <v>0.37391060537312848</v>
      </c>
      <c r="E441">
        <v>441</v>
      </c>
      <c r="G441">
        <f t="shared" si="38"/>
        <v>19.054108216432859</v>
      </c>
      <c r="H441">
        <f>[1]!XLSTAT_PDFNormal(G441,16,1)</f>
        <v>3.762291626710209E-3</v>
      </c>
      <c r="I441">
        <v>441</v>
      </c>
      <c r="J441">
        <f t="shared" si="39"/>
        <v>9.92</v>
      </c>
      <c r="K441">
        <f t="shared" si="40"/>
        <v>9.92</v>
      </c>
      <c r="L441">
        <f>[1]!XLSTAT_PDFGeneral(J441,17, 1)</f>
        <v>1.0137771196302976E-6</v>
      </c>
      <c r="M441">
        <v>441</v>
      </c>
      <c r="O441">
        <f t="shared" si="41"/>
        <v>5.2905811623246564</v>
      </c>
      <c r="P441">
        <f>[1]!XLSTAT_PDFPoisson(O441,1)</f>
        <v>3.0656620097620196E-3</v>
      </c>
    </row>
    <row r="442" spans="1:16" x14ac:dyDescent="0.3">
      <c r="A442">
        <v>442</v>
      </c>
      <c r="B442">
        <f t="shared" si="36"/>
        <v>-123456789</v>
      </c>
      <c r="C442">
        <f t="shared" si="37"/>
        <v>15.64</v>
      </c>
      <c r="D442">
        <f>[1]!XLSTAT_PDFGeneral(B442,14, 16, 1)</f>
        <v>0</v>
      </c>
      <c r="E442">
        <v>442</v>
      </c>
      <c r="G442">
        <f t="shared" si="38"/>
        <v>19.070140280561116</v>
      </c>
      <c r="H442">
        <f>[1]!XLSTAT_PDFNormal(G442,16,1)</f>
        <v>3.5820529100303805E-3</v>
      </c>
      <c r="I442">
        <v>442</v>
      </c>
      <c r="J442">
        <f t="shared" si="39"/>
        <v>-123456789</v>
      </c>
      <c r="K442">
        <f t="shared" si="40"/>
        <v>9.92</v>
      </c>
      <c r="L442">
        <f>[1]!XLSTAT_PDFGeneral(J442,17, 1)</f>
        <v>0</v>
      </c>
      <c r="M442">
        <v>442</v>
      </c>
      <c r="O442">
        <f t="shared" si="41"/>
        <v>5.3026052104208485</v>
      </c>
      <c r="P442">
        <f>[1]!XLSTAT_PDFPoisson(O442,1)</f>
        <v>3.0656620097620196E-3</v>
      </c>
    </row>
    <row r="443" spans="1:16" x14ac:dyDescent="0.3">
      <c r="A443">
        <v>443</v>
      </c>
      <c r="B443">
        <f t="shared" si="36"/>
        <v>-123456789</v>
      </c>
      <c r="C443">
        <f t="shared" si="37"/>
        <v>15.652000000000001</v>
      </c>
      <c r="D443">
        <f>[1]!XLSTAT_PDFGeneral(B443,14, 16, 1)</f>
        <v>0</v>
      </c>
      <c r="E443">
        <v>443</v>
      </c>
      <c r="G443">
        <f t="shared" si="38"/>
        <v>19.086172344689373</v>
      </c>
      <c r="H443">
        <f>[1]!XLSTAT_PDFNormal(G443,16,1)</f>
        <v>3.4095723579819215E-3</v>
      </c>
      <c r="I443">
        <v>443</v>
      </c>
      <c r="J443">
        <f t="shared" si="39"/>
        <v>-123456789</v>
      </c>
      <c r="K443">
        <f t="shared" si="40"/>
        <v>9.9060000000000006</v>
      </c>
      <c r="L443">
        <f>[1]!XLSTAT_PDFGeneral(J443,17, 1)</f>
        <v>0</v>
      </c>
      <c r="M443">
        <v>443</v>
      </c>
      <c r="O443">
        <f t="shared" si="41"/>
        <v>5.3146292585170407</v>
      </c>
      <c r="P443">
        <f>[1]!XLSTAT_PDFPoisson(O443,1)</f>
        <v>3.0656620097620196E-3</v>
      </c>
    </row>
    <row r="444" spans="1:16" x14ac:dyDescent="0.3">
      <c r="A444">
        <v>444</v>
      </c>
      <c r="B444">
        <f t="shared" si="36"/>
        <v>15.652000000000001</v>
      </c>
      <c r="C444">
        <f t="shared" si="37"/>
        <v>15.652000000000001</v>
      </c>
      <c r="D444">
        <f>[1]!XLSTAT_PDFGeneral(B444,14, 16, 1)</f>
        <v>0.37550235610965665</v>
      </c>
      <c r="E444">
        <v>444</v>
      </c>
      <c r="G444">
        <f t="shared" si="38"/>
        <v>19.102204408817631</v>
      </c>
      <c r="H444">
        <f>[1]!XLSTAT_PDFNormal(G444,16,1)</f>
        <v>3.2445629233225199E-3</v>
      </c>
      <c r="I444">
        <v>444</v>
      </c>
      <c r="J444">
        <f t="shared" si="39"/>
        <v>9.9060000000000006</v>
      </c>
      <c r="K444">
        <f t="shared" si="40"/>
        <v>9.9060000000000006</v>
      </c>
      <c r="L444">
        <f>[1]!XLSTAT_PDFGeneral(J444,17, 1)</f>
        <v>1.0137771196302976E-6</v>
      </c>
      <c r="M444">
        <v>444</v>
      </c>
      <c r="O444">
        <f t="shared" si="41"/>
        <v>5.3266533066132329</v>
      </c>
      <c r="P444">
        <f>[1]!XLSTAT_PDFPoisson(O444,1)</f>
        <v>3.0656620097620196E-3</v>
      </c>
    </row>
    <row r="445" spans="1:16" x14ac:dyDescent="0.3">
      <c r="A445">
        <v>445</v>
      </c>
      <c r="B445">
        <f t="shared" si="36"/>
        <v>15.664</v>
      </c>
      <c r="C445">
        <f t="shared" si="37"/>
        <v>15.664</v>
      </c>
      <c r="D445">
        <f>[1]!XLSTAT_PDFGeneral(B445,14, 16, 1)</f>
        <v>0.37704658436808808</v>
      </c>
      <c r="E445">
        <v>445</v>
      </c>
      <c r="G445">
        <f t="shared" si="38"/>
        <v>19.118236472945888</v>
      </c>
      <c r="H445">
        <f>[1]!XLSTAT_PDFNormal(G445,16,1)</f>
        <v>3.0867457949441484E-3</v>
      </c>
      <c r="I445">
        <v>445</v>
      </c>
      <c r="J445">
        <f t="shared" si="39"/>
        <v>9.8919999999999995</v>
      </c>
      <c r="K445">
        <f t="shared" si="40"/>
        <v>9.8919999999999995</v>
      </c>
      <c r="L445">
        <f>[1]!XLSTAT_PDFGeneral(J445,17, 1)</f>
        <v>1.0137771196302976E-6</v>
      </c>
      <c r="M445">
        <v>445</v>
      </c>
      <c r="O445">
        <f t="shared" si="41"/>
        <v>5.3386773547094259</v>
      </c>
      <c r="P445">
        <f>[1]!XLSTAT_PDFPoisson(O445,1)</f>
        <v>3.0656620097620196E-3</v>
      </c>
    </row>
    <row r="446" spans="1:16" x14ac:dyDescent="0.3">
      <c r="A446">
        <v>446</v>
      </c>
      <c r="B446">
        <f t="shared" si="36"/>
        <v>-123456789</v>
      </c>
      <c r="C446">
        <f t="shared" si="37"/>
        <v>15.664</v>
      </c>
      <c r="D446">
        <f>[1]!XLSTAT_PDFGeneral(B446,14, 16, 1)</f>
        <v>0</v>
      </c>
      <c r="E446">
        <v>446</v>
      </c>
      <c r="G446">
        <f t="shared" si="38"/>
        <v>19.134268537074142</v>
      </c>
      <c r="H446">
        <f>[1]!XLSTAT_PDFNormal(G446,16,1)</f>
        <v>2.9358502789120591E-3</v>
      </c>
      <c r="I446">
        <v>446</v>
      </c>
      <c r="J446">
        <f t="shared" si="39"/>
        <v>-123456789</v>
      </c>
      <c r="K446">
        <f t="shared" si="40"/>
        <v>9.8919999999999995</v>
      </c>
      <c r="L446">
        <f>[1]!XLSTAT_PDFGeneral(J446,17, 1)</f>
        <v>0</v>
      </c>
      <c r="M446">
        <v>446</v>
      </c>
      <c r="O446">
        <f t="shared" si="41"/>
        <v>5.3507014028056181</v>
      </c>
      <c r="P446">
        <f>[1]!XLSTAT_PDFPoisson(O446,1)</f>
        <v>3.0656620097620196E-3</v>
      </c>
    </row>
    <row r="447" spans="1:16" x14ac:dyDescent="0.3">
      <c r="A447">
        <v>447</v>
      </c>
      <c r="B447">
        <f t="shared" si="36"/>
        <v>-123456789</v>
      </c>
      <c r="C447">
        <f t="shared" si="37"/>
        <v>15.676</v>
      </c>
      <c r="D447">
        <f>[1]!XLSTAT_PDFGeneral(B447,14, 16, 1)</f>
        <v>0</v>
      </c>
      <c r="E447">
        <v>447</v>
      </c>
      <c r="G447">
        <f t="shared" si="38"/>
        <v>19.1503006012024</v>
      </c>
      <c r="H447">
        <f>[1]!XLSTAT_PDFNormal(G447,16,1)</f>
        <v>2.7916136751006604E-3</v>
      </c>
      <c r="I447">
        <v>447</v>
      </c>
      <c r="J447">
        <f t="shared" si="39"/>
        <v>-123456789</v>
      </c>
      <c r="K447">
        <f t="shared" si="40"/>
        <v>9.8780000000000001</v>
      </c>
      <c r="L447">
        <f>[1]!XLSTAT_PDFGeneral(J447,17, 1)</f>
        <v>0</v>
      </c>
      <c r="M447">
        <v>447</v>
      </c>
      <c r="O447">
        <f t="shared" si="41"/>
        <v>5.3627254509018103</v>
      </c>
      <c r="P447">
        <f>[1]!XLSTAT_PDFPoisson(O447,1)</f>
        <v>3.0656620097620196E-3</v>
      </c>
    </row>
    <row r="448" spans="1:16" x14ac:dyDescent="0.3">
      <c r="A448">
        <v>448</v>
      </c>
      <c r="B448">
        <f t="shared" si="36"/>
        <v>15.676</v>
      </c>
      <c r="C448">
        <f t="shared" si="37"/>
        <v>15.676</v>
      </c>
      <c r="D448">
        <f>[1]!XLSTAT_PDFGeneral(B448,14, 16, 1)</f>
        <v>0.37854264909528873</v>
      </c>
      <c r="E448">
        <v>448</v>
      </c>
      <c r="G448">
        <f t="shared" si="38"/>
        <v>19.166332665330657</v>
      </c>
      <c r="H448">
        <f>[1]!XLSTAT_PDFNormal(G448,16,1)</f>
        <v>2.6537811498264481E-3</v>
      </c>
      <c r="I448">
        <v>448</v>
      </c>
      <c r="J448">
        <f t="shared" si="39"/>
        <v>9.8780000000000001</v>
      </c>
      <c r="K448">
        <f t="shared" si="40"/>
        <v>9.8780000000000001</v>
      </c>
      <c r="L448">
        <f>[1]!XLSTAT_PDFGeneral(J448,17, 1)</f>
        <v>1.0137771196302976E-6</v>
      </c>
      <c r="M448">
        <v>448</v>
      </c>
      <c r="O448">
        <f t="shared" si="41"/>
        <v>5.3747494989980025</v>
      </c>
      <c r="P448">
        <f>[1]!XLSTAT_PDFPoisson(O448,1)</f>
        <v>3.0656620097620196E-3</v>
      </c>
    </row>
    <row r="449" spans="1:16" x14ac:dyDescent="0.3">
      <c r="A449">
        <v>449</v>
      </c>
      <c r="B449">
        <f t="shared" ref="B449:B512" si="42">IF(-1^(INT(A449/2)+2)&gt;0,13+2*INT(A449/2-1/2)*0.006,-123456789)</f>
        <v>15.688000000000001</v>
      </c>
      <c r="C449">
        <f t="shared" ref="C449:C512" si="43">13+2*INT(A449/2-1/2)*0.006</f>
        <v>15.688000000000001</v>
      </c>
      <c r="D449">
        <f>[1]!XLSTAT_PDFGeneral(B449,14, 16, 1)</f>
        <v>0.37998992749516886</v>
      </c>
      <c r="E449">
        <v>449</v>
      </c>
      <c r="G449">
        <f t="shared" ref="G449:G500" si="44">12+(E449-1)*0.0160320641282565</f>
        <v>19.182364729458911</v>
      </c>
      <c r="H449">
        <f>[1]!XLSTAT_PDFNormal(G449,16,1)</f>
        <v>2.5221056048645115E-3</v>
      </c>
      <c r="I449">
        <v>449</v>
      </c>
      <c r="J449">
        <f t="shared" ref="J449:J512" si="45">IF(-1^(INT(I449/2)+2)&gt;0,13+2*INT(I449/2-1/2)*-0.007,-123456789)</f>
        <v>9.8640000000000008</v>
      </c>
      <c r="K449">
        <f t="shared" ref="K449:K512" si="46">13+2*INT(I449/2-1/2)*-0.007</f>
        <v>9.8640000000000008</v>
      </c>
      <c r="L449">
        <f>[1]!XLSTAT_PDFGeneral(J449,17, 1)</f>
        <v>1.0137771196302976E-6</v>
      </c>
      <c r="M449">
        <v>449</v>
      </c>
      <c r="O449">
        <f t="shared" ref="O449:O500" si="47">0+(M449-1)*0.0120240480961924</f>
        <v>5.3867735470941955</v>
      </c>
      <c r="P449">
        <f>[1]!XLSTAT_PDFPoisson(O449,1)</f>
        <v>3.0656620097620196E-3</v>
      </c>
    </row>
    <row r="450" spans="1:16" x14ac:dyDescent="0.3">
      <c r="A450">
        <v>450</v>
      </c>
      <c r="B450">
        <f t="shared" si="42"/>
        <v>-123456789</v>
      </c>
      <c r="C450">
        <f t="shared" si="43"/>
        <v>15.688000000000001</v>
      </c>
      <c r="D450">
        <f>[1]!XLSTAT_PDFGeneral(B450,14, 16, 1)</f>
        <v>0</v>
      </c>
      <c r="E450">
        <v>450</v>
      </c>
      <c r="G450">
        <f t="shared" si="44"/>
        <v>19.198396793587168</v>
      </c>
      <c r="H450">
        <f>[1]!XLSTAT_PDFNormal(G450,16,1)</f>
        <v>2.3963475432235578E-3</v>
      </c>
      <c r="I450">
        <v>450</v>
      </c>
      <c r="J450">
        <f t="shared" si="45"/>
        <v>-123456789</v>
      </c>
      <c r="K450">
        <f t="shared" si="46"/>
        <v>9.8640000000000008</v>
      </c>
      <c r="L450">
        <f>[1]!XLSTAT_PDFGeneral(J450,17, 1)</f>
        <v>0</v>
      </c>
      <c r="M450">
        <v>450</v>
      </c>
      <c r="O450">
        <f t="shared" si="47"/>
        <v>5.3987975951903877</v>
      </c>
      <c r="P450">
        <f>[1]!XLSTAT_PDFPoisson(O450,1)</f>
        <v>3.0656620097620196E-3</v>
      </c>
    </row>
    <row r="451" spans="1:16" x14ac:dyDescent="0.3">
      <c r="A451">
        <v>451</v>
      </c>
      <c r="B451">
        <f t="shared" si="42"/>
        <v>-123456789</v>
      </c>
      <c r="C451">
        <f t="shared" si="43"/>
        <v>15.7</v>
      </c>
      <c r="D451">
        <f>[1]!XLSTAT_PDFGeneral(B451,14, 16, 1)</f>
        <v>0</v>
      </c>
      <c r="E451">
        <v>451</v>
      </c>
      <c r="G451">
        <f t="shared" si="44"/>
        <v>19.214428857715426</v>
      </c>
      <c r="H451">
        <f>[1]!XLSTAT_PDFNormal(G451,16,1)</f>
        <v>2.2762749320414965E-3</v>
      </c>
      <c r="I451">
        <v>451</v>
      </c>
      <c r="J451">
        <f t="shared" si="45"/>
        <v>-123456789</v>
      </c>
      <c r="K451">
        <f t="shared" si="46"/>
        <v>9.85</v>
      </c>
      <c r="L451">
        <f>[1]!XLSTAT_PDFGeneral(J451,17, 1)</f>
        <v>0</v>
      </c>
      <c r="M451">
        <v>451</v>
      </c>
      <c r="O451">
        <f t="shared" si="47"/>
        <v>5.4108216432865799</v>
      </c>
      <c r="P451">
        <f>[1]!XLSTAT_PDFPoisson(O451,1)</f>
        <v>3.0656620097620196E-3</v>
      </c>
    </row>
    <row r="452" spans="1:16" x14ac:dyDescent="0.3">
      <c r="A452">
        <v>452</v>
      </c>
      <c r="B452">
        <f t="shared" si="42"/>
        <v>15.7</v>
      </c>
      <c r="C452">
        <f t="shared" si="43"/>
        <v>15.7</v>
      </c>
      <c r="D452">
        <f>[1]!XLSTAT_PDFGeneral(B452,14, 16, 1)</f>
        <v>0.38138781546052408</v>
      </c>
      <c r="E452">
        <v>452</v>
      </c>
      <c r="G452">
        <f t="shared" si="44"/>
        <v>19.230460921843683</v>
      </c>
      <c r="H452">
        <f>[1]!XLSTAT_PDFNormal(G452,16,1)</f>
        <v>2.1616630629499784E-3</v>
      </c>
      <c r="I452">
        <v>452</v>
      </c>
      <c r="J452">
        <f t="shared" si="45"/>
        <v>9.85</v>
      </c>
      <c r="K452">
        <f t="shared" si="46"/>
        <v>9.85</v>
      </c>
      <c r="L452">
        <f>[1]!XLSTAT_PDFGeneral(J452,17, 1)</f>
        <v>1.0137771196302976E-6</v>
      </c>
      <c r="M452">
        <v>452</v>
      </c>
      <c r="O452">
        <f t="shared" si="47"/>
        <v>5.4228456913827729</v>
      </c>
      <c r="P452">
        <f>[1]!XLSTAT_PDFPoisson(O452,1)</f>
        <v>3.0656620097620196E-3</v>
      </c>
    </row>
    <row r="453" spans="1:16" x14ac:dyDescent="0.3">
      <c r="A453">
        <v>453</v>
      </c>
      <c r="B453">
        <f t="shared" si="42"/>
        <v>15.712</v>
      </c>
      <c r="C453">
        <f t="shared" si="43"/>
        <v>15.712</v>
      </c>
      <c r="D453">
        <f>[1]!XLSTAT_PDFGeneral(B453,14, 16, 1)</f>
        <v>0.38273572799307853</v>
      </c>
      <c r="E453">
        <v>453</v>
      </c>
      <c r="G453">
        <f t="shared" si="44"/>
        <v>19.24649298597194</v>
      </c>
      <c r="H453">
        <f>[1]!XLSTAT_PDFNormal(G453,16,1)</f>
        <v>2.0522944102443737E-3</v>
      </c>
      <c r="I453">
        <v>453</v>
      </c>
      <c r="J453">
        <f t="shared" si="45"/>
        <v>9.8360000000000003</v>
      </c>
      <c r="K453">
        <f t="shared" si="46"/>
        <v>9.8360000000000003</v>
      </c>
      <c r="L453">
        <f>[1]!XLSTAT_PDFGeneral(J453,17, 1)</f>
        <v>1.0137771196302976E-6</v>
      </c>
      <c r="M453">
        <v>453</v>
      </c>
      <c r="O453">
        <f t="shared" si="47"/>
        <v>5.4348697394789651</v>
      </c>
      <c r="P453">
        <f>[1]!XLSTAT_PDFPoisson(O453,1)</f>
        <v>3.0656620097620196E-3</v>
      </c>
    </row>
    <row r="454" spans="1:16" x14ac:dyDescent="0.3">
      <c r="A454">
        <v>454</v>
      </c>
      <c r="B454">
        <f t="shared" si="42"/>
        <v>-123456789</v>
      </c>
      <c r="C454">
        <f t="shared" si="43"/>
        <v>15.712</v>
      </c>
      <c r="D454">
        <f>[1]!XLSTAT_PDFGeneral(B454,14, 16, 1)</f>
        <v>0</v>
      </c>
      <c r="E454">
        <v>454</v>
      </c>
      <c r="G454">
        <f t="shared" si="44"/>
        <v>19.262525050100194</v>
      </c>
      <c r="H454">
        <f>[1]!XLSTAT_PDFNormal(G454,16,1)</f>
        <v>1.9479584871821447E-3</v>
      </c>
      <c r="I454">
        <v>454</v>
      </c>
      <c r="J454">
        <f t="shared" si="45"/>
        <v>-123456789</v>
      </c>
      <c r="K454">
        <f t="shared" si="46"/>
        <v>9.8360000000000003</v>
      </c>
      <c r="L454">
        <f>[1]!XLSTAT_PDFGeneral(J454,17, 1)</f>
        <v>0</v>
      </c>
      <c r="M454">
        <v>454</v>
      </c>
      <c r="O454">
        <f t="shared" si="47"/>
        <v>5.4468937875751573</v>
      </c>
      <c r="P454">
        <f>[1]!XLSTAT_PDFPoisson(O454,1)</f>
        <v>3.0656620097620196E-3</v>
      </c>
    </row>
    <row r="455" spans="1:16" x14ac:dyDescent="0.3">
      <c r="A455">
        <v>455</v>
      </c>
      <c r="B455">
        <f t="shared" si="42"/>
        <v>-123456789</v>
      </c>
      <c r="C455">
        <f t="shared" si="43"/>
        <v>15.724</v>
      </c>
      <c r="D455">
        <f>[1]!XLSTAT_PDFGeneral(B455,14, 16, 1)</f>
        <v>0</v>
      </c>
      <c r="E455">
        <v>455</v>
      </c>
      <c r="G455">
        <f t="shared" si="44"/>
        <v>19.278557114228452</v>
      </c>
      <c r="H455">
        <f>[1]!XLSTAT_PDFNormal(G455,16,1)</f>
        <v>1.8484517007196324E-3</v>
      </c>
      <c r="I455">
        <v>455</v>
      </c>
      <c r="J455">
        <f t="shared" si="45"/>
        <v>-123456789</v>
      </c>
      <c r="K455">
        <f t="shared" si="46"/>
        <v>9.8219999999999992</v>
      </c>
      <c r="L455">
        <f>[1]!XLSTAT_PDFGeneral(J455,17, 1)</f>
        <v>0</v>
      </c>
      <c r="M455">
        <v>455</v>
      </c>
      <c r="O455">
        <f t="shared" si="47"/>
        <v>5.4589178356713495</v>
      </c>
      <c r="P455">
        <f>[1]!XLSTAT_PDFPoisson(O455,1)</f>
        <v>3.0656620097620196E-3</v>
      </c>
    </row>
    <row r="456" spans="1:16" x14ac:dyDescent="0.3">
      <c r="A456">
        <v>456</v>
      </c>
      <c r="B456">
        <f t="shared" si="42"/>
        <v>15.724</v>
      </c>
      <c r="C456">
        <f t="shared" si="43"/>
        <v>15.724</v>
      </c>
      <c r="D456">
        <f>[1]!XLSTAT_PDFGeneral(B456,14, 16, 1)</f>
        <v>0.38403309961131932</v>
      </c>
      <c r="E456">
        <v>456</v>
      </c>
      <c r="G456">
        <f t="shared" si="44"/>
        <v>19.294589178356709</v>
      </c>
      <c r="H456">
        <f>[1]!XLSTAT_PDFNormal(G456,16,1)</f>
        <v>1.7535772049848566E-3</v>
      </c>
      <c r="I456">
        <v>456</v>
      </c>
      <c r="J456">
        <f t="shared" si="45"/>
        <v>9.8219999999999992</v>
      </c>
      <c r="K456">
        <f t="shared" si="46"/>
        <v>9.8219999999999992</v>
      </c>
      <c r="L456">
        <f>[1]!XLSTAT_PDFGeneral(J456,17, 1)</f>
        <v>1.0137771196302976E-6</v>
      </c>
      <c r="M456">
        <v>456</v>
      </c>
      <c r="O456">
        <f t="shared" si="47"/>
        <v>5.4709418837675425</v>
      </c>
      <c r="P456">
        <f>[1]!XLSTAT_PDFPoisson(O456,1)</f>
        <v>3.0656620097620196E-3</v>
      </c>
    </row>
    <row r="457" spans="1:16" x14ac:dyDescent="0.3">
      <c r="A457">
        <v>457</v>
      </c>
      <c r="B457">
        <f t="shared" si="42"/>
        <v>15.736000000000001</v>
      </c>
      <c r="C457">
        <f t="shared" si="43"/>
        <v>15.736000000000001</v>
      </c>
      <c r="D457">
        <f>[1]!XLSTAT_PDFGeneral(B457,14, 16, 1)</f>
        <v>0.3852793847457277</v>
      </c>
      <c r="E457">
        <v>457</v>
      </c>
      <c r="G457">
        <f t="shared" si="44"/>
        <v>19.310621242484963</v>
      </c>
      <c r="H457">
        <f>[1]!XLSTAT_PDFNormal(G457,16,1)</f>
        <v>1.6631447537702557E-3</v>
      </c>
      <c r="I457">
        <v>457</v>
      </c>
      <c r="J457">
        <f t="shared" si="45"/>
        <v>9.8079999999999998</v>
      </c>
      <c r="K457">
        <f t="shared" si="46"/>
        <v>9.8079999999999998</v>
      </c>
      <c r="L457">
        <f>[1]!XLSTAT_PDFGeneral(J457,17, 1)</f>
        <v>1.0137771196302976E-6</v>
      </c>
      <c r="M457">
        <v>457</v>
      </c>
      <c r="O457">
        <f t="shared" si="47"/>
        <v>5.4829659318637347</v>
      </c>
      <c r="P457">
        <f>[1]!XLSTAT_PDFPoisson(O457,1)</f>
        <v>3.0656620097620196E-3</v>
      </c>
    </row>
    <row r="458" spans="1:16" x14ac:dyDescent="0.3">
      <c r="A458">
        <v>458</v>
      </c>
      <c r="B458">
        <f t="shared" si="42"/>
        <v>-123456789</v>
      </c>
      <c r="C458">
        <f t="shared" si="43"/>
        <v>15.736000000000001</v>
      </c>
      <c r="D458">
        <f>[1]!XLSTAT_PDFGeneral(B458,14, 16, 1)</f>
        <v>0</v>
      </c>
      <c r="E458">
        <v>458</v>
      </c>
      <c r="G458">
        <f t="shared" si="44"/>
        <v>19.32665330661322</v>
      </c>
      <c r="H458">
        <f>[1]!XLSTAT_PDFNormal(G458,16,1)</f>
        <v>1.5769705523171946E-3</v>
      </c>
      <c r="I458">
        <v>458</v>
      </c>
      <c r="J458">
        <f t="shared" si="45"/>
        <v>-123456789</v>
      </c>
      <c r="K458">
        <f t="shared" si="46"/>
        <v>9.8079999999999998</v>
      </c>
      <c r="L458">
        <f>[1]!XLSTAT_PDFGeneral(J458,17, 1)</f>
        <v>0</v>
      </c>
      <c r="M458">
        <v>458</v>
      </c>
      <c r="O458">
        <f t="shared" si="47"/>
        <v>5.4949899799599269</v>
      </c>
      <c r="P458">
        <f>[1]!XLSTAT_PDFPoisson(O458,1)</f>
        <v>3.0656620097620196E-3</v>
      </c>
    </row>
    <row r="459" spans="1:16" x14ac:dyDescent="0.3">
      <c r="A459">
        <v>459</v>
      </c>
      <c r="B459">
        <f t="shared" si="42"/>
        <v>-123456789</v>
      </c>
      <c r="C459">
        <f t="shared" si="43"/>
        <v>15.748000000000001</v>
      </c>
      <c r="D459">
        <f>[1]!XLSTAT_PDFGeneral(B459,14, 16, 1)</f>
        <v>0</v>
      </c>
      <c r="E459">
        <v>459</v>
      </c>
      <c r="G459">
        <f t="shared" si="44"/>
        <v>19.342685370741478</v>
      </c>
      <c r="H459">
        <f>[1]!XLSTAT_PDFNormal(G459,16,1)</f>
        <v>1.4948771086513598E-3</v>
      </c>
      <c r="I459">
        <v>459</v>
      </c>
      <c r="J459">
        <f t="shared" si="45"/>
        <v>-123456789</v>
      </c>
      <c r="K459">
        <f t="shared" si="46"/>
        <v>9.7940000000000005</v>
      </c>
      <c r="L459">
        <f>[1]!XLSTAT_PDFGeneral(J459,17, 1)</f>
        <v>0</v>
      </c>
      <c r="M459">
        <v>459</v>
      </c>
      <c r="O459">
        <f t="shared" si="47"/>
        <v>5.5070140280561191</v>
      </c>
      <c r="P459">
        <f>[1]!XLSTAT_PDFPoisson(O459,1)</f>
        <v>3.0656620097620196E-3</v>
      </c>
    </row>
    <row r="460" spans="1:16" x14ac:dyDescent="0.3">
      <c r="A460">
        <v>460</v>
      </c>
      <c r="B460">
        <f t="shared" si="42"/>
        <v>15.748000000000001</v>
      </c>
      <c r="C460">
        <f t="shared" si="43"/>
        <v>15.748000000000001</v>
      </c>
      <c r="D460">
        <f>[1]!XLSTAT_PDFGeneral(B460,14, 16, 1)</f>
        <v>0.38647405812101876</v>
      </c>
      <c r="E460">
        <v>460</v>
      </c>
      <c r="G460">
        <f t="shared" si="44"/>
        <v>19.358717434869735</v>
      </c>
      <c r="H460">
        <f>[1]!XLSTAT_PDFNormal(G460,16,1)</f>
        <v>1.4166930847150508E-3</v>
      </c>
      <c r="I460">
        <v>460</v>
      </c>
      <c r="J460">
        <f t="shared" si="45"/>
        <v>9.7940000000000005</v>
      </c>
      <c r="K460">
        <f t="shared" si="46"/>
        <v>9.7940000000000005</v>
      </c>
      <c r="L460">
        <f>[1]!XLSTAT_PDFGeneral(J460,17, 1)</f>
        <v>1.0137771196302976E-6</v>
      </c>
      <c r="M460">
        <v>460</v>
      </c>
      <c r="O460">
        <f t="shared" si="47"/>
        <v>5.5190380761523121</v>
      </c>
      <c r="P460">
        <f>[1]!XLSTAT_PDFPoisson(O460,1)</f>
        <v>3.0656620097620196E-3</v>
      </c>
    </row>
    <row r="461" spans="1:16" x14ac:dyDescent="0.3">
      <c r="A461">
        <v>461</v>
      </c>
      <c r="B461">
        <f t="shared" si="42"/>
        <v>15.76</v>
      </c>
      <c r="C461">
        <f t="shared" si="43"/>
        <v>15.76</v>
      </c>
      <c r="D461">
        <f>[1]!XLSTAT_PDFGeneral(B461,14, 16, 1)</f>
        <v>0.38761661512501411</v>
      </c>
      <c r="E461">
        <v>461</v>
      </c>
      <c r="G461">
        <f t="shared" si="44"/>
        <v>19.374749498997993</v>
      </c>
      <c r="H461">
        <f>[1]!XLSTAT_PDFNormal(G461,16,1)</f>
        <v>1.3422531475307082E-3</v>
      </c>
      <c r="I461">
        <v>461</v>
      </c>
      <c r="J461">
        <f t="shared" si="45"/>
        <v>9.7799999999999994</v>
      </c>
      <c r="K461">
        <f t="shared" si="46"/>
        <v>9.7799999999999994</v>
      </c>
      <c r="L461">
        <f>[1]!XLSTAT_PDFGeneral(J461,17, 1)</f>
        <v>1.0137771196302976E-6</v>
      </c>
      <c r="M461">
        <v>461</v>
      </c>
      <c r="O461">
        <f t="shared" si="47"/>
        <v>5.5310621242485043</v>
      </c>
      <c r="P461">
        <f>[1]!XLSTAT_PDFPoisson(O461,1)</f>
        <v>3.0656620097620196E-3</v>
      </c>
    </row>
    <row r="462" spans="1:16" x14ac:dyDescent="0.3">
      <c r="A462">
        <v>462</v>
      </c>
      <c r="B462">
        <f t="shared" si="42"/>
        <v>-123456789</v>
      </c>
      <c r="C462">
        <f t="shared" si="43"/>
        <v>15.76</v>
      </c>
      <c r="D462">
        <f>[1]!XLSTAT_PDFGeneral(B462,14, 16, 1)</f>
        <v>0</v>
      </c>
      <c r="E462">
        <v>462</v>
      </c>
      <c r="G462">
        <f t="shared" si="44"/>
        <v>19.390781563126247</v>
      </c>
      <c r="H462">
        <f>[1]!XLSTAT_PDFNormal(G462,16,1)</f>
        <v>1.2713978206173905E-3</v>
      </c>
      <c r="I462">
        <v>462</v>
      </c>
      <c r="J462">
        <f t="shared" si="45"/>
        <v>-123456789</v>
      </c>
      <c r="K462">
        <f t="shared" si="46"/>
        <v>9.7799999999999994</v>
      </c>
      <c r="L462">
        <f>[1]!XLSTAT_PDFGeneral(J462,17, 1)</f>
        <v>0</v>
      </c>
      <c r="M462">
        <v>462</v>
      </c>
      <c r="O462">
        <f t="shared" si="47"/>
        <v>5.5430861723446965</v>
      </c>
      <c r="P462">
        <f>[1]!XLSTAT_PDFPoisson(O462,1)</f>
        <v>3.0656620097620196E-3</v>
      </c>
    </row>
    <row r="463" spans="1:16" x14ac:dyDescent="0.3">
      <c r="A463">
        <v>463</v>
      </c>
      <c r="B463">
        <f t="shared" si="42"/>
        <v>-123456789</v>
      </c>
      <c r="C463">
        <f t="shared" si="43"/>
        <v>15.772</v>
      </c>
      <c r="D463">
        <f>[1]!XLSTAT_PDFGeneral(B463,14, 16, 1)</f>
        <v>0</v>
      </c>
      <c r="E463">
        <v>463</v>
      </c>
      <c r="G463">
        <f t="shared" si="44"/>
        <v>19.406813627254504</v>
      </c>
      <c r="H463">
        <f>[1]!XLSTAT_PDFNormal(G463,16,1)</f>
        <v>1.203973335869937E-3</v>
      </c>
      <c r="I463">
        <v>463</v>
      </c>
      <c r="J463">
        <f t="shared" si="45"/>
        <v>-123456789</v>
      </c>
      <c r="K463">
        <f t="shared" si="46"/>
        <v>9.766</v>
      </c>
      <c r="L463">
        <f>[1]!XLSTAT_PDFGeneral(J463,17, 1)</f>
        <v>0</v>
      </c>
      <c r="M463">
        <v>463</v>
      </c>
      <c r="O463">
        <f t="shared" si="47"/>
        <v>5.5551102204408886</v>
      </c>
      <c r="P463">
        <f>[1]!XLSTAT_PDFPoisson(O463,1)</f>
        <v>3.0656620097620196E-3</v>
      </c>
    </row>
    <row r="464" spans="1:16" x14ac:dyDescent="0.3">
      <c r="A464">
        <v>464</v>
      </c>
      <c r="B464">
        <f t="shared" si="42"/>
        <v>15.772</v>
      </c>
      <c r="C464">
        <f t="shared" si="43"/>
        <v>15.772</v>
      </c>
      <c r="D464">
        <f>[1]!XLSTAT_PDFGeneral(B464,14, 16, 1)</f>
        <v>0.38870657216378751</v>
      </c>
      <c r="E464">
        <v>464</v>
      </c>
      <c r="G464">
        <f t="shared" si="44"/>
        <v>19.422845691382761</v>
      </c>
      <c r="H464">
        <f>[1]!XLSTAT_PDFNormal(G464,16,1)</f>
        <v>1.1398314860990378E-3</v>
      </c>
      <c r="I464">
        <v>464</v>
      </c>
      <c r="J464">
        <f t="shared" si="45"/>
        <v>9.766</v>
      </c>
      <c r="K464">
        <f t="shared" si="46"/>
        <v>9.766</v>
      </c>
      <c r="L464">
        <f>[1]!XLSTAT_PDFGeneral(J464,17, 1)</f>
        <v>1.0137771196302976E-6</v>
      </c>
      <c r="M464">
        <v>464</v>
      </c>
      <c r="O464">
        <f t="shared" si="47"/>
        <v>5.5671342685370817</v>
      </c>
      <c r="P464">
        <f>[1]!XLSTAT_PDFPoisson(O464,1)</f>
        <v>3.0656620097620196E-3</v>
      </c>
    </row>
    <row r="465" spans="1:16" x14ac:dyDescent="0.3">
      <c r="A465">
        <v>465</v>
      </c>
      <c r="B465">
        <f t="shared" si="42"/>
        <v>15.784000000000001</v>
      </c>
      <c r="C465">
        <f t="shared" si="43"/>
        <v>15.784000000000001</v>
      </c>
      <c r="D465">
        <f>[1]!XLSTAT_PDFGeneral(B465,14, 16, 1)</f>
        <v>0.38974346700272955</v>
      </c>
      <c r="E465">
        <v>465</v>
      </c>
      <c r="G465">
        <f t="shared" si="44"/>
        <v>19.438877755511015</v>
      </c>
      <c r="H465">
        <f>[1]!XLSTAT_PDFNormal(G465,16,1)</f>
        <v>1.0788294784183309E-3</v>
      </c>
      <c r="I465">
        <v>465</v>
      </c>
      <c r="J465">
        <f t="shared" si="45"/>
        <v>9.7519999999999989</v>
      </c>
      <c r="K465">
        <f t="shared" si="46"/>
        <v>9.7519999999999989</v>
      </c>
      <c r="L465">
        <f>[1]!XLSTAT_PDFGeneral(J465,17, 1)</f>
        <v>1.0137771196302976E-6</v>
      </c>
      <c r="M465">
        <v>465</v>
      </c>
      <c r="O465">
        <f t="shared" si="47"/>
        <v>5.5791583166332739</v>
      </c>
      <c r="P465">
        <f>[1]!XLSTAT_PDFPoisson(O465,1)</f>
        <v>3.0656620097620196E-3</v>
      </c>
    </row>
    <row r="466" spans="1:16" x14ac:dyDescent="0.3">
      <c r="A466">
        <v>466</v>
      </c>
      <c r="B466">
        <f t="shared" si="42"/>
        <v>-123456789</v>
      </c>
      <c r="C466">
        <f t="shared" si="43"/>
        <v>15.784000000000001</v>
      </c>
      <c r="D466">
        <f>[1]!XLSTAT_PDFGeneral(B466,14, 16, 1)</f>
        <v>0</v>
      </c>
      <c r="E466">
        <v>466</v>
      </c>
      <c r="G466">
        <f t="shared" si="44"/>
        <v>19.454909819639273</v>
      </c>
      <c r="H466">
        <f>[1]!XLSTAT_PDFNormal(G466,16,1)</f>
        <v>1.0208297886537549E-3</v>
      </c>
      <c r="I466">
        <v>466</v>
      </c>
      <c r="J466">
        <f t="shared" si="45"/>
        <v>-123456789</v>
      </c>
      <c r="K466">
        <f t="shared" si="46"/>
        <v>9.7519999999999989</v>
      </c>
      <c r="L466">
        <f>[1]!XLSTAT_PDFGeneral(J466,17, 1)</f>
        <v>0</v>
      </c>
      <c r="M466">
        <v>466</v>
      </c>
      <c r="O466">
        <f t="shared" si="47"/>
        <v>5.5911823647294661</v>
      </c>
      <c r="P466">
        <f>[1]!XLSTAT_PDFPoisson(O466,1)</f>
        <v>3.0656620097620196E-3</v>
      </c>
    </row>
    <row r="467" spans="1:16" x14ac:dyDescent="0.3">
      <c r="A467">
        <v>467</v>
      </c>
      <c r="B467">
        <f t="shared" si="42"/>
        <v>-123456789</v>
      </c>
      <c r="C467">
        <f t="shared" si="43"/>
        <v>15.795999999999999</v>
      </c>
      <c r="D467">
        <f>[1]!XLSTAT_PDFGeneral(B467,14, 16, 1)</f>
        <v>0</v>
      </c>
      <c r="E467">
        <v>467</v>
      </c>
      <c r="G467">
        <f t="shared" si="44"/>
        <v>19.47094188376753</v>
      </c>
      <c r="H467">
        <f>[1]!XLSTAT_PDFNormal(G467,16,1)</f>
        <v>9.657000169392317E-4</v>
      </c>
      <c r="I467">
        <v>467</v>
      </c>
      <c r="J467">
        <f t="shared" si="45"/>
        <v>-123456789</v>
      </c>
      <c r="K467">
        <f t="shared" si="46"/>
        <v>9.7379999999999995</v>
      </c>
      <c r="L467">
        <f>[1]!XLSTAT_PDFGeneral(J467,17, 1)</f>
        <v>0</v>
      </c>
      <c r="M467">
        <v>467</v>
      </c>
      <c r="O467">
        <f t="shared" si="47"/>
        <v>5.6032064128256582</v>
      </c>
      <c r="P467">
        <f>[1]!XLSTAT_PDFPoisson(O467,1)</f>
        <v>3.0656620097620196E-3</v>
      </c>
    </row>
    <row r="468" spans="1:16" x14ac:dyDescent="0.3">
      <c r="A468">
        <v>468</v>
      </c>
      <c r="B468">
        <f t="shared" si="42"/>
        <v>15.795999999999999</v>
      </c>
      <c r="C468">
        <f t="shared" si="43"/>
        <v>15.795999999999999</v>
      </c>
      <c r="D468">
        <f>[1]!XLSTAT_PDFGeneral(B468,14, 16, 1)</f>
        <v>0.39072685909319921</v>
      </c>
      <c r="E468">
        <v>468</v>
      </c>
      <c r="G468">
        <f t="shared" si="44"/>
        <v>19.486973947895784</v>
      </c>
      <c r="H468">
        <f>[1]!XLSTAT_PDFNormal(G468,16,1)</f>
        <v>9.1331274465158746E-4</v>
      </c>
      <c r="I468">
        <v>468</v>
      </c>
      <c r="J468">
        <f t="shared" si="45"/>
        <v>9.7379999999999995</v>
      </c>
      <c r="K468">
        <f t="shared" si="46"/>
        <v>9.7379999999999995</v>
      </c>
      <c r="L468">
        <f>[1]!XLSTAT_PDFGeneral(J468,17, 1)</f>
        <v>1.0137771196302976E-6</v>
      </c>
      <c r="M468">
        <v>468</v>
      </c>
      <c r="O468">
        <f t="shared" si="47"/>
        <v>5.6152304609218513</v>
      </c>
      <c r="P468">
        <f>[1]!XLSTAT_PDFPoisson(O468,1)</f>
        <v>3.0656620097620196E-3</v>
      </c>
    </row>
    <row r="469" spans="1:16" x14ac:dyDescent="0.3">
      <c r="A469">
        <v>469</v>
      </c>
      <c r="B469">
        <f t="shared" si="42"/>
        <v>15.808</v>
      </c>
      <c r="C469">
        <f t="shared" si="43"/>
        <v>15.808</v>
      </c>
      <c r="D469">
        <f>[1]!XLSTAT_PDFGeneral(B469,14, 16, 1)</f>
        <v>0.39165632988443705</v>
      </c>
      <c r="E469">
        <v>469</v>
      </c>
      <c r="G469">
        <f t="shared" si="44"/>
        <v>19.503006012024041</v>
      </c>
      <c r="H469">
        <f>[1]!XLSTAT_PDFNormal(G469,16,1)</f>
        <v>8.6354539282743189E-4</v>
      </c>
      <c r="I469">
        <v>469</v>
      </c>
      <c r="J469">
        <f t="shared" si="45"/>
        <v>9.7240000000000002</v>
      </c>
      <c r="K469">
        <f t="shared" si="46"/>
        <v>9.7240000000000002</v>
      </c>
      <c r="L469">
        <f>[1]!XLSTAT_PDFGeneral(J469,17, 1)</f>
        <v>1.0137771196302976E-6</v>
      </c>
      <c r="M469">
        <v>469</v>
      </c>
      <c r="O469">
        <f t="shared" si="47"/>
        <v>5.6272545090180435</v>
      </c>
      <c r="P469">
        <f>[1]!XLSTAT_PDFPoisson(O469,1)</f>
        <v>3.0656620097620196E-3</v>
      </c>
    </row>
    <row r="470" spans="1:16" x14ac:dyDescent="0.3">
      <c r="A470">
        <v>470</v>
      </c>
      <c r="B470">
        <f t="shared" si="42"/>
        <v>-123456789</v>
      </c>
      <c r="C470">
        <f t="shared" si="43"/>
        <v>15.808</v>
      </c>
      <c r="D470">
        <f>[1]!XLSTAT_PDFGeneral(B470,14, 16, 1)</f>
        <v>0</v>
      </c>
      <c r="E470">
        <v>470</v>
      </c>
      <c r="G470">
        <f t="shared" si="44"/>
        <v>19.519038076152299</v>
      </c>
      <c r="H470">
        <f>[1]!XLSTAT_PDFNormal(G470,16,1)</f>
        <v>8.1628008219440499E-4</v>
      </c>
      <c r="I470">
        <v>470</v>
      </c>
      <c r="J470">
        <f t="shared" si="45"/>
        <v>-123456789</v>
      </c>
      <c r="K470">
        <f t="shared" si="46"/>
        <v>9.7240000000000002</v>
      </c>
      <c r="L470">
        <f>[1]!XLSTAT_PDFGeneral(J470,17, 1)</f>
        <v>0</v>
      </c>
      <c r="M470">
        <v>470</v>
      </c>
      <c r="O470">
        <f t="shared" si="47"/>
        <v>5.6392785571142356</v>
      </c>
      <c r="P470">
        <f>[1]!XLSTAT_PDFPoisson(O470,1)</f>
        <v>3.0656620097620196E-3</v>
      </c>
    </row>
    <row r="471" spans="1:16" x14ac:dyDescent="0.3">
      <c r="A471">
        <v>471</v>
      </c>
      <c r="B471">
        <f t="shared" si="42"/>
        <v>-123456789</v>
      </c>
      <c r="C471">
        <f t="shared" si="43"/>
        <v>15.82</v>
      </c>
      <c r="D471">
        <f>[1]!XLSTAT_PDFGeneral(B471,14, 16, 1)</f>
        <v>0</v>
      </c>
      <c r="E471">
        <v>471</v>
      </c>
      <c r="G471">
        <f t="shared" si="44"/>
        <v>19.535070140280556</v>
      </c>
      <c r="H471">
        <f>[1]!XLSTAT_PDFNormal(G471,16,1)</f>
        <v>7.7140349493889091E-4</v>
      </c>
      <c r="I471">
        <v>471</v>
      </c>
      <c r="J471">
        <f t="shared" si="45"/>
        <v>-123456789</v>
      </c>
      <c r="K471">
        <f t="shared" si="46"/>
        <v>9.7100000000000009</v>
      </c>
      <c r="L471">
        <f>[1]!XLSTAT_PDFGeneral(J471,17, 1)</f>
        <v>0</v>
      </c>
      <c r="M471">
        <v>471</v>
      </c>
      <c r="O471">
        <f t="shared" si="47"/>
        <v>5.6513026052104278</v>
      </c>
      <c r="P471">
        <f>[1]!XLSTAT_PDFPoisson(O471,1)</f>
        <v>3.0656620097620196E-3</v>
      </c>
    </row>
    <row r="472" spans="1:16" x14ac:dyDescent="0.3">
      <c r="A472">
        <v>472</v>
      </c>
      <c r="B472">
        <f t="shared" si="42"/>
        <v>15.82</v>
      </c>
      <c r="C472">
        <f t="shared" si="43"/>
        <v>15.82</v>
      </c>
      <c r="D472">
        <f>[1]!XLSTAT_PDFGeneral(B472,14, 16, 1)</f>
        <v>0.39253148312042896</v>
      </c>
      <c r="E472">
        <v>472</v>
      </c>
      <c r="G472">
        <f t="shared" si="44"/>
        <v>19.551102204408814</v>
      </c>
      <c r="H472">
        <f>[1]!XLSTAT_PDFNormal(G472,16,1)</f>
        <v>7.2880673832302601E-4</v>
      </c>
      <c r="I472">
        <v>472</v>
      </c>
      <c r="J472">
        <f t="shared" si="45"/>
        <v>9.7100000000000009</v>
      </c>
      <c r="K472">
        <f t="shared" si="46"/>
        <v>9.7100000000000009</v>
      </c>
      <c r="L472">
        <f>[1]!XLSTAT_PDFGeneral(J472,17, 1)</f>
        <v>1.0137771196302976E-6</v>
      </c>
      <c r="M472">
        <v>472</v>
      </c>
      <c r="O472">
        <f t="shared" si="47"/>
        <v>5.6633266533066209</v>
      </c>
      <c r="P472">
        <f>[1]!XLSTAT_PDFPoisson(O472,1)</f>
        <v>3.0656620097620196E-3</v>
      </c>
    </row>
    <row r="473" spans="1:16" x14ac:dyDescent="0.3">
      <c r="A473">
        <v>473</v>
      </c>
      <c r="B473">
        <f t="shared" si="42"/>
        <v>15.832000000000001</v>
      </c>
      <c r="C473">
        <f t="shared" si="43"/>
        <v>15.832000000000001</v>
      </c>
      <c r="D473">
        <f>[1]!XLSTAT_PDFGeneral(B473,14, 16, 1)</f>
        <v>0.39335194512142985</v>
      </c>
      <c r="E473">
        <v>473</v>
      </c>
      <c r="G473">
        <f t="shared" si="44"/>
        <v>19.567134268537067</v>
      </c>
      <c r="H473">
        <f>[1]!XLSTAT_PDFNormal(G473,16,1)</f>
        <v>6.8838521025418637E-4</v>
      </c>
      <c r="I473">
        <v>473</v>
      </c>
      <c r="J473">
        <f t="shared" si="45"/>
        <v>9.6959999999999997</v>
      </c>
      <c r="K473">
        <f t="shared" si="46"/>
        <v>9.6959999999999997</v>
      </c>
      <c r="L473">
        <f>[1]!XLSTAT_PDFGeneral(J473,17, 1)</f>
        <v>1.0137771196302976E-6</v>
      </c>
      <c r="M473">
        <v>473</v>
      </c>
      <c r="O473">
        <f t="shared" si="47"/>
        <v>5.6753507014028131</v>
      </c>
      <c r="P473">
        <f>[1]!XLSTAT_PDFPoisson(O473,1)</f>
        <v>3.0656620097620196E-3</v>
      </c>
    </row>
    <row r="474" spans="1:16" x14ac:dyDescent="0.3">
      <c r="A474">
        <v>474</v>
      </c>
      <c r="B474">
        <f t="shared" si="42"/>
        <v>-123456789</v>
      </c>
      <c r="C474">
        <f t="shared" si="43"/>
        <v>15.832000000000001</v>
      </c>
      <c r="D474">
        <f>[1]!XLSTAT_PDFGeneral(B474,14, 16, 1)</f>
        <v>0</v>
      </c>
      <c r="E474">
        <v>474</v>
      </c>
      <c r="G474">
        <f t="shared" si="44"/>
        <v>19.583166332665325</v>
      </c>
      <c r="H474">
        <f>[1]!XLSTAT_PDFNormal(G474,16,1)</f>
        <v>6.5003846690109605E-4</v>
      </c>
      <c r="I474">
        <v>474</v>
      </c>
      <c r="J474">
        <f t="shared" si="45"/>
        <v>-123456789</v>
      </c>
      <c r="K474">
        <f t="shared" si="46"/>
        <v>9.6959999999999997</v>
      </c>
      <c r="L474">
        <f>[1]!XLSTAT_PDFGeneral(J474,17, 1)</f>
        <v>0</v>
      </c>
      <c r="M474">
        <v>474</v>
      </c>
      <c r="O474">
        <f t="shared" si="47"/>
        <v>5.6873747494990052</v>
      </c>
      <c r="P474">
        <f>[1]!XLSTAT_PDFPoisson(O474,1)</f>
        <v>3.0656620097620196E-3</v>
      </c>
    </row>
    <row r="475" spans="1:16" x14ac:dyDescent="0.3">
      <c r="A475">
        <v>475</v>
      </c>
      <c r="B475">
        <f t="shared" si="42"/>
        <v>-123456789</v>
      </c>
      <c r="C475">
        <f t="shared" si="43"/>
        <v>15.843999999999999</v>
      </c>
      <c r="D475">
        <f>[1]!XLSTAT_PDFGeneral(B475,14, 16, 1)</f>
        <v>0</v>
      </c>
      <c r="E475">
        <v>475</v>
      </c>
      <c r="G475">
        <f t="shared" si="44"/>
        <v>19.599198396793582</v>
      </c>
      <c r="H475">
        <f>[1]!XLSTAT_PDFNormal(G475,16,1)</f>
        <v>6.1367009244209724E-4</v>
      </c>
      <c r="I475">
        <v>475</v>
      </c>
      <c r="J475">
        <f t="shared" si="45"/>
        <v>-123456789</v>
      </c>
      <c r="K475">
        <f t="shared" si="46"/>
        <v>9.6820000000000004</v>
      </c>
      <c r="L475">
        <f>[1]!XLSTAT_PDFGeneral(J475,17, 1)</f>
        <v>0</v>
      </c>
      <c r="M475">
        <v>475</v>
      </c>
      <c r="O475">
        <f t="shared" si="47"/>
        <v>5.6993987975951974</v>
      </c>
      <c r="P475">
        <f>[1]!XLSTAT_PDFPoisson(O475,1)</f>
        <v>3.0656620097620196E-3</v>
      </c>
    </row>
    <row r="476" spans="1:16" x14ac:dyDescent="0.3">
      <c r="A476">
        <v>476</v>
      </c>
      <c r="B476">
        <f t="shared" si="42"/>
        <v>15.843999999999999</v>
      </c>
      <c r="C476">
        <f t="shared" si="43"/>
        <v>15.843999999999999</v>
      </c>
      <c r="D476">
        <f>[1]!XLSTAT_PDFGeneral(B476,14, 16, 1)</f>
        <v>0.39411736504986411</v>
      </c>
      <c r="E476">
        <v>476</v>
      </c>
      <c r="G476">
        <f t="shared" si="44"/>
        <v>19.615230460921836</v>
      </c>
      <c r="H476">
        <f>[1]!XLSTAT_PDFNormal(G476,16,1)</f>
        <v>5.7918757102237066E-4</v>
      </c>
      <c r="I476">
        <v>476</v>
      </c>
      <c r="J476">
        <f t="shared" si="45"/>
        <v>9.6820000000000004</v>
      </c>
      <c r="K476">
        <f t="shared" si="46"/>
        <v>9.6820000000000004</v>
      </c>
      <c r="L476">
        <f>[1]!XLSTAT_PDFGeneral(J476,17, 1)</f>
        <v>1.0137771196302976E-6</v>
      </c>
      <c r="M476">
        <v>476</v>
      </c>
      <c r="O476">
        <f t="shared" si="47"/>
        <v>5.7114228456913905</v>
      </c>
      <c r="P476">
        <f>[1]!XLSTAT_PDFPoisson(O476,1)</f>
        <v>3.0656620097620196E-3</v>
      </c>
    </row>
    <row r="477" spans="1:16" x14ac:dyDescent="0.3">
      <c r="A477">
        <v>477</v>
      </c>
      <c r="B477">
        <f t="shared" si="42"/>
        <v>15.856</v>
      </c>
      <c r="C477">
        <f t="shared" si="43"/>
        <v>15.856</v>
      </c>
      <c r="D477">
        <f>[1]!XLSTAT_PDFGeneral(B477,14, 16, 1)</f>
        <v>0.39482741516033976</v>
      </c>
      <c r="E477">
        <v>477</v>
      </c>
      <c r="G477">
        <f t="shared" si="44"/>
        <v>19.631262525050094</v>
      </c>
      <c r="H477">
        <f>[1]!XLSTAT_PDFNormal(G477,16,1)</f>
        <v>5.4650216098900981E-4</v>
      </c>
      <c r="I477">
        <v>477</v>
      </c>
      <c r="J477">
        <f t="shared" si="45"/>
        <v>9.6679999999999993</v>
      </c>
      <c r="K477">
        <f t="shared" si="46"/>
        <v>9.6679999999999993</v>
      </c>
      <c r="L477">
        <f>[1]!XLSTAT_PDFGeneral(J477,17, 1)</f>
        <v>1.0137771196302976E-6</v>
      </c>
      <c r="M477">
        <v>477</v>
      </c>
      <c r="O477">
        <f t="shared" si="47"/>
        <v>5.7234468937875826</v>
      </c>
      <c r="P477">
        <f>[1]!XLSTAT_PDFPoisson(O477,1)</f>
        <v>3.0656620097620196E-3</v>
      </c>
    </row>
    <row r="478" spans="1:16" x14ac:dyDescent="0.3">
      <c r="A478">
        <v>478</v>
      </c>
      <c r="B478">
        <f t="shared" si="42"/>
        <v>-123456789</v>
      </c>
      <c r="C478">
        <f t="shared" si="43"/>
        <v>15.856</v>
      </c>
      <c r="D478">
        <f>[1]!XLSTAT_PDFGeneral(B478,14, 16, 1)</f>
        <v>0</v>
      </c>
      <c r="E478">
        <v>478</v>
      </c>
      <c r="G478">
        <f t="shared" si="44"/>
        <v>19.647294589178351</v>
      </c>
      <c r="H478">
        <f>[1]!XLSTAT_PDFNormal(G478,16,1)</f>
        <v>5.155287714650068E-4</v>
      </c>
      <c r="I478">
        <v>478</v>
      </c>
      <c r="J478">
        <f t="shared" si="45"/>
        <v>-123456789</v>
      </c>
      <c r="K478">
        <f t="shared" si="46"/>
        <v>9.6679999999999993</v>
      </c>
      <c r="L478">
        <f>[1]!XLSTAT_PDFGeneral(J478,17, 1)</f>
        <v>0</v>
      </c>
      <c r="M478">
        <v>478</v>
      </c>
      <c r="O478">
        <f t="shared" si="47"/>
        <v>5.7354709418837748</v>
      </c>
      <c r="P478">
        <f>[1]!XLSTAT_PDFPoisson(O478,1)</f>
        <v>3.0656620097620196E-3</v>
      </c>
    </row>
    <row r="479" spans="1:16" x14ac:dyDescent="0.3">
      <c r="A479">
        <v>479</v>
      </c>
      <c r="B479">
        <f t="shared" si="42"/>
        <v>-123456789</v>
      </c>
      <c r="C479">
        <f t="shared" si="43"/>
        <v>15.868</v>
      </c>
      <c r="D479">
        <f>[1]!XLSTAT_PDFGeneral(B479,14, 16, 1)</f>
        <v>0</v>
      </c>
      <c r="E479">
        <v>479</v>
      </c>
      <c r="G479">
        <f t="shared" si="44"/>
        <v>19.663326653306608</v>
      </c>
      <c r="H479">
        <f>[1]!XLSTAT_PDFNormal(G479,16,1)</f>
        <v>4.8618584131549517E-4</v>
      </c>
      <c r="I479">
        <v>479</v>
      </c>
      <c r="J479">
        <f t="shared" si="45"/>
        <v>-123456789</v>
      </c>
      <c r="K479">
        <f t="shared" si="46"/>
        <v>9.6539999999999999</v>
      </c>
      <c r="L479">
        <f>[1]!XLSTAT_PDFGeneral(J479,17, 1)</f>
        <v>0</v>
      </c>
      <c r="M479">
        <v>479</v>
      </c>
      <c r="O479">
        <f t="shared" si="47"/>
        <v>5.747494989979967</v>
      </c>
      <c r="P479">
        <f>[1]!XLSTAT_PDFPoisson(O479,1)</f>
        <v>3.0656620097620196E-3</v>
      </c>
    </row>
    <row r="480" spans="1:16" x14ac:dyDescent="0.3">
      <c r="A480">
        <v>480</v>
      </c>
      <c r="B480">
        <f t="shared" si="42"/>
        <v>15.868</v>
      </c>
      <c r="C480">
        <f t="shared" si="43"/>
        <v>15.868</v>
      </c>
      <c r="D480">
        <f>[1]!XLSTAT_PDFGeneral(B480,14, 16, 1)</f>
        <v>0.3954817910335251</v>
      </c>
      <c r="E480">
        <v>480</v>
      </c>
      <c r="G480">
        <f t="shared" si="44"/>
        <v>19.679358717434866</v>
      </c>
      <c r="H480">
        <f>[1]!XLSTAT_PDFNormal(G480,16,1)</f>
        <v>4.5839522055265947E-4</v>
      </c>
      <c r="I480">
        <v>480</v>
      </c>
      <c r="J480">
        <f t="shared" si="45"/>
        <v>9.6539999999999999</v>
      </c>
      <c r="K480">
        <f t="shared" si="46"/>
        <v>9.6539999999999999</v>
      </c>
      <c r="L480">
        <f>[1]!XLSTAT_PDFGeneral(J480,17, 1)</f>
        <v>1.0137771196302976E-6</v>
      </c>
      <c r="M480">
        <v>480</v>
      </c>
      <c r="O480">
        <f t="shared" si="47"/>
        <v>5.7595190380761601</v>
      </c>
      <c r="P480">
        <f>[1]!XLSTAT_PDFPoisson(O480,1)</f>
        <v>3.0656620097620196E-3</v>
      </c>
    </row>
    <row r="481" spans="1:16" x14ac:dyDescent="0.3">
      <c r="A481">
        <v>481</v>
      </c>
      <c r="B481">
        <f t="shared" si="42"/>
        <v>15.879999999999999</v>
      </c>
      <c r="C481">
        <f t="shared" si="43"/>
        <v>15.879999999999999</v>
      </c>
      <c r="D481">
        <f>[1]!XLSTAT_PDFGeneral(B481,14, 16, 1)</f>
        <v>0.3960802117936561</v>
      </c>
      <c r="E481">
        <v>481</v>
      </c>
      <c r="G481">
        <f t="shared" si="44"/>
        <v>19.69539078156312</v>
      </c>
      <c r="H481">
        <f>[1]!XLSTAT_PDFNormal(G481,16,1)</f>
        <v>4.3208205421868404E-4</v>
      </c>
      <c r="I481">
        <v>481</v>
      </c>
      <c r="J481">
        <f t="shared" si="45"/>
        <v>9.64</v>
      </c>
      <c r="K481">
        <f t="shared" si="46"/>
        <v>9.64</v>
      </c>
      <c r="L481">
        <f>[1]!XLSTAT_PDFGeneral(J481,17, 1)</f>
        <v>1.0137771196302976E-6</v>
      </c>
      <c r="M481">
        <v>481</v>
      </c>
      <c r="O481">
        <f t="shared" si="47"/>
        <v>5.7715430861723522</v>
      </c>
      <c r="P481">
        <f>[1]!XLSTAT_PDFPoisson(O481,1)</f>
        <v>3.0656620097620196E-3</v>
      </c>
    </row>
    <row r="482" spans="1:16" x14ac:dyDescent="0.3">
      <c r="A482">
        <v>482</v>
      </c>
      <c r="B482">
        <f t="shared" si="42"/>
        <v>-123456789</v>
      </c>
      <c r="C482">
        <f t="shared" si="43"/>
        <v>15.879999999999999</v>
      </c>
      <c r="D482">
        <f>[1]!XLSTAT_PDFGeneral(B482,14, 16, 1)</f>
        <v>0</v>
      </c>
      <c r="E482">
        <v>482</v>
      </c>
      <c r="G482">
        <f t="shared" si="44"/>
        <v>19.711422845691377</v>
      </c>
      <c r="H482">
        <f>[1]!XLSTAT_PDFNormal(G482,16,1)</f>
        <v>4.0717466877957442E-4</v>
      </c>
      <c r="I482">
        <v>482</v>
      </c>
      <c r="J482">
        <f t="shared" si="45"/>
        <v>-123456789</v>
      </c>
      <c r="K482">
        <f t="shared" si="46"/>
        <v>9.64</v>
      </c>
      <c r="L482">
        <f>[1]!XLSTAT_PDFGeneral(J482,17, 1)</f>
        <v>0</v>
      </c>
      <c r="M482">
        <v>482</v>
      </c>
      <c r="O482">
        <f t="shared" si="47"/>
        <v>5.7835671342685444</v>
      </c>
      <c r="P482">
        <f>[1]!XLSTAT_PDFPoisson(O482,1)</f>
        <v>3.0656620097620196E-3</v>
      </c>
    </row>
    <row r="483" spans="1:16" x14ac:dyDescent="0.3">
      <c r="A483">
        <v>483</v>
      </c>
      <c r="B483">
        <f t="shared" si="42"/>
        <v>-123456789</v>
      </c>
      <c r="C483">
        <f t="shared" si="43"/>
        <v>15.891999999999999</v>
      </c>
      <c r="D483">
        <f>[1]!XLSTAT_PDFGeneral(B483,14, 16, 1)</f>
        <v>0</v>
      </c>
      <c r="E483">
        <v>483</v>
      </c>
      <c r="G483">
        <f t="shared" si="44"/>
        <v>19.727454909819635</v>
      </c>
      <c r="H483">
        <f>[1]!XLSTAT_PDFNormal(G483,16,1)</f>
        <v>3.8360446105651741E-4</v>
      </c>
      <c r="I483">
        <v>483</v>
      </c>
      <c r="J483">
        <f t="shared" si="45"/>
        <v>-123456789</v>
      </c>
      <c r="K483">
        <f t="shared" si="46"/>
        <v>9.6259999999999994</v>
      </c>
      <c r="L483">
        <f>[1]!XLSTAT_PDFGeneral(J483,17, 1)</f>
        <v>0</v>
      </c>
      <c r="M483">
        <v>483</v>
      </c>
      <c r="O483">
        <f t="shared" si="47"/>
        <v>5.7955911823647366</v>
      </c>
      <c r="P483">
        <f>[1]!XLSTAT_PDFPoisson(O483,1)</f>
        <v>3.0656620097620196E-3</v>
      </c>
    </row>
    <row r="484" spans="1:16" x14ac:dyDescent="0.3">
      <c r="A484">
        <v>484</v>
      </c>
      <c r="B484">
        <f t="shared" si="42"/>
        <v>15.891999999999999</v>
      </c>
      <c r="C484">
        <f t="shared" si="43"/>
        <v>15.891999999999999</v>
      </c>
      <c r="D484">
        <f>[1]!XLSTAT_PDFGeneral(B484,14, 16, 1)</f>
        <v>0.3966224203094561</v>
      </c>
      <c r="E484">
        <v>484</v>
      </c>
      <c r="G484">
        <f t="shared" si="44"/>
        <v>19.743486973947888</v>
      </c>
      <c r="H484">
        <f>[1]!XLSTAT_PDFNormal(G484,16,1)</f>
        <v>3.6130578971530918E-4</v>
      </c>
      <c r="I484">
        <v>484</v>
      </c>
      <c r="J484">
        <f t="shared" si="45"/>
        <v>9.6259999999999994</v>
      </c>
      <c r="K484">
        <f t="shared" si="46"/>
        <v>9.6259999999999994</v>
      </c>
      <c r="L484">
        <f>[1]!XLSTAT_PDFGeneral(J484,17, 1)</f>
        <v>1.0137771196302976E-6</v>
      </c>
      <c r="M484">
        <v>484</v>
      </c>
      <c r="O484">
        <f t="shared" si="47"/>
        <v>5.8076152304609296</v>
      </c>
      <c r="P484">
        <f>[1]!XLSTAT_PDFPoisson(O484,1)</f>
        <v>3.0656620097620196E-3</v>
      </c>
    </row>
    <row r="485" spans="1:16" x14ac:dyDescent="0.3">
      <c r="A485">
        <v>485</v>
      </c>
      <c r="B485">
        <f t="shared" si="42"/>
        <v>15.904</v>
      </c>
      <c r="C485">
        <f t="shared" si="43"/>
        <v>15.904</v>
      </c>
      <c r="D485">
        <f>[1]!XLSTAT_PDFGeneral(B485,14, 16, 1)</f>
        <v>0.39710818337826648</v>
      </c>
      <c r="E485">
        <v>485</v>
      </c>
      <c r="G485">
        <f t="shared" si="44"/>
        <v>19.759519038076146</v>
      </c>
      <c r="H485">
        <f>[1]!XLSTAT_PDFNormal(G485,16,1)</f>
        <v>3.402158693288886E-4</v>
      </c>
      <c r="I485">
        <v>485</v>
      </c>
      <c r="J485">
        <f t="shared" si="45"/>
        <v>9.6120000000000001</v>
      </c>
      <c r="K485">
        <f t="shared" si="46"/>
        <v>9.6120000000000001</v>
      </c>
      <c r="L485">
        <f>[1]!XLSTAT_PDFGeneral(J485,17, 1)</f>
        <v>1.0137771196302976E-6</v>
      </c>
      <c r="M485">
        <v>485</v>
      </c>
      <c r="O485">
        <f t="shared" si="47"/>
        <v>5.8196392785571218</v>
      </c>
      <c r="P485">
        <f>[1]!XLSTAT_PDFPoisson(O485,1)</f>
        <v>3.0656620097620196E-3</v>
      </c>
    </row>
    <row r="486" spans="1:16" x14ac:dyDescent="0.3">
      <c r="A486">
        <v>486</v>
      </c>
      <c r="B486">
        <f t="shared" si="42"/>
        <v>-123456789</v>
      </c>
      <c r="C486">
        <f t="shared" si="43"/>
        <v>15.904</v>
      </c>
      <c r="D486">
        <f>[1]!XLSTAT_PDFGeneral(B486,14, 16, 1)</f>
        <v>0</v>
      </c>
      <c r="E486">
        <v>486</v>
      </c>
      <c r="G486">
        <f t="shared" si="44"/>
        <v>19.775551102204403</v>
      </c>
      <c r="H486">
        <f>[1]!XLSTAT_PDFNormal(G486,16,1)</f>
        <v>3.2027466702263792E-4</v>
      </c>
      <c r="I486">
        <v>486</v>
      </c>
      <c r="J486">
        <f t="shared" si="45"/>
        <v>-123456789</v>
      </c>
      <c r="K486">
        <f t="shared" si="46"/>
        <v>9.6120000000000001</v>
      </c>
      <c r="L486">
        <f>[1]!XLSTAT_PDFGeneral(J486,17, 1)</f>
        <v>0</v>
      </c>
      <c r="M486">
        <v>486</v>
      </c>
      <c r="O486">
        <f t="shared" si="47"/>
        <v>5.831663326653314</v>
      </c>
      <c r="P486">
        <f>[1]!XLSTAT_PDFPoisson(O486,1)</f>
        <v>3.0656620097620196E-3</v>
      </c>
    </row>
    <row r="487" spans="1:16" x14ac:dyDescent="0.3">
      <c r="A487">
        <v>487</v>
      </c>
      <c r="B487">
        <f t="shared" si="42"/>
        <v>-123456789</v>
      </c>
      <c r="C487">
        <f t="shared" si="43"/>
        <v>15.916</v>
      </c>
      <c r="D487">
        <f>[1]!XLSTAT_PDFGeneral(B487,14, 16, 1)</f>
        <v>0</v>
      </c>
      <c r="E487">
        <v>487</v>
      </c>
      <c r="G487">
        <f t="shared" si="44"/>
        <v>19.791583166332661</v>
      </c>
      <c r="H487">
        <f>[1]!XLSTAT_PDFNormal(G487,16,1)</f>
        <v>3.014248017069131E-4</v>
      </c>
      <c r="I487">
        <v>487</v>
      </c>
      <c r="J487">
        <f t="shared" si="45"/>
        <v>-123456789</v>
      </c>
      <c r="K487">
        <f t="shared" si="46"/>
        <v>9.597999999999999</v>
      </c>
      <c r="L487">
        <f>[1]!XLSTAT_PDFGeneral(J487,17, 1)</f>
        <v>0</v>
      </c>
      <c r="M487">
        <v>487</v>
      </c>
      <c r="O487">
        <f t="shared" si="47"/>
        <v>5.8436873747495062</v>
      </c>
      <c r="P487">
        <f>[1]!XLSTAT_PDFPoisson(O487,1)</f>
        <v>3.0656620097620196E-3</v>
      </c>
    </row>
    <row r="488" spans="1:16" x14ac:dyDescent="0.3">
      <c r="A488">
        <v>488</v>
      </c>
      <c r="B488">
        <f t="shared" si="42"/>
        <v>15.916</v>
      </c>
      <c r="C488">
        <f t="shared" si="43"/>
        <v>15.916</v>
      </c>
      <c r="D488">
        <f>[1]!XLSTAT_PDFGeneral(B488,14, 16, 1)</f>
        <v>0.39753729189320375</v>
      </c>
      <c r="E488">
        <v>488</v>
      </c>
      <c r="G488">
        <f t="shared" si="44"/>
        <v>19.807615230460918</v>
      </c>
      <c r="H488">
        <f>[1]!XLSTAT_PDFNormal(G488,16,1)</f>
        <v>2.8361144589664851E-4</v>
      </c>
      <c r="I488">
        <v>488</v>
      </c>
      <c r="J488">
        <f t="shared" si="45"/>
        <v>9.597999999999999</v>
      </c>
      <c r="K488">
        <f t="shared" si="46"/>
        <v>9.597999999999999</v>
      </c>
      <c r="L488">
        <f>[1]!XLSTAT_PDFGeneral(J488,17, 1)</f>
        <v>1.0137771196302976E-6</v>
      </c>
      <c r="M488">
        <v>488</v>
      </c>
      <c r="O488">
        <f t="shared" si="47"/>
        <v>5.8557114228456992</v>
      </c>
      <c r="P488">
        <f>[1]!XLSTAT_PDFPoisson(O488,1)</f>
        <v>3.0656620097620196E-3</v>
      </c>
    </row>
    <row r="489" spans="1:16" x14ac:dyDescent="0.3">
      <c r="A489">
        <v>489</v>
      </c>
      <c r="B489">
        <f t="shared" si="42"/>
        <v>15.928000000000001</v>
      </c>
      <c r="C489">
        <f t="shared" si="43"/>
        <v>15.928000000000001</v>
      </c>
      <c r="D489">
        <f>[1]!XLSTAT_PDFGeneral(B489,14, 16, 1)</f>
        <v>0.39790956099317593</v>
      </c>
      <c r="E489">
        <v>489</v>
      </c>
      <c r="G489">
        <f t="shared" si="44"/>
        <v>19.823647294589172</v>
      </c>
      <c r="H489">
        <f>[1]!XLSTAT_PDFNormal(G489,16,1)</f>
        <v>2.6678223011328777E-4</v>
      </c>
      <c r="I489">
        <v>489</v>
      </c>
      <c r="J489">
        <f t="shared" si="45"/>
        <v>9.5839999999999996</v>
      </c>
      <c r="K489">
        <f t="shared" si="46"/>
        <v>9.5839999999999996</v>
      </c>
      <c r="L489">
        <f>[1]!XLSTAT_PDFGeneral(J489,17, 1)</f>
        <v>1.0137771196302976E-6</v>
      </c>
      <c r="M489">
        <v>489</v>
      </c>
      <c r="O489">
        <f t="shared" si="47"/>
        <v>5.8677354709418914</v>
      </c>
      <c r="P489">
        <f>[1]!XLSTAT_PDFPoisson(O489,1)</f>
        <v>3.0656620097620196E-3</v>
      </c>
    </row>
    <row r="490" spans="1:16" x14ac:dyDescent="0.3">
      <c r="A490">
        <v>490</v>
      </c>
      <c r="B490">
        <f t="shared" si="42"/>
        <v>-123456789</v>
      </c>
      <c r="C490">
        <f t="shared" si="43"/>
        <v>15.928000000000001</v>
      </c>
      <c r="D490">
        <f>[1]!XLSTAT_PDFGeneral(B490,14, 16, 1)</f>
        <v>0</v>
      </c>
      <c r="E490">
        <v>490</v>
      </c>
      <c r="G490">
        <f t="shared" si="44"/>
        <v>19.839679358717429</v>
      </c>
      <c r="H490">
        <f>[1]!XLSTAT_PDFNormal(G490,16,1)</f>
        <v>2.5088714986005496E-4</v>
      </c>
      <c r="I490">
        <v>490</v>
      </c>
      <c r="J490">
        <f t="shared" si="45"/>
        <v>-123456789</v>
      </c>
      <c r="K490">
        <f t="shared" si="46"/>
        <v>9.5839999999999996</v>
      </c>
      <c r="L490">
        <f>[1]!XLSTAT_PDFGeneral(J490,17, 1)</f>
        <v>0</v>
      </c>
      <c r="M490">
        <v>490</v>
      </c>
      <c r="O490">
        <f t="shared" si="47"/>
        <v>5.8797595190380836</v>
      </c>
      <c r="P490">
        <f>[1]!XLSTAT_PDFPoisson(O490,1)</f>
        <v>3.0656620097620196E-3</v>
      </c>
    </row>
    <row r="491" spans="1:16" x14ac:dyDescent="0.3">
      <c r="A491">
        <v>491</v>
      </c>
      <c r="B491">
        <f t="shared" si="42"/>
        <v>-123456789</v>
      </c>
      <c r="C491">
        <f t="shared" si="43"/>
        <v>15.94</v>
      </c>
      <c r="D491">
        <f>[1]!XLSTAT_PDFGeneral(B491,14, 16, 1)</f>
        <v>0</v>
      </c>
      <c r="E491">
        <v>491</v>
      </c>
      <c r="G491">
        <f t="shared" si="44"/>
        <v>19.855711422845687</v>
      </c>
      <c r="H491">
        <f>[1]!XLSTAT_PDFNormal(G491,16,1)</f>
        <v>2.3587847515771167E-4</v>
      </c>
      <c r="I491">
        <v>491</v>
      </c>
      <c r="J491">
        <f t="shared" si="45"/>
        <v>-123456789</v>
      </c>
      <c r="K491">
        <f t="shared" si="46"/>
        <v>9.57</v>
      </c>
      <c r="L491">
        <f>[1]!XLSTAT_PDFGeneral(J491,17, 1)</f>
        <v>0</v>
      </c>
      <c r="M491">
        <v>491</v>
      </c>
      <c r="O491">
        <f t="shared" si="47"/>
        <v>5.8917835671342758</v>
      </c>
      <c r="P491">
        <f>[1]!XLSTAT_PDFPoisson(O491,1)</f>
        <v>3.0656620097620196E-3</v>
      </c>
    </row>
    <row r="492" spans="1:16" x14ac:dyDescent="0.3">
      <c r="A492">
        <v>492</v>
      </c>
      <c r="B492">
        <f t="shared" si="42"/>
        <v>15.94</v>
      </c>
      <c r="C492">
        <f t="shared" si="43"/>
        <v>15.94</v>
      </c>
      <c r="D492">
        <f>[1]!XLSTAT_PDFGeneral(B492,14, 16, 1)</f>
        <v>0.39822483019560689</v>
      </c>
      <c r="E492">
        <v>492</v>
      </c>
      <c r="G492">
        <f t="shared" si="44"/>
        <v>19.871743486973941</v>
      </c>
      <c r="H492">
        <f>[1]!XLSTAT_PDFNormal(G492,16,1)</f>
        <v>2.2171066262409713E-4</v>
      </c>
      <c r="I492">
        <v>492</v>
      </c>
      <c r="J492">
        <f t="shared" si="45"/>
        <v>9.57</v>
      </c>
      <c r="K492">
        <f t="shared" si="46"/>
        <v>9.57</v>
      </c>
      <c r="L492">
        <f>[1]!XLSTAT_PDFGeneral(J492,17, 1)</f>
        <v>1.0137771196302976E-6</v>
      </c>
      <c r="M492">
        <v>492</v>
      </c>
      <c r="O492">
        <f t="shared" si="47"/>
        <v>5.9038076152304688</v>
      </c>
      <c r="P492">
        <f>[1]!XLSTAT_PDFPoisson(O492,1)</f>
        <v>3.0656620097620196E-3</v>
      </c>
    </row>
    <row r="493" spans="1:16" x14ac:dyDescent="0.3">
      <c r="A493">
        <v>493</v>
      </c>
      <c r="B493">
        <f t="shared" si="42"/>
        <v>15.952</v>
      </c>
      <c r="C493">
        <f t="shared" si="43"/>
        <v>15.952</v>
      </c>
      <c r="D493">
        <f>[1]!XLSTAT_PDFGeneral(B493,14, 16, 1)</f>
        <v>0.39848296351173551</v>
      </c>
      <c r="E493">
        <v>493</v>
      </c>
      <c r="G493">
        <f t="shared" si="44"/>
        <v>19.887775551102198</v>
      </c>
      <c r="H493">
        <f>[1]!XLSTAT_PDFNormal(G493,16,1)</f>
        <v>2.083402700774212E-4</v>
      </c>
      <c r="I493">
        <v>493</v>
      </c>
      <c r="J493">
        <f t="shared" si="45"/>
        <v>9.5560000000000009</v>
      </c>
      <c r="K493">
        <f t="shared" si="46"/>
        <v>9.5560000000000009</v>
      </c>
      <c r="L493">
        <f>[1]!XLSTAT_PDFGeneral(J493,17, 1)</f>
        <v>1.0137771196302976E-6</v>
      </c>
      <c r="M493">
        <v>493</v>
      </c>
      <c r="O493">
        <f t="shared" si="47"/>
        <v>5.915831663326661</v>
      </c>
      <c r="P493">
        <f>[1]!XLSTAT_PDFPoisson(O493,1)</f>
        <v>3.0656620097620196E-3</v>
      </c>
    </row>
    <row r="494" spans="1:16" x14ac:dyDescent="0.3">
      <c r="A494">
        <v>494</v>
      </c>
      <c r="B494">
        <f t="shared" si="42"/>
        <v>-123456789</v>
      </c>
      <c r="C494">
        <f t="shared" si="43"/>
        <v>15.952</v>
      </c>
      <c r="D494">
        <f>[1]!XLSTAT_PDFGeneral(B494,14, 16, 1)</f>
        <v>0</v>
      </c>
      <c r="E494">
        <v>494</v>
      </c>
      <c r="G494">
        <f t="shared" si="44"/>
        <v>19.903807615230455</v>
      </c>
      <c r="H494">
        <f>[1]!XLSTAT_PDFNormal(G494,16,1)</f>
        <v>1.9572587364005505E-4</v>
      </c>
      <c r="I494">
        <v>494</v>
      </c>
      <c r="J494">
        <f t="shared" si="45"/>
        <v>-123456789</v>
      </c>
      <c r="K494">
        <f t="shared" si="46"/>
        <v>9.5560000000000009</v>
      </c>
      <c r="L494">
        <f>[1]!XLSTAT_PDFGeneral(J494,17, 1)</f>
        <v>0</v>
      </c>
      <c r="M494">
        <v>494</v>
      </c>
      <c r="O494">
        <f t="shared" si="47"/>
        <v>5.9278557114228532</v>
      </c>
      <c r="P494">
        <f>[1]!XLSTAT_PDFPoisson(O494,1)</f>
        <v>3.0656620097620196E-3</v>
      </c>
    </row>
    <row r="495" spans="1:16" x14ac:dyDescent="0.3">
      <c r="A495">
        <v>495</v>
      </c>
      <c r="B495">
        <f t="shared" si="42"/>
        <v>-123456789</v>
      </c>
      <c r="C495">
        <f t="shared" si="43"/>
        <v>15.964</v>
      </c>
      <c r="D495">
        <f>[1]!XLSTAT_PDFGeneral(B495,14, 16, 1)</f>
        <v>0</v>
      </c>
      <c r="E495">
        <v>495</v>
      </c>
      <c r="G495">
        <f t="shared" si="44"/>
        <v>19.919839679358713</v>
      </c>
      <c r="H495">
        <f>[1]!XLSTAT_PDFNormal(G495,16,1)</f>
        <v>1.8382798731651797E-4</v>
      </c>
      <c r="I495">
        <v>495</v>
      </c>
      <c r="J495">
        <f t="shared" si="45"/>
        <v>-123456789</v>
      </c>
      <c r="K495">
        <f t="shared" si="46"/>
        <v>9.5419999999999998</v>
      </c>
      <c r="L495">
        <f>[1]!XLSTAT_PDFGeneral(J495,17, 1)</f>
        <v>0</v>
      </c>
      <c r="M495">
        <v>495</v>
      </c>
      <c r="O495">
        <f t="shared" si="47"/>
        <v>5.9398797595190453</v>
      </c>
      <c r="P495">
        <f>[1]!XLSTAT_PDFPoisson(O495,1)</f>
        <v>3.0656620097620196E-3</v>
      </c>
    </row>
    <row r="496" spans="1:16" x14ac:dyDescent="0.3">
      <c r="A496">
        <v>496</v>
      </c>
      <c r="B496">
        <f t="shared" si="42"/>
        <v>15.964</v>
      </c>
      <c r="C496">
        <f t="shared" si="43"/>
        <v>15.964</v>
      </c>
      <c r="D496">
        <f>[1]!XLSTAT_PDFGeneral(B496,14, 16, 1)</f>
        <v>0.3986838495443733</v>
      </c>
      <c r="E496">
        <v>496</v>
      </c>
      <c r="G496">
        <f t="shared" si="44"/>
        <v>19.93587174348697</v>
      </c>
      <c r="H496">
        <f>[1]!XLSTAT_PDFNormal(G496,16,1)</f>
        <v>1.7260898501672927E-4</v>
      </c>
      <c r="I496">
        <v>496</v>
      </c>
      <c r="J496">
        <f t="shared" si="45"/>
        <v>9.5419999999999998</v>
      </c>
      <c r="K496">
        <f t="shared" si="46"/>
        <v>9.5419999999999998</v>
      </c>
      <c r="L496">
        <f>[1]!XLSTAT_PDFGeneral(J496,17, 1)</f>
        <v>1.0137771196302976E-6</v>
      </c>
      <c r="M496">
        <v>496</v>
      </c>
      <c r="O496">
        <f t="shared" si="47"/>
        <v>5.9519038076152384</v>
      </c>
      <c r="P496">
        <f>[1]!XLSTAT_PDFPoisson(O496,1)</f>
        <v>3.0656620097620196E-3</v>
      </c>
    </row>
    <row r="497" spans="1:16" x14ac:dyDescent="0.3">
      <c r="A497">
        <v>497</v>
      </c>
      <c r="B497">
        <f t="shared" si="42"/>
        <v>15.975999999999999</v>
      </c>
      <c r="C497">
        <f t="shared" si="43"/>
        <v>15.975999999999999</v>
      </c>
      <c r="D497">
        <f>[1]!XLSTAT_PDFGeneral(B497,14, 16, 1)</f>
        <v>0.39882740156802315</v>
      </c>
      <c r="E497">
        <v>497</v>
      </c>
      <c r="G497">
        <f t="shared" si="44"/>
        <v>19.951903807615224</v>
      </c>
      <c r="H497">
        <f>[1]!XLSTAT_PDFNormal(G497,16,1)</f>
        <v>1.6203302499301578E-4</v>
      </c>
      <c r="I497">
        <v>497</v>
      </c>
      <c r="J497">
        <f t="shared" si="45"/>
        <v>9.5280000000000005</v>
      </c>
      <c r="K497">
        <f t="shared" si="46"/>
        <v>9.5280000000000005</v>
      </c>
      <c r="L497">
        <f>[1]!XLSTAT_PDFGeneral(J497,17, 1)</f>
        <v>1.0137771196302976E-6</v>
      </c>
      <c r="M497">
        <v>497</v>
      </c>
      <c r="O497">
        <f t="shared" si="47"/>
        <v>5.9639278557114306</v>
      </c>
      <c r="P497">
        <f>[1]!XLSTAT_PDFPoisson(O497,1)</f>
        <v>3.0656620097620196E-3</v>
      </c>
    </row>
    <row r="498" spans="1:16" x14ac:dyDescent="0.3">
      <c r="A498">
        <v>498</v>
      </c>
      <c r="B498">
        <f t="shared" si="42"/>
        <v>-123456789</v>
      </c>
      <c r="C498">
        <f t="shared" si="43"/>
        <v>15.975999999999999</v>
      </c>
      <c r="D498">
        <f>[1]!XLSTAT_PDFGeneral(B498,14, 16, 1)</f>
        <v>0</v>
      </c>
      <c r="E498">
        <v>498</v>
      </c>
      <c r="G498">
        <f t="shared" si="44"/>
        <v>19.967935871743482</v>
      </c>
      <c r="H498">
        <f>[1]!XLSTAT_PDFNormal(G498,16,1)</f>
        <v>1.5206597665707526E-4</v>
      </c>
      <c r="I498">
        <v>498</v>
      </c>
      <c r="J498">
        <f t="shared" si="45"/>
        <v>-123456789</v>
      </c>
      <c r="K498">
        <f t="shared" si="46"/>
        <v>9.5280000000000005</v>
      </c>
      <c r="L498">
        <f>[1]!XLSTAT_PDFGeneral(J498,17, 1)</f>
        <v>0</v>
      </c>
      <c r="M498">
        <v>498</v>
      </c>
      <c r="O498">
        <f t="shared" si="47"/>
        <v>5.9759519038076228</v>
      </c>
      <c r="P498">
        <f>[1]!XLSTAT_PDFPoisson(O498,1)</f>
        <v>3.0656620097620196E-3</v>
      </c>
    </row>
    <row r="499" spans="1:16" x14ac:dyDescent="0.3">
      <c r="A499">
        <v>499</v>
      </c>
      <c r="B499">
        <f t="shared" si="42"/>
        <v>-123456789</v>
      </c>
      <c r="C499">
        <f t="shared" si="43"/>
        <v>15.988</v>
      </c>
      <c r="D499">
        <f>[1]!XLSTAT_PDFGeneral(B499,14, 16, 1)</f>
        <v>0</v>
      </c>
      <c r="E499">
        <v>499</v>
      </c>
      <c r="G499">
        <f t="shared" si="44"/>
        <v>19.983967935871739</v>
      </c>
      <c r="H499">
        <f>[1]!XLSTAT_PDFNormal(G499,16,1)</f>
        <v>1.4267534974104966E-4</v>
      </c>
      <c r="I499">
        <v>499</v>
      </c>
      <c r="J499">
        <f t="shared" si="45"/>
        <v>-123456789</v>
      </c>
      <c r="K499">
        <f t="shared" si="46"/>
        <v>9.5139999999999993</v>
      </c>
      <c r="L499">
        <f>[1]!XLSTAT_PDFGeneral(J499,17, 1)</f>
        <v>0</v>
      </c>
      <c r="M499">
        <v>499</v>
      </c>
      <c r="O499">
        <f t="shared" si="47"/>
        <v>5.9879759519038149</v>
      </c>
      <c r="P499">
        <f>[1]!XLSTAT_PDFPoisson(O499,1)</f>
        <v>3.0656620097620196E-3</v>
      </c>
    </row>
    <row r="500" spans="1:16" x14ac:dyDescent="0.3">
      <c r="A500">
        <v>500</v>
      </c>
      <c r="B500">
        <f t="shared" si="42"/>
        <v>15.988</v>
      </c>
      <c r="C500">
        <f t="shared" si="43"/>
        <v>15.988</v>
      </c>
      <c r="D500">
        <f>[1]!XLSTAT_PDFGeneral(B500,14, 16, 1)</f>
        <v>0.39891355759127739</v>
      </c>
      <c r="E500">
        <v>500</v>
      </c>
      <c r="G500">
        <f t="shared" si="44"/>
        <v>19.999999999999993</v>
      </c>
      <c r="H500">
        <f>[1]!XLSTAT_PDFNormal(G500,16,1)</f>
        <v>1.3383022576488919E-4</v>
      </c>
      <c r="I500">
        <v>500</v>
      </c>
      <c r="J500">
        <f t="shared" si="45"/>
        <v>9.5139999999999993</v>
      </c>
      <c r="K500">
        <f t="shared" si="46"/>
        <v>9.5139999999999993</v>
      </c>
      <c r="L500">
        <f>[1]!XLSTAT_PDFGeneral(J500,17, 1)</f>
        <v>1.0137771196302976E-6</v>
      </c>
      <c r="M500">
        <v>500</v>
      </c>
      <c r="O500">
        <f t="shared" si="47"/>
        <v>6.000000000000008</v>
      </c>
      <c r="P500">
        <f>[1]!XLSTAT_PDFPoisson(O500,1)</f>
        <v>5.1094366829366989E-4</v>
      </c>
    </row>
    <row r="501" spans="1:16" x14ac:dyDescent="0.3">
      <c r="A501">
        <v>501</v>
      </c>
      <c r="B501">
        <f t="shared" si="42"/>
        <v>16</v>
      </c>
      <c r="C501">
        <f t="shared" si="43"/>
        <v>16</v>
      </c>
      <c r="D501">
        <f>[1]!XLSTAT_PDFGeneral(B501,14, 16, 1)</f>
        <v>0.3989422804014327</v>
      </c>
      <c r="I501">
        <v>501</v>
      </c>
      <c r="J501">
        <f t="shared" si="45"/>
        <v>9.5</v>
      </c>
      <c r="K501">
        <f t="shared" si="46"/>
        <v>9.5</v>
      </c>
      <c r="L501">
        <f>[1]!XLSTAT_PDFGeneral(J501,17, 1)</f>
        <v>1.0137771196302976E-6</v>
      </c>
    </row>
    <row r="502" spans="1:16" x14ac:dyDescent="0.3">
      <c r="A502">
        <v>502</v>
      </c>
      <c r="B502">
        <f t="shared" si="42"/>
        <v>-123456789</v>
      </c>
      <c r="C502">
        <f t="shared" si="43"/>
        <v>16</v>
      </c>
      <c r="D502">
        <f>[1]!XLSTAT_PDFGeneral(B502,14, 16, 1)</f>
        <v>0</v>
      </c>
      <c r="I502">
        <v>502</v>
      </c>
      <c r="J502">
        <f t="shared" si="45"/>
        <v>-123456789</v>
      </c>
      <c r="K502">
        <f t="shared" si="46"/>
        <v>9.5</v>
      </c>
      <c r="L502">
        <f>[1]!XLSTAT_PDFGeneral(J502,17, 1)</f>
        <v>0</v>
      </c>
    </row>
    <row r="503" spans="1:16" x14ac:dyDescent="0.3">
      <c r="A503">
        <v>503</v>
      </c>
      <c r="B503">
        <f t="shared" si="42"/>
        <v>-123456789</v>
      </c>
      <c r="C503">
        <f t="shared" si="43"/>
        <v>16.012</v>
      </c>
      <c r="D503">
        <f>[1]!XLSTAT_PDFGeneral(B503,14, 16, 1)</f>
        <v>0</v>
      </c>
      <c r="I503">
        <v>503</v>
      </c>
      <c r="J503">
        <f t="shared" si="45"/>
        <v>-123456789</v>
      </c>
      <c r="K503">
        <f t="shared" si="46"/>
        <v>9.4860000000000007</v>
      </c>
      <c r="L503">
        <f>[1]!XLSTAT_PDFGeneral(J503,17, 1)</f>
        <v>0</v>
      </c>
    </row>
    <row r="504" spans="1:16" x14ac:dyDescent="0.3">
      <c r="A504">
        <v>504</v>
      </c>
      <c r="B504">
        <f t="shared" si="42"/>
        <v>16.012</v>
      </c>
      <c r="C504">
        <f t="shared" si="43"/>
        <v>16.012</v>
      </c>
      <c r="D504">
        <f>[1]!XLSTAT_PDFGeneral(B504,14, 16, 1)</f>
        <v>0.39891355759127739</v>
      </c>
      <c r="I504">
        <v>504</v>
      </c>
      <c r="J504">
        <f t="shared" si="45"/>
        <v>9.4860000000000007</v>
      </c>
      <c r="K504">
        <f t="shared" si="46"/>
        <v>9.4860000000000007</v>
      </c>
      <c r="L504">
        <f>[1]!XLSTAT_PDFGeneral(J504,17, 1)</f>
        <v>1.0137771196302976E-6</v>
      </c>
    </row>
    <row r="505" spans="1:16" x14ac:dyDescent="0.3">
      <c r="A505">
        <v>505</v>
      </c>
      <c r="B505">
        <f t="shared" si="42"/>
        <v>16.024000000000001</v>
      </c>
      <c r="C505">
        <f t="shared" si="43"/>
        <v>16.024000000000001</v>
      </c>
      <c r="D505">
        <f>[1]!XLSTAT_PDFGeneral(B505,14, 16, 1)</f>
        <v>0.39882740156802315</v>
      </c>
      <c r="I505">
        <v>505</v>
      </c>
      <c r="J505">
        <f t="shared" si="45"/>
        <v>9.4719999999999995</v>
      </c>
      <c r="K505">
        <f t="shared" si="46"/>
        <v>9.4719999999999995</v>
      </c>
      <c r="L505">
        <f>[1]!XLSTAT_PDFGeneral(J505,17, 1)</f>
        <v>1.0137771196302976E-6</v>
      </c>
    </row>
    <row r="506" spans="1:16" x14ac:dyDescent="0.3">
      <c r="A506">
        <v>506</v>
      </c>
      <c r="B506">
        <f t="shared" si="42"/>
        <v>-123456789</v>
      </c>
      <c r="C506">
        <f t="shared" si="43"/>
        <v>16.024000000000001</v>
      </c>
      <c r="D506">
        <f>[1]!XLSTAT_PDFGeneral(B506,14, 16, 1)</f>
        <v>0</v>
      </c>
      <c r="I506">
        <v>506</v>
      </c>
      <c r="J506">
        <f t="shared" si="45"/>
        <v>-123456789</v>
      </c>
      <c r="K506">
        <f t="shared" si="46"/>
        <v>9.4719999999999995</v>
      </c>
      <c r="L506">
        <f>[1]!XLSTAT_PDFGeneral(J506,17, 1)</f>
        <v>0</v>
      </c>
    </row>
    <row r="507" spans="1:16" x14ac:dyDescent="0.3">
      <c r="A507">
        <v>507</v>
      </c>
      <c r="B507">
        <f t="shared" si="42"/>
        <v>-123456789</v>
      </c>
      <c r="C507">
        <f t="shared" si="43"/>
        <v>16.036000000000001</v>
      </c>
      <c r="D507">
        <f>[1]!XLSTAT_PDFGeneral(B507,14, 16, 1)</f>
        <v>0</v>
      </c>
      <c r="I507">
        <v>507</v>
      </c>
      <c r="J507">
        <f t="shared" si="45"/>
        <v>-123456789</v>
      </c>
      <c r="K507">
        <f t="shared" si="46"/>
        <v>9.4580000000000002</v>
      </c>
      <c r="L507">
        <f>[1]!XLSTAT_PDFGeneral(J507,17, 1)</f>
        <v>0</v>
      </c>
    </row>
    <row r="508" spans="1:16" x14ac:dyDescent="0.3">
      <c r="A508">
        <v>508</v>
      </c>
      <c r="B508">
        <f t="shared" si="42"/>
        <v>16.036000000000001</v>
      </c>
      <c r="C508">
        <f t="shared" si="43"/>
        <v>16.036000000000001</v>
      </c>
      <c r="D508">
        <f>[1]!XLSTAT_PDFGeneral(B508,14, 16, 1)</f>
        <v>0.39868384954437325</v>
      </c>
      <c r="I508">
        <v>508</v>
      </c>
      <c r="J508">
        <f t="shared" si="45"/>
        <v>9.4580000000000002</v>
      </c>
      <c r="K508">
        <f t="shared" si="46"/>
        <v>9.4580000000000002</v>
      </c>
      <c r="L508">
        <f>[1]!XLSTAT_PDFGeneral(J508,17, 1)</f>
        <v>1.0137771196302976E-6</v>
      </c>
    </row>
    <row r="509" spans="1:16" x14ac:dyDescent="0.3">
      <c r="A509">
        <v>509</v>
      </c>
      <c r="B509">
        <f t="shared" si="42"/>
        <v>16.048000000000002</v>
      </c>
      <c r="C509">
        <f t="shared" si="43"/>
        <v>16.048000000000002</v>
      </c>
      <c r="D509">
        <f>[1]!XLSTAT_PDFGeneral(B509,14, 16, 1)</f>
        <v>0.39848296351173546</v>
      </c>
      <c r="I509">
        <v>509</v>
      </c>
      <c r="J509">
        <f t="shared" si="45"/>
        <v>9.4439999999999991</v>
      </c>
      <c r="K509">
        <f t="shared" si="46"/>
        <v>9.4439999999999991</v>
      </c>
      <c r="L509">
        <f>[1]!XLSTAT_PDFGeneral(J509,17, 1)</f>
        <v>1.0137771196302976E-6</v>
      </c>
    </row>
    <row r="510" spans="1:16" x14ac:dyDescent="0.3">
      <c r="A510">
        <v>510</v>
      </c>
      <c r="B510">
        <f t="shared" si="42"/>
        <v>-123456789</v>
      </c>
      <c r="C510">
        <f t="shared" si="43"/>
        <v>16.048000000000002</v>
      </c>
      <c r="D510">
        <f>[1]!XLSTAT_PDFGeneral(B510,14, 16, 1)</f>
        <v>0</v>
      </c>
      <c r="I510">
        <v>510</v>
      </c>
      <c r="J510">
        <f t="shared" si="45"/>
        <v>-123456789</v>
      </c>
      <c r="K510">
        <f t="shared" si="46"/>
        <v>9.4439999999999991</v>
      </c>
      <c r="L510">
        <f>[1]!XLSTAT_PDFGeneral(J510,17, 1)</f>
        <v>0</v>
      </c>
    </row>
    <row r="511" spans="1:16" x14ac:dyDescent="0.3">
      <c r="A511">
        <v>511</v>
      </c>
      <c r="B511">
        <f t="shared" si="42"/>
        <v>-123456789</v>
      </c>
      <c r="C511">
        <f t="shared" si="43"/>
        <v>16.059999999999999</v>
      </c>
      <c r="D511">
        <f>[1]!XLSTAT_PDFGeneral(B511,14, 16, 1)</f>
        <v>0</v>
      </c>
      <c r="I511">
        <v>511</v>
      </c>
      <c r="J511">
        <f t="shared" si="45"/>
        <v>-123456789</v>
      </c>
      <c r="K511">
        <f t="shared" si="46"/>
        <v>9.43</v>
      </c>
      <c r="L511">
        <f>[1]!XLSTAT_PDFGeneral(J511,17, 1)</f>
        <v>0</v>
      </c>
    </row>
    <row r="512" spans="1:16" x14ac:dyDescent="0.3">
      <c r="A512">
        <v>512</v>
      </c>
      <c r="B512">
        <f t="shared" si="42"/>
        <v>16.059999999999999</v>
      </c>
      <c r="C512">
        <f t="shared" si="43"/>
        <v>16.059999999999999</v>
      </c>
      <c r="D512">
        <f>[1]!XLSTAT_PDFGeneral(B512,14, 16, 1)</f>
        <v>0.39822483019560695</v>
      </c>
      <c r="I512">
        <v>512</v>
      </c>
      <c r="J512">
        <f t="shared" si="45"/>
        <v>9.43</v>
      </c>
      <c r="K512">
        <f t="shared" si="46"/>
        <v>9.43</v>
      </c>
      <c r="L512">
        <f>[1]!XLSTAT_PDFGeneral(J512,17, 1)</f>
        <v>1.0137771196302976E-6</v>
      </c>
    </row>
    <row r="513" spans="1:12" x14ac:dyDescent="0.3">
      <c r="A513">
        <v>513</v>
      </c>
      <c r="B513">
        <f t="shared" ref="B513:B576" si="48">IF(-1^(INT(A513/2)+2)&gt;0,13+2*INT(A513/2-1/2)*0.006,-123456789)</f>
        <v>16.071999999999999</v>
      </c>
      <c r="C513">
        <f t="shared" ref="C513:C576" si="49">13+2*INT(A513/2-1/2)*0.006</f>
        <v>16.071999999999999</v>
      </c>
      <c r="D513">
        <f>[1]!XLSTAT_PDFGeneral(B513,14, 16, 1)</f>
        <v>0.39790956099317593</v>
      </c>
      <c r="I513">
        <v>513</v>
      </c>
      <c r="J513">
        <f t="shared" ref="J513:J576" si="50">IF(-1^(INT(I513/2)+2)&gt;0,13+2*INT(I513/2-1/2)*-0.007,-123456789)</f>
        <v>9.4160000000000004</v>
      </c>
      <c r="K513">
        <f t="shared" ref="K513:K576" si="51">13+2*INT(I513/2-1/2)*-0.007</f>
        <v>9.4160000000000004</v>
      </c>
      <c r="L513">
        <f>[1]!XLSTAT_PDFGeneral(J513,17, 1)</f>
        <v>1.0137771196302976E-6</v>
      </c>
    </row>
    <row r="514" spans="1:12" x14ac:dyDescent="0.3">
      <c r="A514">
        <v>514</v>
      </c>
      <c r="B514">
        <f t="shared" si="48"/>
        <v>-123456789</v>
      </c>
      <c r="C514">
        <f t="shared" si="49"/>
        <v>16.071999999999999</v>
      </c>
      <c r="D514">
        <f>[1]!XLSTAT_PDFGeneral(B514,14, 16, 1)</f>
        <v>0</v>
      </c>
      <c r="I514">
        <v>514</v>
      </c>
      <c r="J514">
        <f t="shared" si="50"/>
        <v>-123456789</v>
      </c>
      <c r="K514">
        <f t="shared" si="51"/>
        <v>9.4160000000000004</v>
      </c>
      <c r="L514">
        <f>[1]!XLSTAT_PDFGeneral(J514,17, 1)</f>
        <v>0</v>
      </c>
    </row>
    <row r="515" spans="1:12" x14ac:dyDescent="0.3">
      <c r="A515">
        <v>515</v>
      </c>
      <c r="B515">
        <f t="shared" si="48"/>
        <v>-123456789</v>
      </c>
      <c r="C515">
        <f t="shared" si="49"/>
        <v>16.084</v>
      </c>
      <c r="D515">
        <f>[1]!XLSTAT_PDFGeneral(B515,14, 16, 1)</f>
        <v>0</v>
      </c>
      <c r="I515">
        <v>515</v>
      </c>
      <c r="J515">
        <f t="shared" si="50"/>
        <v>-123456789</v>
      </c>
      <c r="K515">
        <f t="shared" si="51"/>
        <v>9.402000000000001</v>
      </c>
      <c r="L515">
        <f>[1]!XLSTAT_PDFGeneral(J515,17, 1)</f>
        <v>0</v>
      </c>
    </row>
    <row r="516" spans="1:12" x14ac:dyDescent="0.3">
      <c r="A516">
        <v>516</v>
      </c>
      <c r="B516">
        <f t="shared" si="48"/>
        <v>16.084</v>
      </c>
      <c r="C516">
        <f t="shared" si="49"/>
        <v>16.084</v>
      </c>
      <c r="D516">
        <f>[1]!XLSTAT_PDFGeneral(B516,14, 16, 1)</f>
        <v>0.39753729189320375</v>
      </c>
      <c r="I516">
        <v>516</v>
      </c>
      <c r="J516">
        <f t="shared" si="50"/>
        <v>9.402000000000001</v>
      </c>
      <c r="K516">
        <f t="shared" si="51"/>
        <v>9.402000000000001</v>
      </c>
      <c r="L516">
        <f>[1]!XLSTAT_PDFGeneral(J516,17, 1)</f>
        <v>1.0137771196302976E-6</v>
      </c>
    </row>
    <row r="517" spans="1:12" x14ac:dyDescent="0.3">
      <c r="A517">
        <v>517</v>
      </c>
      <c r="B517">
        <f t="shared" si="48"/>
        <v>16.096</v>
      </c>
      <c r="C517">
        <f t="shared" si="49"/>
        <v>16.096</v>
      </c>
      <c r="D517">
        <f>[1]!XLSTAT_PDFGeneral(B517,14, 16, 1)</f>
        <v>0.39710818337826648</v>
      </c>
      <c r="I517">
        <v>517</v>
      </c>
      <c r="J517">
        <f t="shared" si="50"/>
        <v>9.3879999999999999</v>
      </c>
      <c r="K517">
        <f t="shared" si="51"/>
        <v>9.3879999999999999</v>
      </c>
      <c r="L517">
        <f>[1]!XLSTAT_PDFGeneral(J517,17, 1)</f>
        <v>1.0137771196302976E-6</v>
      </c>
    </row>
    <row r="518" spans="1:12" x14ac:dyDescent="0.3">
      <c r="A518">
        <v>518</v>
      </c>
      <c r="B518">
        <f t="shared" si="48"/>
        <v>-123456789</v>
      </c>
      <c r="C518">
        <f t="shared" si="49"/>
        <v>16.096</v>
      </c>
      <c r="D518">
        <f>[1]!XLSTAT_PDFGeneral(B518,14, 16, 1)</f>
        <v>0</v>
      </c>
      <c r="I518">
        <v>518</v>
      </c>
      <c r="J518">
        <f t="shared" si="50"/>
        <v>-123456789</v>
      </c>
      <c r="K518">
        <f t="shared" si="51"/>
        <v>9.3879999999999999</v>
      </c>
      <c r="L518">
        <f>[1]!XLSTAT_PDFGeneral(J518,17, 1)</f>
        <v>0</v>
      </c>
    </row>
    <row r="519" spans="1:12" x14ac:dyDescent="0.3">
      <c r="A519">
        <v>519</v>
      </c>
      <c r="B519">
        <f t="shared" si="48"/>
        <v>-123456789</v>
      </c>
      <c r="C519">
        <f t="shared" si="49"/>
        <v>16.108000000000001</v>
      </c>
      <c r="D519">
        <f>[1]!XLSTAT_PDFGeneral(B519,14, 16, 1)</f>
        <v>0</v>
      </c>
      <c r="I519">
        <v>519</v>
      </c>
      <c r="J519">
        <f t="shared" si="50"/>
        <v>-123456789</v>
      </c>
      <c r="K519">
        <f t="shared" si="51"/>
        <v>9.3740000000000006</v>
      </c>
      <c r="L519">
        <f>[1]!XLSTAT_PDFGeneral(J519,17, 1)</f>
        <v>0</v>
      </c>
    </row>
    <row r="520" spans="1:12" x14ac:dyDescent="0.3">
      <c r="A520">
        <v>520</v>
      </c>
      <c r="B520">
        <f t="shared" si="48"/>
        <v>16.108000000000001</v>
      </c>
      <c r="C520">
        <f t="shared" si="49"/>
        <v>16.108000000000001</v>
      </c>
      <c r="D520">
        <f>[1]!XLSTAT_PDFGeneral(B520,14, 16, 1)</f>
        <v>0.3966224203094561</v>
      </c>
      <c r="I520">
        <v>520</v>
      </c>
      <c r="J520">
        <f t="shared" si="50"/>
        <v>9.3740000000000006</v>
      </c>
      <c r="K520">
        <f t="shared" si="51"/>
        <v>9.3740000000000006</v>
      </c>
      <c r="L520">
        <f>[1]!XLSTAT_PDFGeneral(J520,17, 1)</f>
        <v>1.0137771196302976E-6</v>
      </c>
    </row>
    <row r="521" spans="1:12" x14ac:dyDescent="0.3">
      <c r="A521">
        <v>521</v>
      </c>
      <c r="B521">
        <f t="shared" si="48"/>
        <v>16.12</v>
      </c>
      <c r="C521">
        <f t="shared" si="49"/>
        <v>16.12</v>
      </c>
      <c r="D521">
        <f>[1]!XLSTAT_PDFGeneral(B521,14, 16, 1)</f>
        <v>0.3960802117936561</v>
      </c>
      <c r="I521">
        <v>521</v>
      </c>
      <c r="J521">
        <f t="shared" si="50"/>
        <v>9.36</v>
      </c>
      <c r="K521">
        <f t="shared" si="51"/>
        <v>9.36</v>
      </c>
      <c r="L521">
        <f>[1]!XLSTAT_PDFGeneral(J521,17, 1)</f>
        <v>1.0137771196302976E-6</v>
      </c>
    </row>
    <row r="522" spans="1:12" x14ac:dyDescent="0.3">
      <c r="A522">
        <v>522</v>
      </c>
      <c r="B522">
        <f t="shared" si="48"/>
        <v>-123456789</v>
      </c>
      <c r="C522">
        <f t="shared" si="49"/>
        <v>16.12</v>
      </c>
      <c r="D522">
        <f>[1]!XLSTAT_PDFGeneral(B522,14, 16, 1)</f>
        <v>0</v>
      </c>
      <c r="I522">
        <v>522</v>
      </c>
      <c r="J522">
        <f t="shared" si="50"/>
        <v>-123456789</v>
      </c>
      <c r="K522">
        <f t="shared" si="51"/>
        <v>9.36</v>
      </c>
      <c r="L522">
        <f>[1]!XLSTAT_PDFGeneral(J522,17, 1)</f>
        <v>0</v>
      </c>
    </row>
    <row r="523" spans="1:12" x14ac:dyDescent="0.3">
      <c r="A523">
        <v>523</v>
      </c>
      <c r="B523">
        <f t="shared" si="48"/>
        <v>-123456789</v>
      </c>
      <c r="C523">
        <f t="shared" si="49"/>
        <v>16.132000000000001</v>
      </c>
      <c r="D523">
        <f>[1]!XLSTAT_PDFGeneral(B523,14, 16, 1)</f>
        <v>0</v>
      </c>
      <c r="I523">
        <v>523</v>
      </c>
      <c r="J523">
        <f t="shared" si="50"/>
        <v>-123456789</v>
      </c>
      <c r="K523">
        <f t="shared" si="51"/>
        <v>9.3460000000000001</v>
      </c>
      <c r="L523">
        <f>[1]!XLSTAT_PDFGeneral(J523,17, 1)</f>
        <v>0</v>
      </c>
    </row>
    <row r="524" spans="1:12" x14ac:dyDescent="0.3">
      <c r="A524">
        <v>524</v>
      </c>
      <c r="B524">
        <f t="shared" si="48"/>
        <v>16.132000000000001</v>
      </c>
      <c r="C524">
        <f t="shared" si="49"/>
        <v>16.132000000000001</v>
      </c>
      <c r="D524">
        <f>[1]!XLSTAT_PDFGeneral(B524,14, 16, 1)</f>
        <v>0.39548179103352499</v>
      </c>
      <c r="I524">
        <v>524</v>
      </c>
      <c r="J524">
        <f t="shared" si="50"/>
        <v>9.3460000000000001</v>
      </c>
      <c r="K524">
        <f t="shared" si="51"/>
        <v>9.3460000000000001</v>
      </c>
      <c r="L524">
        <f>[1]!XLSTAT_PDFGeneral(J524,17, 1)</f>
        <v>1.0137771196302976E-6</v>
      </c>
    </row>
    <row r="525" spans="1:12" x14ac:dyDescent="0.3">
      <c r="A525">
        <v>525</v>
      </c>
      <c r="B525">
        <f t="shared" si="48"/>
        <v>16.143999999999998</v>
      </c>
      <c r="C525">
        <f t="shared" si="49"/>
        <v>16.143999999999998</v>
      </c>
      <c r="D525">
        <f>[1]!XLSTAT_PDFGeneral(B525,14, 16, 1)</f>
        <v>0.39482741516033987</v>
      </c>
      <c r="I525">
        <v>525</v>
      </c>
      <c r="J525">
        <f t="shared" si="50"/>
        <v>9.3320000000000007</v>
      </c>
      <c r="K525">
        <f t="shared" si="51"/>
        <v>9.3320000000000007</v>
      </c>
      <c r="L525">
        <f>[1]!XLSTAT_PDFGeneral(J525,17, 1)</f>
        <v>1.0137771196302976E-6</v>
      </c>
    </row>
    <row r="526" spans="1:12" x14ac:dyDescent="0.3">
      <c r="A526">
        <v>526</v>
      </c>
      <c r="B526">
        <f t="shared" si="48"/>
        <v>-123456789</v>
      </c>
      <c r="C526">
        <f t="shared" si="49"/>
        <v>16.143999999999998</v>
      </c>
      <c r="D526">
        <f>[1]!XLSTAT_PDFGeneral(B526,14, 16, 1)</f>
        <v>0</v>
      </c>
      <c r="I526">
        <v>526</v>
      </c>
      <c r="J526">
        <f t="shared" si="50"/>
        <v>-123456789</v>
      </c>
      <c r="K526">
        <f t="shared" si="51"/>
        <v>9.3320000000000007</v>
      </c>
      <c r="L526">
        <f>[1]!XLSTAT_PDFGeneral(J526,17, 1)</f>
        <v>0</v>
      </c>
    </row>
    <row r="527" spans="1:12" x14ac:dyDescent="0.3">
      <c r="A527">
        <v>527</v>
      </c>
      <c r="B527">
        <f t="shared" si="48"/>
        <v>-123456789</v>
      </c>
      <c r="C527">
        <f t="shared" si="49"/>
        <v>16.155999999999999</v>
      </c>
      <c r="D527">
        <f>[1]!XLSTAT_PDFGeneral(B527,14, 16, 1)</f>
        <v>0</v>
      </c>
      <c r="I527">
        <v>527</v>
      </c>
      <c r="J527">
        <f t="shared" si="50"/>
        <v>-123456789</v>
      </c>
      <c r="K527">
        <f t="shared" si="51"/>
        <v>9.3179999999999996</v>
      </c>
      <c r="L527">
        <f>[1]!XLSTAT_PDFGeneral(J527,17, 1)</f>
        <v>0</v>
      </c>
    </row>
    <row r="528" spans="1:12" x14ac:dyDescent="0.3">
      <c r="A528">
        <v>528</v>
      </c>
      <c r="B528">
        <f t="shared" si="48"/>
        <v>16.155999999999999</v>
      </c>
      <c r="C528">
        <f t="shared" si="49"/>
        <v>16.155999999999999</v>
      </c>
      <c r="D528">
        <f>[1]!XLSTAT_PDFGeneral(B528,14, 16, 1)</f>
        <v>0.39411736504986417</v>
      </c>
      <c r="I528">
        <v>528</v>
      </c>
      <c r="J528">
        <f t="shared" si="50"/>
        <v>9.3179999999999996</v>
      </c>
      <c r="K528">
        <f t="shared" si="51"/>
        <v>9.3179999999999996</v>
      </c>
      <c r="L528">
        <f>[1]!XLSTAT_PDFGeneral(J528,17, 1)</f>
        <v>1.0137771196302976E-6</v>
      </c>
    </row>
    <row r="529" spans="1:12" x14ac:dyDescent="0.3">
      <c r="A529">
        <v>529</v>
      </c>
      <c r="B529">
        <f t="shared" si="48"/>
        <v>16.167999999999999</v>
      </c>
      <c r="C529">
        <f t="shared" si="49"/>
        <v>16.167999999999999</v>
      </c>
      <c r="D529">
        <f>[1]!XLSTAT_PDFGeneral(B529,14, 16, 1)</f>
        <v>0.39335194512142985</v>
      </c>
      <c r="I529">
        <v>529</v>
      </c>
      <c r="J529">
        <f t="shared" si="50"/>
        <v>9.3040000000000003</v>
      </c>
      <c r="K529">
        <f t="shared" si="51"/>
        <v>9.3040000000000003</v>
      </c>
      <c r="L529">
        <f>[1]!XLSTAT_PDFGeneral(J529,17, 1)</f>
        <v>1.0137771196302976E-6</v>
      </c>
    </row>
    <row r="530" spans="1:12" x14ac:dyDescent="0.3">
      <c r="A530">
        <v>530</v>
      </c>
      <c r="B530">
        <f t="shared" si="48"/>
        <v>-123456789</v>
      </c>
      <c r="C530">
        <f t="shared" si="49"/>
        <v>16.167999999999999</v>
      </c>
      <c r="D530">
        <f>[1]!XLSTAT_PDFGeneral(B530,14, 16, 1)</f>
        <v>0</v>
      </c>
      <c r="I530">
        <v>530</v>
      </c>
      <c r="J530">
        <f t="shared" si="50"/>
        <v>-123456789</v>
      </c>
      <c r="K530">
        <f t="shared" si="51"/>
        <v>9.3040000000000003</v>
      </c>
      <c r="L530">
        <f>[1]!XLSTAT_PDFGeneral(J530,17, 1)</f>
        <v>0</v>
      </c>
    </row>
    <row r="531" spans="1:12" x14ac:dyDescent="0.3">
      <c r="A531">
        <v>531</v>
      </c>
      <c r="B531">
        <f t="shared" si="48"/>
        <v>-123456789</v>
      </c>
      <c r="C531">
        <f t="shared" si="49"/>
        <v>16.18</v>
      </c>
      <c r="D531">
        <f>[1]!XLSTAT_PDFGeneral(B531,14, 16, 1)</f>
        <v>0</v>
      </c>
      <c r="I531">
        <v>531</v>
      </c>
      <c r="J531">
        <f t="shared" si="50"/>
        <v>-123456789</v>
      </c>
      <c r="K531">
        <f t="shared" si="51"/>
        <v>9.2899999999999991</v>
      </c>
      <c r="L531">
        <f>[1]!XLSTAT_PDFGeneral(J531,17, 1)</f>
        <v>0</v>
      </c>
    </row>
    <row r="532" spans="1:12" x14ac:dyDescent="0.3">
      <c r="A532">
        <v>532</v>
      </c>
      <c r="B532">
        <f t="shared" si="48"/>
        <v>16.18</v>
      </c>
      <c r="C532">
        <f t="shared" si="49"/>
        <v>16.18</v>
      </c>
      <c r="D532">
        <f>[1]!XLSTAT_PDFGeneral(B532,14, 16, 1)</f>
        <v>0.39253148312042896</v>
      </c>
      <c r="I532">
        <v>532</v>
      </c>
      <c r="J532">
        <f t="shared" si="50"/>
        <v>9.2899999999999991</v>
      </c>
      <c r="K532">
        <f t="shared" si="51"/>
        <v>9.2899999999999991</v>
      </c>
      <c r="L532">
        <f>[1]!XLSTAT_PDFGeneral(J532,17, 1)</f>
        <v>1.0137771196302976E-6</v>
      </c>
    </row>
    <row r="533" spans="1:12" x14ac:dyDescent="0.3">
      <c r="A533">
        <v>533</v>
      </c>
      <c r="B533">
        <f t="shared" si="48"/>
        <v>16.192</v>
      </c>
      <c r="C533">
        <f t="shared" si="49"/>
        <v>16.192</v>
      </c>
      <c r="D533">
        <f>[1]!XLSTAT_PDFGeneral(B533,14, 16, 1)</f>
        <v>0.39165632988443705</v>
      </c>
      <c r="I533">
        <v>533</v>
      </c>
      <c r="J533">
        <f t="shared" si="50"/>
        <v>9.2759999999999998</v>
      </c>
      <c r="K533">
        <f t="shared" si="51"/>
        <v>9.2759999999999998</v>
      </c>
      <c r="L533">
        <f>[1]!XLSTAT_PDFGeneral(J533,17, 1)</f>
        <v>1.0137771196302976E-6</v>
      </c>
    </row>
    <row r="534" spans="1:12" x14ac:dyDescent="0.3">
      <c r="A534">
        <v>534</v>
      </c>
      <c r="B534">
        <f t="shared" si="48"/>
        <v>-123456789</v>
      </c>
      <c r="C534">
        <f t="shared" si="49"/>
        <v>16.192</v>
      </c>
      <c r="D534">
        <f>[1]!XLSTAT_PDFGeneral(B534,14, 16, 1)</f>
        <v>0</v>
      </c>
      <c r="I534">
        <v>534</v>
      </c>
      <c r="J534">
        <f t="shared" si="50"/>
        <v>-123456789</v>
      </c>
      <c r="K534">
        <f t="shared" si="51"/>
        <v>9.2759999999999998</v>
      </c>
      <c r="L534">
        <f>[1]!XLSTAT_PDFGeneral(J534,17, 1)</f>
        <v>0</v>
      </c>
    </row>
    <row r="535" spans="1:12" x14ac:dyDescent="0.3">
      <c r="A535">
        <v>535</v>
      </c>
      <c r="B535">
        <f t="shared" si="48"/>
        <v>-123456789</v>
      </c>
      <c r="C535">
        <f t="shared" si="49"/>
        <v>16.204000000000001</v>
      </c>
      <c r="D535">
        <f>[1]!XLSTAT_PDFGeneral(B535,14, 16, 1)</f>
        <v>0</v>
      </c>
      <c r="I535">
        <v>535</v>
      </c>
      <c r="J535">
        <f t="shared" si="50"/>
        <v>-123456789</v>
      </c>
      <c r="K535">
        <f t="shared" si="51"/>
        <v>9.2620000000000005</v>
      </c>
      <c r="L535">
        <f>[1]!XLSTAT_PDFGeneral(J535,17, 1)</f>
        <v>0</v>
      </c>
    </row>
    <row r="536" spans="1:12" x14ac:dyDescent="0.3">
      <c r="A536">
        <v>536</v>
      </c>
      <c r="B536">
        <f t="shared" si="48"/>
        <v>16.204000000000001</v>
      </c>
      <c r="C536">
        <f t="shared" si="49"/>
        <v>16.204000000000001</v>
      </c>
      <c r="D536">
        <f>[1]!XLSTAT_PDFGeneral(B536,14, 16, 1)</f>
        <v>0.39072685909319921</v>
      </c>
      <c r="I536">
        <v>536</v>
      </c>
      <c r="J536">
        <f t="shared" si="50"/>
        <v>9.2620000000000005</v>
      </c>
      <c r="K536">
        <f t="shared" si="51"/>
        <v>9.2620000000000005</v>
      </c>
      <c r="L536">
        <f>[1]!XLSTAT_PDFGeneral(J536,17, 1)</f>
        <v>1.0137771196302976E-6</v>
      </c>
    </row>
    <row r="537" spans="1:12" x14ac:dyDescent="0.3">
      <c r="A537">
        <v>537</v>
      </c>
      <c r="B537">
        <f t="shared" si="48"/>
        <v>16.216000000000001</v>
      </c>
      <c r="C537">
        <f t="shared" si="49"/>
        <v>16.216000000000001</v>
      </c>
      <c r="D537">
        <f>[1]!XLSTAT_PDFGeneral(B537,14, 16, 1)</f>
        <v>0.38974346700272933</v>
      </c>
      <c r="I537">
        <v>537</v>
      </c>
      <c r="J537">
        <f t="shared" si="50"/>
        <v>9.2479999999999993</v>
      </c>
      <c r="K537">
        <f t="shared" si="51"/>
        <v>9.2479999999999993</v>
      </c>
      <c r="L537">
        <f>[1]!XLSTAT_PDFGeneral(J537,17, 1)</f>
        <v>1.0137771196302976E-6</v>
      </c>
    </row>
    <row r="538" spans="1:12" x14ac:dyDescent="0.3">
      <c r="A538">
        <v>538</v>
      </c>
      <c r="B538">
        <f t="shared" si="48"/>
        <v>-123456789</v>
      </c>
      <c r="C538">
        <f t="shared" si="49"/>
        <v>16.216000000000001</v>
      </c>
      <c r="D538">
        <f>[1]!XLSTAT_PDFGeneral(B538,14, 16, 1)</f>
        <v>0</v>
      </c>
      <c r="I538">
        <v>538</v>
      </c>
      <c r="J538">
        <f t="shared" si="50"/>
        <v>-123456789</v>
      </c>
      <c r="K538">
        <f t="shared" si="51"/>
        <v>9.2479999999999993</v>
      </c>
      <c r="L538">
        <f>[1]!XLSTAT_PDFGeneral(J538,17, 1)</f>
        <v>0</v>
      </c>
    </row>
    <row r="539" spans="1:12" x14ac:dyDescent="0.3">
      <c r="A539">
        <v>539</v>
      </c>
      <c r="B539">
        <f t="shared" si="48"/>
        <v>-123456789</v>
      </c>
      <c r="C539">
        <f t="shared" si="49"/>
        <v>16.228000000000002</v>
      </c>
      <c r="D539">
        <f>[1]!XLSTAT_PDFGeneral(B539,14, 16, 1)</f>
        <v>0</v>
      </c>
      <c r="I539">
        <v>539</v>
      </c>
      <c r="J539">
        <f t="shared" si="50"/>
        <v>-123456789</v>
      </c>
      <c r="K539">
        <f t="shared" si="51"/>
        <v>9.234</v>
      </c>
      <c r="L539">
        <f>[1]!XLSTAT_PDFGeneral(J539,17, 1)</f>
        <v>0</v>
      </c>
    </row>
    <row r="540" spans="1:12" x14ac:dyDescent="0.3">
      <c r="A540">
        <v>540</v>
      </c>
      <c r="B540">
        <f t="shared" si="48"/>
        <v>16.228000000000002</v>
      </c>
      <c r="C540">
        <f t="shared" si="49"/>
        <v>16.228000000000002</v>
      </c>
      <c r="D540">
        <f>[1]!XLSTAT_PDFGeneral(B540,14, 16, 1)</f>
        <v>0.38870657216378734</v>
      </c>
      <c r="I540">
        <v>540</v>
      </c>
      <c r="J540">
        <f t="shared" si="50"/>
        <v>9.234</v>
      </c>
      <c r="K540">
        <f t="shared" si="51"/>
        <v>9.234</v>
      </c>
      <c r="L540">
        <f>[1]!XLSTAT_PDFGeneral(J540,17, 1)</f>
        <v>1.0137771196302976E-6</v>
      </c>
    </row>
    <row r="541" spans="1:12" x14ac:dyDescent="0.3">
      <c r="A541">
        <v>541</v>
      </c>
      <c r="B541">
        <f t="shared" si="48"/>
        <v>16.240000000000002</v>
      </c>
      <c r="C541">
        <f t="shared" si="49"/>
        <v>16.240000000000002</v>
      </c>
      <c r="D541">
        <f>[1]!XLSTAT_PDFGeneral(B541,14, 16, 1)</f>
        <v>0.38761661512501394</v>
      </c>
      <c r="I541">
        <v>541</v>
      </c>
      <c r="J541">
        <f t="shared" si="50"/>
        <v>9.2199999999999989</v>
      </c>
      <c r="K541">
        <f t="shared" si="51"/>
        <v>9.2199999999999989</v>
      </c>
      <c r="L541">
        <f>[1]!XLSTAT_PDFGeneral(J541,17, 1)</f>
        <v>1.0137771196302976E-6</v>
      </c>
    </row>
    <row r="542" spans="1:12" x14ac:dyDescent="0.3">
      <c r="A542">
        <v>542</v>
      </c>
      <c r="B542">
        <f t="shared" si="48"/>
        <v>-123456789</v>
      </c>
      <c r="C542">
        <f t="shared" si="49"/>
        <v>16.240000000000002</v>
      </c>
      <c r="D542">
        <f>[1]!XLSTAT_PDFGeneral(B542,14, 16, 1)</f>
        <v>0</v>
      </c>
      <c r="I542">
        <v>542</v>
      </c>
      <c r="J542">
        <f t="shared" si="50"/>
        <v>-123456789</v>
      </c>
      <c r="K542">
        <f t="shared" si="51"/>
        <v>9.2199999999999989</v>
      </c>
      <c r="L542">
        <f>[1]!XLSTAT_PDFGeneral(J542,17, 1)</f>
        <v>0</v>
      </c>
    </row>
    <row r="543" spans="1:12" x14ac:dyDescent="0.3">
      <c r="A543">
        <v>543</v>
      </c>
      <c r="B543">
        <f t="shared" si="48"/>
        <v>-123456789</v>
      </c>
      <c r="C543">
        <f t="shared" si="49"/>
        <v>16.251999999999999</v>
      </c>
      <c r="D543">
        <f>[1]!XLSTAT_PDFGeneral(B543,14, 16, 1)</f>
        <v>0</v>
      </c>
      <c r="I543">
        <v>543</v>
      </c>
      <c r="J543">
        <f t="shared" si="50"/>
        <v>-123456789</v>
      </c>
      <c r="K543">
        <f t="shared" si="51"/>
        <v>9.2059999999999995</v>
      </c>
      <c r="L543">
        <f>[1]!XLSTAT_PDFGeneral(J543,17, 1)</f>
        <v>0</v>
      </c>
    </row>
    <row r="544" spans="1:12" x14ac:dyDescent="0.3">
      <c r="A544">
        <v>544</v>
      </c>
      <c r="B544">
        <f t="shared" si="48"/>
        <v>16.251999999999999</v>
      </c>
      <c r="C544">
        <f t="shared" si="49"/>
        <v>16.251999999999999</v>
      </c>
      <c r="D544">
        <f>[1]!XLSTAT_PDFGeneral(B544,14, 16, 1)</f>
        <v>0.38647405812101876</v>
      </c>
      <c r="I544">
        <v>544</v>
      </c>
      <c r="J544">
        <f t="shared" si="50"/>
        <v>9.2059999999999995</v>
      </c>
      <c r="K544">
        <f t="shared" si="51"/>
        <v>9.2059999999999995</v>
      </c>
      <c r="L544">
        <f>[1]!XLSTAT_PDFGeneral(J544,17, 1)</f>
        <v>1.0137771196302976E-6</v>
      </c>
    </row>
    <row r="545" spans="1:12" x14ac:dyDescent="0.3">
      <c r="A545">
        <v>545</v>
      </c>
      <c r="B545">
        <f t="shared" si="48"/>
        <v>16.263999999999999</v>
      </c>
      <c r="C545">
        <f t="shared" si="49"/>
        <v>16.263999999999999</v>
      </c>
      <c r="D545">
        <f>[1]!XLSTAT_PDFGeneral(B545,14, 16, 1)</f>
        <v>0.3852793847457277</v>
      </c>
      <c r="I545">
        <v>545</v>
      </c>
      <c r="J545">
        <f t="shared" si="50"/>
        <v>9.1920000000000002</v>
      </c>
      <c r="K545">
        <f t="shared" si="51"/>
        <v>9.1920000000000002</v>
      </c>
      <c r="L545">
        <f>[1]!XLSTAT_PDFGeneral(J545,17, 1)</f>
        <v>1.0137771196302976E-6</v>
      </c>
    </row>
    <row r="546" spans="1:12" x14ac:dyDescent="0.3">
      <c r="A546">
        <v>546</v>
      </c>
      <c r="B546">
        <f t="shared" si="48"/>
        <v>-123456789</v>
      </c>
      <c r="C546">
        <f t="shared" si="49"/>
        <v>16.263999999999999</v>
      </c>
      <c r="D546">
        <f>[1]!XLSTAT_PDFGeneral(B546,14, 16, 1)</f>
        <v>0</v>
      </c>
      <c r="I546">
        <v>546</v>
      </c>
      <c r="J546">
        <f t="shared" si="50"/>
        <v>-123456789</v>
      </c>
      <c r="K546">
        <f t="shared" si="51"/>
        <v>9.1920000000000002</v>
      </c>
      <c r="L546">
        <f>[1]!XLSTAT_PDFGeneral(J546,17, 1)</f>
        <v>0</v>
      </c>
    </row>
    <row r="547" spans="1:12" x14ac:dyDescent="0.3">
      <c r="A547">
        <v>547</v>
      </c>
      <c r="B547">
        <f t="shared" si="48"/>
        <v>-123456789</v>
      </c>
      <c r="C547">
        <f t="shared" si="49"/>
        <v>16.276</v>
      </c>
      <c r="D547">
        <f>[1]!XLSTAT_PDFGeneral(B547,14, 16, 1)</f>
        <v>0</v>
      </c>
      <c r="I547">
        <v>547</v>
      </c>
      <c r="J547">
        <f t="shared" si="50"/>
        <v>-123456789</v>
      </c>
      <c r="K547">
        <f t="shared" si="51"/>
        <v>9.1780000000000008</v>
      </c>
      <c r="L547">
        <f>[1]!XLSTAT_PDFGeneral(J547,17, 1)</f>
        <v>0</v>
      </c>
    </row>
    <row r="548" spans="1:12" x14ac:dyDescent="0.3">
      <c r="A548">
        <v>548</v>
      </c>
      <c r="B548">
        <f t="shared" si="48"/>
        <v>16.276</v>
      </c>
      <c r="C548">
        <f t="shared" si="49"/>
        <v>16.276</v>
      </c>
      <c r="D548">
        <f>[1]!XLSTAT_PDFGeneral(B548,14, 16, 1)</f>
        <v>0.38403309961131932</v>
      </c>
      <c r="I548">
        <v>548</v>
      </c>
      <c r="J548">
        <f t="shared" si="50"/>
        <v>9.1780000000000008</v>
      </c>
      <c r="K548">
        <f t="shared" si="51"/>
        <v>9.1780000000000008</v>
      </c>
      <c r="L548">
        <f>[1]!XLSTAT_PDFGeneral(J548,17, 1)</f>
        <v>1.0137771196302976E-6</v>
      </c>
    </row>
    <row r="549" spans="1:12" x14ac:dyDescent="0.3">
      <c r="A549">
        <v>549</v>
      </c>
      <c r="B549">
        <f t="shared" si="48"/>
        <v>16.288</v>
      </c>
      <c r="C549">
        <f t="shared" si="49"/>
        <v>16.288</v>
      </c>
      <c r="D549">
        <f>[1]!XLSTAT_PDFGeneral(B549,14, 16, 1)</f>
        <v>0.38273572799307853</v>
      </c>
      <c r="I549">
        <v>549</v>
      </c>
      <c r="J549">
        <f t="shared" si="50"/>
        <v>9.1639999999999997</v>
      </c>
      <c r="K549">
        <f t="shared" si="51"/>
        <v>9.1639999999999997</v>
      </c>
      <c r="L549">
        <f>[1]!XLSTAT_PDFGeneral(J549,17, 1)</f>
        <v>1.0137771196302976E-6</v>
      </c>
    </row>
    <row r="550" spans="1:12" x14ac:dyDescent="0.3">
      <c r="A550">
        <v>550</v>
      </c>
      <c r="B550">
        <f t="shared" si="48"/>
        <v>-123456789</v>
      </c>
      <c r="C550">
        <f t="shared" si="49"/>
        <v>16.288</v>
      </c>
      <c r="D550">
        <f>[1]!XLSTAT_PDFGeneral(B550,14, 16, 1)</f>
        <v>0</v>
      </c>
      <c r="I550">
        <v>550</v>
      </c>
      <c r="J550">
        <f t="shared" si="50"/>
        <v>-123456789</v>
      </c>
      <c r="K550">
        <f t="shared" si="51"/>
        <v>9.1639999999999997</v>
      </c>
      <c r="L550">
        <f>[1]!XLSTAT_PDFGeneral(J550,17, 1)</f>
        <v>0</v>
      </c>
    </row>
    <row r="551" spans="1:12" x14ac:dyDescent="0.3">
      <c r="A551">
        <v>551</v>
      </c>
      <c r="B551">
        <f t="shared" si="48"/>
        <v>-123456789</v>
      </c>
      <c r="C551">
        <f t="shared" si="49"/>
        <v>16.3</v>
      </c>
      <c r="D551">
        <f>[1]!XLSTAT_PDFGeneral(B551,14, 16, 1)</f>
        <v>0</v>
      </c>
      <c r="I551">
        <v>551</v>
      </c>
      <c r="J551">
        <f t="shared" si="50"/>
        <v>-123456789</v>
      </c>
      <c r="K551">
        <f t="shared" si="51"/>
        <v>9.15</v>
      </c>
      <c r="L551">
        <f>[1]!XLSTAT_PDFGeneral(J551,17, 1)</f>
        <v>0</v>
      </c>
    </row>
    <row r="552" spans="1:12" x14ac:dyDescent="0.3">
      <c r="A552">
        <v>552</v>
      </c>
      <c r="B552">
        <f t="shared" si="48"/>
        <v>16.3</v>
      </c>
      <c r="C552">
        <f t="shared" si="49"/>
        <v>16.3</v>
      </c>
      <c r="D552">
        <f>[1]!XLSTAT_PDFGeneral(B552,14, 16, 1)</f>
        <v>0.38138781546052408</v>
      </c>
      <c r="I552">
        <v>552</v>
      </c>
      <c r="J552">
        <f t="shared" si="50"/>
        <v>9.15</v>
      </c>
      <c r="K552">
        <f t="shared" si="51"/>
        <v>9.15</v>
      </c>
      <c r="L552">
        <f>[1]!XLSTAT_PDFGeneral(J552,17, 1)</f>
        <v>1.0137771196302976E-6</v>
      </c>
    </row>
    <row r="553" spans="1:12" x14ac:dyDescent="0.3">
      <c r="A553">
        <v>553</v>
      </c>
      <c r="B553">
        <f t="shared" si="48"/>
        <v>16.312000000000001</v>
      </c>
      <c r="C553">
        <f t="shared" si="49"/>
        <v>16.312000000000001</v>
      </c>
      <c r="D553">
        <f>[1]!XLSTAT_PDFGeneral(B553,14, 16, 1)</f>
        <v>0.37998992749516863</v>
      </c>
      <c r="I553">
        <v>553</v>
      </c>
      <c r="J553">
        <f t="shared" si="50"/>
        <v>9.1359999999999992</v>
      </c>
      <c r="K553">
        <f t="shared" si="51"/>
        <v>9.1359999999999992</v>
      </c>
      <c r="L553">
        <f>[1]!XLSTAT_PDFGeneral(J553,17, 1)</f>
        <v>1.0137771196302976E-6</v>
      </c>
    </row>
    <row r="554" spans="1:12" x14ac:dyDescent="0.3">
      <c r="A554">
        <v>554</v>
      </c>
      <c r="B554">
        <f t="shared" si="48"/>
        <v>-123456789</v>
      </c>
      <c r="C554">
        <f t="shared" si="49"/>
        <v>16.312000000000001</v>
      </c>
      <c r="D554">
        <f>[1]!XLSTAT_PDFGeneral(B554,14, 16, 1)</f>
        <v>0</v>
      </c>
      <c r="I554">
        <v>554</v>
      </c>
      <c r="J554">
        <f t="shared" si="50"/>
        <v>-123456789</v>
      </c>
      <c r="K554">
        <f t="shared" si="51"/>
        <v>9.1359999999999992</v>
      </c>
      <c r="L554">
        <f>[1]!XLSTAT_PDFGeneral(J554,17, 1)</f>
        <v>0</v>
      </c>
    </row>
    <row r="555" spans="1:12" x14ac:dyDescent="0.3">
      <c r="A555">
        <v>555</v>
      </c>
      <c r="B555">
        <f t="shared" si="48"/>
        <v>-123456789</v>
      </c>
      <c r="C555">
        <f t="shared" si="49"/>
        <v>16.324000000000002</v>
      </c>
      <c r="D555">
        <f>[1]!XLSTAT_PDFGeneral(B555,14, 16, 1)</f>
        <v>0</v>
      </c>
      <c r="I555">
        <v>555</v>
      </c>
      <c r="J555">
        <f t="shared" si="50"/>
        <v>-123456789</v>
      </c>
      <c r="K555">
        <f t="shared" si="51"/>
        <v>9.1219999999999999</v>
      </c>
      <c r="L555">
        <f>[1]!XLSTAT_PDFGeneral(J555,17, 1)</f>
        <v>0</v>
      </c>
    </row>
    <row r="556" spans="1:12" x14ac:dyDescent="0.3">
      <c r="A556">
        <v>556</v>
      </c>
      <c r="B556">
        <f t="shared" si="48"/>
        <v>16.324000000000002</v>
      </c>
      <c r="C556">
        <f t="shared" si="49"/>
        <v>16.324000000000002</v>
      </c>
      <c r="D556">
        <f>[1]!XLSTAT_PDFGeneral(B556,14, 16, 1)</f>
        <v>0.37854264909528851</v>
      </c>
      <c r="I556">
        <v>556</v>
      </c>
      <c r="J556">
        <f t="shared" si="50"/>
        <v>9.1219999999999999</v>
      </c>
      <c r="K556">
        <f t="shared" si="51"/>
        <v>9.1219999999999999</v>
      </c>
      <c r="L556">
        <f>[1]!XLSTAT_PDFGeneral(J556,17, 1)</f>
        <v>1.0137771196302976E-6</v>
      </c>
    </row>
    <row r="557" spans="1:12" x14ac:dyDescent="0.3">
      <c r="A557">
        <v>557</v>
      </c>
      <c r="B557">
        <f t="shared" si="48"/>
        <v>16.335999999999999</v>
      </c>
      <c r="C557">
        <f t="shared" si="49"/>
        <v>16.335999999999999</v>
      </c>
      <c r="D557">
        <f>[1]!XLSTAT_PDFGeneral(B557,14, 16, 1)</f>
        <v>0.3770465843680883</v>
      </c>
      <c r="I557">
        <v>557</v>
      </c>
      <c r="J557">
        <f t="shared" si="50"/>
        <v>9.1080000000000005</v>
      </c>
      <c r="K557">
        <f t="shared" si="51"/>
        <v>9.1080000000000005</v>
      </c>
      <c r="L557">
        <f>[1]!XLSTAT_PDFGeneral(J557,17, 1)</f>
        <v>1.0137771196302976E-6</v>
      </c>
    </row>
    <row r="558" spans="1:12" x14ac:dyDescent="0.3">
      <c r="A558">
        <v>558</v>
      </c>
      <c r="B558">
        <f t="shared" si="48"/>
        <v>-123456789</v>
      </c>
      <c r="C558">
        <f t="shared" si="49"/>
        <v>16.335999999999999</v>
      </c>
      <c r="D558">
        <f>[1]!XLSTAT_PDFGeneral(B558,14, 16, 1)</f>
        <v>0</v>
      </c>
      <c r="I558">
        <v>558</v>
      </c>
      <c r="J558">
        <f t="shared" si="50"/>
        <v>-123456789</v>
      </c>
      <c r="K558">
        <f t="shared" si="51"/>
        <v>9.1080000000000005</v>
      </c>
      <c r="L558">
        <f>[1]!XLSTAT_PDFGeneral(J558,17, 1)</f>
        <v>0</v>
      </c>
    </row>
    <row r="559" spans="1:12" x14ac:dyDescent="0.3">
      <c r="A559">
        <v>559</v>
      </c>
      <c r="B559">
        <f t="shared" si="48"/>
        <v>-123456789</v>
      </c>
      <c r="C559">
        <f t="shared" si="49"/>
        <v>16.347999999999999</v>
      </c>
      <c r="D559">
        <f>[1]!XLSTAT_PDFGeneral(B559,14, 16, 1)</f>
        <v>0</v>
      </c>
      <c r="I559">
        <v>559</v>
      </c>
      <c r="J559">
        <f t="shared" si="50"/>
        <v>-123456789</v>
      </c>
      <c r="K559">
        <f t="shared" si="51"/>
        <v>9.0939999999999994</v>
      </c>
      <c r="L559">
        <f>[1]!XLSTAT_PDFGeneral(J559,17, 1)</f>
        <v>0</v>
      </c>
    </row>
    <row r="560" spans="1:12" x14ac:dyDescent="0.3">
      <c r="A560">
        <v>560</v>
      </c>
      <c r="B560">
        <f t="shared" si="48"/>
        <v>16.347999999999999</v>
      </c>
      <c r="C560">
        <f t="shared" si="49"/>
        <v>16.347999999999999</v>
      </c>
      <c r="D560">
        <f>[1]!XLSTAT_PDFGeneral(B560,14, 16, 1)</f>
        <v>0.37550235610965665</v>
      </c>
      <c r="I560">
        <v>560</v>
      </c>
      <c r="J560">
        <f t="shared" si="50"/>
        <v>9.0939999999999994</v>
      </c>
      <c r="K560">
        <f t="shared" si="51"/>
        <v>9.0939999999999994</v>
      </c>
      <c r="L560">
        <f>[1]!XLSTAT_PDFGeneral(J560,17, 1)</f>
        <v>1.0137771196302976E-6</v>
      </c>
    </row>
    <row r="561" spans="1:12" x14ac:dyDescent="0.3">
      <c r="A561">
        <v>561</v>
      </c>
      <c r="B561">
        <f t="shared" si="48"/>
        <v>16.36</v>
      </c>
      <c r="C561">
        <f t="shared" si="49"/>
        <v>16.36</v>
      </c>
      <c r="D561">
        <f>[1]!XLSTAT_PDFGeneral(B561,14, 16, 1)</f>
        <v>0.37391060537312848</v>
      </c>
      <c r="I561">
        <v>561</v>
      </c>
      <c r="J561">
        <f t="shared" si="50"/>
        <v>9.08</v>
      </c>
      <c r="K561">
        <f t="shared" si="51"/>
        <v>9.08</v>
      </c>
      <c r="L561">
        <f>[1]!XLSTAT_PDFGeneral(J561,17, 1)</f>
        <v>1.0137771196302976E-6</v>
      </c>
    </row>
    <row r="562" spans="1:12" x14ac:dyDescent="0.3">
      <c r="A562">
        <v>562</v>
      </c>
      <c r="B562">
        <f t="shared" si="48"/>
        <v>-123456789</v>
      </c>
      <c r="C562">
        <f t="shared" si="49"/>
        <v>16.36</v>
      </c>
      <c r="D562">
        <f>[1]!XLSTAT_PDFGeneral(B562,14, 16, 1)</f>
        <v>0</v>
      </c>
      <c r="I562">
        <v>562</v>
      </c>
      <c r="J562">
        <f t="shared" si="50"/>
        <v>-123456789</v>
      </c>
      <c r="K562">
        <f t="shared" si="51"/>
        <v>9.08</v>
      </c>
      <c r="L562">
        <f>[1]!XLSTAT_PDFGeneral(J562,17, 1)</f>
        <v>0</v>
      </c>
    </row>
    <row r="563" spans="1:12" x14ac:dyDescent="0.3">
      <c r="A563">
        <v>563</v>
      </c>
      <c r="B563">
        <f t="shared" si="48"/>
        <v>-123456789</v>
      </c>
      <c r="C563">
        <f t="shared" si="49"/>
        <v>16.372</v>
      </c>
      <c r="D563">
        <f>[1]!XLSTAT_PDFGeneral(B563,14, 16, 1)</f>
        <v>0</v>
      </c>
      <c r="I563">
        <v>563</v>
      </c>
      <c r="J563">
        <f t="shared" si="50"/>
        <v>-123456789</v>
      </c>
      <c r="K563">
        <f t="shared" si="51"/>
        <v>9.0659999999999989</v>
      </c>
      <c r="L563">
        <f>[1]!XLSTAT_PDFGeneral(J563,17, 1)</f>
        <v>0</v>
      </c>
    </row>
    <row r="564" spans="1:12" x14ac:dyDescent="0.3">
      <c r="A564">
        <v>564</v>
      </c>
      <c r="B564">
        <f t="shared" si="48"/>
        <v>16.372</v>
      </c>
      <c r="C564">
        <f t="shared" si="49"/>
        <v>16.372</v>
      </c>
      <c r="D564">
        <f>[1]!XLSTAT_PDFGeneral(B564,14, 16, 1)</f>
        <v>0.37227199102546293</v>
      </c>
      <c r="I564">
        <v>564</v>
      </c>
      <c r="J564">
        <f t="shared" si="50"/>
        <v>9.0659999999999989</v>
      </c>
      <c r="K564">
        <f t="shared" si="51"/>
        <v>9.0659999999999989</v>
      </c>
      <c r="L564">
        <f>[1]!XLSTAT_PDFGeneral(J564,17, 1)</f>
        <v>1.0137771196302976E-6</v>
      </c>
    </row>
    <row r="565" spans="1:12" x14ac:dyDescent="0.3">
      <c r="A565">
        <v>565</v>
      </c>
      <c r="B565">
        <f t="shared" si="48"/>
        <v>16.384</v>
      </c>
      <c r="C565">
        <f t="shared" si="49"/>
        <v>16.384</v>
      </c>
      <c r="D565">
        <f>[1]!XLSTAT_PDFGeneral(B565,14, 16, 1)</f>
        <v>0.3705871892932735</v>
      </c>
      <c r="I565">
        <v>565</v>
      </c>
      <c r="J565">
        <f t="shared" si="50"/>
        <v>9.0519999999999996</v>
      </c>
      <c r="K565">
        <f t="shared" si="51"/>
        <v>9.0519999999999996</v>
      </c>
      <c r="L565">
        <f>[1]!XLSTAT_PDFGeneral(J565,17, 1)</f>
        <v>1.0137771196302976E-6</v>
      </c>
    </row>
    <row r="566" spans="1:12" x14ac:dyDescent="0.3">
      <c r="A566">
        <v>566</v>
      </c>
      <c r="B566">
        <f t="shared" si="48"/>
        <v>-123456789</v>
      </c>
      <c r="C566">
        <f t="shared" si="49"/>
        <v>16.384</v>
      </c>
      <c r="D566">
        <f>[1]!XLSTAT_PDFGeneral(B566,14, 16, 1)</f>
        <v>0</v>
      </c>
      <c r="I566">
        <v>566</v>
      </c>
      <c r="J566">
        <f t="shared" si="50"/>
        <v>-123456789</v>
      </c>
      <c r="K566">
        <f t="shared" si="51"/>
        <v>9.0519999999999996</v>
      </c>
      <c r="L566">
        <f>[1]!XLSTAT_PDFGeneral(J566,17, 1)</f>
        <v>0</v>
      </c>
    </row>
    <row r="567" spans="1:12" x14ac:dyDescent="0.3">
      <c r="A567">
        <v>567</v>
      </c>
      <c r="B567">
        <f t="shared" si="48"/>
        <v>-123456789</v>
      </c>
      <c r="C567">
        <f t="shared" si="49"/>
        <v>16.396000000000001</v>
      </c>
      <c r="D567">
        <f>[1]!XLSTAT_PDFGeneral(B567,14, 16, 1)</f>
        <v>0</v>
      </c>
      <c r="I567">
        <v>567</v>
      </c>
      <c r="J567">
        <f t="shared" si="50"/>
        <v>-123456789</v>
      </c>
      <c r="K567">
        <f t="shared" si="51"/>
        <v>9.0380000000000003</v>
      </c>
      <c r="L567">
        <f>[1]!XLSTAT_PDFGeneral(J567,17, 1)</f>
        <v>0</v>
      </c>
    </row>
    <row r="568" spans="1:12" x14ac:dyDescent="0.3">
      <c r="A568">
        <v>568</v>
      </c>
      <c r="B568">
        <f t="shared" si="48"/>
        <v>16.396000000000001</v>
      </c>
      <c r="C568">
        <f t="shared" si="49"/>
        <v>16.396000000000001</v>
      </c>
      <c r="D568">
        <f>[1]!XLSTAT_PDFGeneral(B568,14, 16, 1)</f>
        <v>0.36885689329814464</v>
      </c>
      <c r="I568">
        <v>568</v>
      </c>
      <c r="J568">
        <f t="shared" si="50"/>
        <v>9.0380000000000003</v>
      </c>
      <c r="K568">
        <f t="shared" si="51"/>
        <v>9.0380000000000003</v>
      </c>
      <c r="L568">
        <f>[1]!XLSTAT_PDFGeneral(J568,17, 1)</f>
        <v>1.0137771196302976E-6</v>
      </c>
    </row>
    <row r="569" spans="1:12" x14ac:dyDescent="0.3">
      <c r="A569">
        <v>569</v>
      </c>
      <c r="B569">
        <f t="shared" si="48"/>
        <v>16.408000000000001</v>
      </c>
      <c r="C569">
        <f t="shared" si="49"/>
        <v>16.408000000000001</v>
      </c>
      <c r="D569">
        <f>[1]!XLSTAT_PDFGeneral(B569,14, 16, 1)</f>
        <v>0.36708181258188238</v>
      </c>
      <c r="I569">
        <v>569</v>
      </c>
      <c r="J569">
        <f t="shared" si="50"/>
        <v>9.0240000000000009</v>
      </c>
      <c r="K569">
        <f t="shared" si="51"/>
        <v>9.0240000000000009</v>
      </c>
      <c r="L569">
        <f>[1]!XLSTAT_PDFGeneral(J569,17, 1)</f>
        <v>1.0137771196302976E-6</v>
      </c>
    </row>
    <row r="570" spans="1:12" x14ac:dyDescent="0.3">
      <c r="A570">
        <v>570</v>
      </c>
      <c r="B570">
        <f t="shared" si="48"/>
        <v>-123456789</v>
      </c>
      <c r="C570">
        <f t="shared" si="49"/>
        <v>16.408000000000001</v>
      </c>
      <c r="D570">
        <f>[1]!XLSTAT_PDFGeneral(B570,14, 16, 1)</f>
        <v>0</v>
      </c>
      <c r="I570">
        <v>570</v>
      </c>
      <c r="J570">
        <f t="shared" si="50"/>
        <v>-123456789</v>
      </c>
      <c r="K570">
        <f t="shared" si="51"/>
        <v>9.0240000000000009</v>
      </c>
      <c r="L570">
        <f>[1]!XLSTAT_PDFGeneral(J570,17, 1)</f>
        <v>0</v>
      </c>
    </row>
    <row r="571" spans="1:12" x14ac:dyDescent="0.3">
      <c r="A571">
        <v>571</v>
      </c>
      <c r="B571">
        <f t="shared" si="48"/>
        <v>-123456789</v>
      </c>
      <c r="C571">
        <f t="shared" si="49"/>
        <v>16.420000000000002</v>
      </c>
      <c r="D571">
        <f>[1]!XLSTAT_PDFGeneral(B571,14, 16, 1)</f>
        <v>0</v>
      </c>
      <c r="I571">
        <v>571</v>
      </c>
      <c r="J571">
        <f t="shared" si="50"/>
        <v>-123456789</v>
      </c>
      <c r="K571">
        <f t="shared" si="51"/>
        <v>9.01</v>
      </c>
      <c r="L571">
        <f>[1]!XLSTAT_PDFGeneral(J571,17, 1)</f>
        <v>0</v>
      </c>
    </row>
    <row r="572" spans="1:12" x14ac:dyDescent="0.3">
      <c r="A572">
        <v>572</v>
      </c>
      <c r="B572">
        <f t="shared" si="48"/>
        <v>16.420000000000002</v>
      </c>
      <c r="C572">
        <f t="shared" si="49"/>
        <v>16.420000000000002</v>
      </c>
      <c r="D572">
        <f>[1]!XLSTAT_PDFGeneral(B572,14, 16, 1)</f>
        <v>0.36526267262215367</v>
      </c>
      <c r="I572">
        <v>572</v>
      </c>
      <c r="J572">
        <f t="shared" si="50"/>
        <v>9.01</v>
      </c>
      <c r="K572">
        <f t="shared" si="51"/>
        <v>9.01</v>
      </c>
      <c r="L572">
        <f>[1]!XLSTAT_PDFGeneral(J572,17, 1)</f>
        <v>1.0137771196302976E-6</v>
      </c>
    </row>
    <row r="573" spans="1:12" x14ac:dyDescent="0.3">
      <c r="A573">
        <v>573</v>
      </c>
      <c r="B573">
        <f t="shared" si="48"/>
        <v>16.431999999999999</v>
      </c>
      <c r="C573">
        <f t="shared" si="49"/>
        <v>16.431999999999999</v>
      </c>
      <c r="D573">
        <f>[1]!XLSTAT_PDFGeneral(B573,14, 16, 1)</f>
        <v>0.36340021433897746</v>
      </c>
      <c r="I573">
        <v>573</v>
      </c>
      <c r="J573">
        <f t="shared" si="50"/>
        <v>8.9959999999999987</v>
      </c>
      <c r="K573">
        <f t="shared" si="51"/>
        <v>8.9959999999999987</v>
      </c>
      <c r="L573">
        <f>[1]!XLSTAT_PDFGeneral(J573,17, 1)</f>
        <v>9.1239940766726766E-6</v>
      </c>
    </row>
    <row r="574" spans="1:12" x14ac:dyDescent="0.3">
      <c r="A574">
        <v>574</v>
      </c>
      <c r="B574">
        <f t="shared" si="48"/>
        <v>-123456789</v>
      </c>
      <c r="C574">
        <f t="shared" si="49"/>
        <v>16.431999999999999</v>
      </c>
      <c r="D574">
        <f>[1]!XLSTAT_PDFGeneral(B574,14, 16, 1)</f>
        <v>0</v>
      </c>
      <c r="I574">
        <v>574</v>
      </c>
      <c r="J574">
        <f t="shared" si="50"/>
        <v>-123456789</v>
      </c>
      <c r="K574">
        <f t="shared" si="51"/>
        <v>8.9959999999999987</v>
      </c>
      <c r="L574">
        <f>[1]!XLSTAT_PDFGeneral(J574,17, 1)</f>
        <v>0</v>
      </c>
    </row>
    <row r="575" spans="1:12" x14ac:dyDescent="0.3">
      <c r="A575">
        <v>575</v>
      </c>
      <c r="B575">
        <f t="shared" si="48"/>
        <v>-123456789</v>
      </c>
      <c r="C575">
        <f t="shared" si="49"/>
        <v>16.443999999999999</v>
      </c>
      <c r="D575">
        <f>[1]!XLSTAT_PDFGeneral(B575,14, 16, 1)</f>
        <v>0</v>
      </c>
      <c r="I575">
        <v>575</v>
      </c>
      <c r="J575">
        <f t="shared" si="50"/>
        <v>-123456789</v>
      </c>
      <c r="K575">
        <f t="shared" si="51"/>
        <v>8.9819999999999993</v>
      </c>
      <c r="L575">
        <f>[1]!XLSTAT_PDFGeneral(J575,17, 1)</f>
        <v>0</v>
      </c>
    </row>
    <row r="576" spans="1:12" x14ac:dyDescent="0.3">
      <c r="A576">
        <v>576</v>
      </c>
      <c r="B576">
        <f t="shared" si="48"/>
        <v>16.443999999999999</v>
      </c>
      <c r="C576">
        <f t="shared" si="49"/>
        <v>16.443999999999999</v>
      </c>
      <c r="D576">
        <f>[1]!XLSTAT_PDFGeneral(B576,14, 16, 1)</f>
        <v>0.36149519359253302</v>
      </c>
      <c r="I576">
        <v>576</v>
      </c>
      <c r="J576">
        <f t="shared" si="50"/>
        <v>8.9819999999999993</v>
      </c>
      <c r="K576">
        <f t="shared" si="51"/>
        <v>8.9819999999999993</v>
      </c>
      <c r="L576">
        <f>[1]!XLSTAT_PDFGeneral(J576,17, 1)</f>
        <v>9.1239940766726766E-6</v>
      </c>
    </row>
    <row r="577" spans="1:12" x14ac:dyDescent="0.3">
      <c r="A577">
        <v>577</v>
      </c>
      <c r="B577">
        <f t="shared" ref="B577:B640" si="52">IF(-1^(INT(A577/2)+2)&gt;0,13+2*INT(A577/2-1/2)*0.006,-123456789)</f>
        <v>16.456</v>
      </c>
      <c r="C577">
        <f t="shared" ref="C577:C640" si="53">13+2*INT(A577/2-1/2)*0.006</f>
        <v>16.456</v>
      </c>
      <c r="D577">
        <f>[1]!XLSTAT_PDFGeneral(B577,14, 16, 1)</f>
        <v>0.35954838067276967</v>
      </c>
      <c r="I577">
        <v>577</v>
      </c>
      <c r="J577">
        <f t="shared" ref="J577:J640" si="54">IF(-1^(INT(I577/2)+2)&gt;0,13+2*INT(I577/2-1/2)*-0.007,-123456789)</f>
        <v>8.968</v>
      </c>
      <c r="K577">
        <f t="shared" ref="K577:K640" si="55">13+2*INT(I577/2-1/2)*-0.007</f>
        <v>8.968</v>
      </c>
      <c r="L577">
        <f>[1]!XLSTAT_PDFGeneral(J577,17, 1)</f>
        <v>9.1239940766726766E-6</v>
      </c>
    </row>
    <row r="578" spans="1:12" x14ac:dyDescent="0.3">
      <c r="A578">
        <v>578</v>
      </c>
      <c r="B578">
        <f t="shared" si="52"/>
        <v>-123456789</v>
      </c>
      <c r="C578">
        <f t="shared" si="53"/>
        <v>16.456</v>
      </c>
      <c r="D578">
        <f>[1]!XLSTAT_PDFGeneral(B578,14, 16, 1)</f>
        <v>0</v>
      </c>
      <c r="I578">
        <v>578</v>
      </c>
      <c r="J578">
        <f t="shared" si="54"/>
        <v>-123456789</v>
      </c>
      <c r="K578">
        <f t="shared" si="55"/>
        <v>8.968</v>
      </c>
      <c r="L578">
        <f>[1]!XLSTAT_PDFGeneral(J578,17, 1)</f>
        <v>0</v>
      </c>
    </row>
    <row r="579" spans="1:12" x14ac:dyDescent="0.3">
      <c r="A579">
        <v>579</v>
      </c>
      <c r="B579">
        <f t="shared" si="52"/>
        <v>-123456789</v>
      </c>
      <c r="C579">
        <f t="shared" si="53"/>
        <v>16.468</v>
      </c>
      <c r="D579">
        <f>[1]!XLSTAT_PDFGeneral(B579,14, 16, 1)</f>
        <v>0</v>
      </c>
      <c r="I579">
        <v>579</v>
      </c>
      <c r="J579">
        <f t="shared" si="54"/>
        <v>-123456789</v>
      </c>
      <c r="K579">
        <f t="shared" si="55"/>
        <v>8.9540000000000006</v>
      </c>
      <c r="L579">
        <f>[1]!XLSTAT_PDFGeneral(J579,17, 1)</f>
        <v>0</v>
      </c>
    </row>
    <row r="580" spans="1:12" x14ac:dyDescent="0.3">
      <c r="A580">
        <v>580</v>
      </c>
      <c r="B580">
        <f t="shared" si="52"/>
        <v>16.468</v>
      </c>
      <c r="C580">
        <f t="shared" si="53"/>
        <v>16.468</v>
      </c>
      <c r="D580">
        <f>[1]!XLSTAT_PDFGeneral(B580,14, 16, 1)</f>
        <v>0.35756055978128964</v>
      </c>
      <c r="I580">
        <v>580</v>
      </c>
      <c r="J580">
        <f t="shared" si="54"/>
        <v>8.9540000000000006</v>
      </c>
      <c r="K580">
        <f t="shared" si="55"/>
        <v>8.9540000000000006</v>
      </c>
      <c r="L580">
        <f>[1]!XLSTAT_PDFGeneral(J580,17, 1)</f>
        <v>9.1239940766726766E-6</v>
      </c>
    </row>
    <row r="581" spans="1:12" x14ac:dyDescent="0.3">
      <c r="A581">
        <v>581</v>
      </c>
      <c r="B581">
        <f t="shared" si="52"/>
        <v>16.48</v>
      </c>
      <c r="C581">
        <f t="shared" si="53"/>
        <v>16.48</v>
      </c>
      <c r="D581">
        <f>[1]!XLSTAT_PDFGeneral(B581,14, 16, 1)</f>
        <v>0.35553252850599704</v>
      </c>
      <c r="I581">
        <v>581</v>
      </c>
      <c r="J581">
        <f t="shared" si="54"/>
        <v>8.94</v>
      </c>
      <c r="K581">
        <f t="shared" si="55"/>
        <v>8.94</v>
      </c>
      <c r="L581">
        <f>[1]!XLSTAT_PDFGeneral(J581,17, 1)</f>
        <v>9.1239940766726766E-6</v>
      </c>
    </row>
    <row r="582" spans="1:12" x14ac:dyDescent="0.3">
      <c r="A582">
        <v>582</v>
      </c>
      <c r="B582">
        <f t="shared" si="52"/>
        <v>-123456789</v>
      </c>
      <c r="C582">
        <f t="shared" si="53"/>
        <v>16.48</v>
      </c>
      <c r="D582">
        <f>[1]!XLSTAT_PDFGeneral(B582,14, 16, 1)</f>
        <v>0</v>
      </c>
      <c r="I582">
        <v>582</v>
      </c>
      <c r="J582">
        <f t="shared" si="54"/>
        <v>-123456789</v>
      </c>
      <c r="K582">
        <f t="shared" si="55"/>
        <v>8.94</v>
      </c>
      <c r="L582">
        <f>[1]!XLSTAT_PDFGeneral(J582,17, 1)</f>
        <v>0</v>
      </c>
    </row>
    <row r="583" spans="1:12" x14ac:dyDescent="0.3">
      <c r="A583">
        <v>583</v>
      </c>
      <c r="B583">
        <f t="shared" si="52"/>
        <v>-123456789</v>
      </c>
      <c r="C583">
        <f t="shared" si="53"/>
        <v>16.492000000000001</v>
      </c>
      <c r="D583">
        <f>[1]!XLSTAT_PDFGeneral(B583,14, 16, 1)</f>
        <v>0</v>
      </c>
      <c r="I583">
        <v>583</v>
      </c>
      <c r="J583">
        <f t="shared" si="54"/>
        <v>-123456789</v>
      </c>
      <c r="K583">
        <f t="shared" si="55"/>
        <v>8.9260000000000002</v>
      </c>
      <c r="L583">
        <f>[1]!XLSTAT_PDFGeneral(J583,17, 1)</f>
        <v>0</v>
      </c>
    </row>
    <row r="584" spans="1:12" x14ac:dyDescent="0.3">
      <c r="A584">
        <v>584</v>
      </c>
      <c r="B584">
        <f t="shared" si="52"/>
        <v>16.492000000000001</v>
      </c>
      <c r="C584">
        <f t="shared" si="53"/>
        <v>16.492000000000001</v>
      </c>
      <c r="D584">
        <f>[1]!XLSTAT_PDFGeneral(B584,14, 16, 1)</f>
        <v>0.35346509728900322</v>
      </c>
      <c r="I584">
        <v>584</v>
      </c>
      <c r="J584">
        <f t="shared" si="54"/>
        <v>8.9260000000000002</v>
      </c>
      <c r="K584">
        <f t="shared" si="55"/>
        <v>8.9260000000000002</v>
      </c>
      <c r="L584">
        <f>[1]!XLSTAT_PDFGeneral(J584,17, 1)</f>
        <v>9.1239940766726766E-6</v>
      </c>
    </row>
    <row r="585" spans="1:12" x14ac:dyDescent="0.3">
      <c r="A585">
        <v>585</v>
      </c>
      <c r="B585">
        <f t="shared" si="52"/>
        <v>16.504000000000001</v>
      </c>
      <c r="C585">
        <f t="shared" si="53"/>
        <v>16.504000000000001</v>
      </c>
      <c r="D585">
        <f>[1]!XLSTAT_PDFGeneral(B585,14, 16, 1)</f>
        <v>0.35135908888828377</v>
      </c>
      <c r="I585">
        <v>585</v>
      </c>
      <c r="J585">
        <f t="shared" si="54"/>
        <v>8.911999999999999</v>
      </c>
      <c r="K585">
        <f t="shared" si="55"/>
        <v>8.911999999999999</v>
      </c>
      <c r="L585">
        <f>[1]!XLSTAT_PDFGeneral(J585,17, 1)</f>
        <v>9.1239940766726766E-6</v>
      </c>
    </row>
    <row r="586" spans="1:12" x14ac:dyDescent="0.3">
      <c r="A586">
        <v>586</v>
      </c>
      <c r="B586">
        <f t="shared" si="52"/>
        <v>-123456789</v>
      </c>
      <c r="C586">
        <f t="shared" si="53"/>
        <v>16.504000000000001</v>
      </c>
      <c r="D586">
        <f>[1]!XLSTAT_PDFGeneral(B586,14, 16, 1)</f>
        <v>0</v>
      </c>
      <c r="I586">
        <v>586</v>
      </c>
      <c r="J586">
        <f t="shared" si="54"/>
        <v>-123456789</v>
      </c>
      <c r="K586">
        <f t="shared" si="55"/>
        <v>8.911999999999999</v>
      </c>
      <c r="L586">
        <f>[1]!XLSTAT_PDFGeneral(J586,17, 1)</f>
        <v>0</v>
      </c>
    </row>
    <row r="587" spans="1:12" x14ac:dyDescent="0.3">
      <c r="A587">
        <v>587</v>
      </c>
      <c r="B587">
        <f t="shared" si="52"/>
        <v>-123456789</v>
      </c>
      <c r="C587">
        <f t="shared" si="53"/>
        <v>16.515999999999998</v>
      </c>
      <c r="D587">
        <f>[1]!XLSTAT_PDFGeneral(B587,14, 16, 1)</f>
        <v>0</v>
      </c>
      <c r="I587">
        <v>587</v>
      </c>
      <c r="J587">
        <f t="shared" si="54"/>
        <v>-123456789</v>
      </c>
      <c r="K587">
        <f t="shared" si="55"/>
        <v>8.8979999999999997</v>
      </c>
      <c r="L587">
        <f>[1]!XLSTAT_PDFGeneral(J587,17, 1)</f>
        <v>0</v>
      </c>
    </row>
    <row r="588" spans="1:12" x14ac:dyDescent="0.3">
      <c r="A588">
        <v>588</v>
      </c>
      <c r="B588">
        <f t="shared" si="52"/>
        <v>16.515999999999998</v>
      </c>
      <c r="C588">
        <f t="shared" si="53"/>
        <v>16.515999999999998</v>
      </c>
      <c r="D588">
        <f>[1]!XLSTAT_PDFGeneral(B588,14, 16, 1)</f>
        <v>0.34921533783358705</v>
      </c>
      <c r="I588">
        <v>588</v>
      </c>
      <c r="J588">
        <f t="shared" si="54"/>
        <v>8.8979999999999997</v>
      </c>
      <c r="K588">
        <f t="shared" si="55"/>
        <v>8.8979999999999997</v>
      </c>
      <c r="L588">
        <f>[1]!XLSTAT_PDFGeneral(J588,17, 1)</f>
        <v>9.1239940766726766E-6</v>
      </c>
    </row>
    <row r="589" spans="1:12" x14ac:dyDescent="0.3">
      <c r="A589">
        <v>589</v>
      </c>
      <c r="B589">
        <f t="shared" si="52"/>
        <v>16.527999999999999</v>
      </c>
      <c r="C589">
        <f t="shared" si="53"/>
        <v>16.527999999999999</v>
      </c>
      <c r="D589">
        <f>[1]!XLSTAT_PDFGeneral(B589,14, 16, 1)</f>
        <v>0.34703468987709252</v>
      </c>
      <c r="I589">
        <v>589</v>
      </c>
      <c r="J589">
        <f t="shared" si="54"/>
        <v>8.8840000000000003</v>
      </c>
      <c r="K589">
        <f t="shared" si="55"/>
        <v>8.8840000000000003</v>
      </c>
      <c r="L589">
        <f>[1]!XLSTAT_PDFGeneral(J589,17, 1)</f>
        <v>9.1239940766726766E-6</v>
      </c>
    </row>
    <row r="590" spans="1:12" x14ac:dyDescent="0.3">
      <c r="A590">
        <v>590</v>
      </c>
      <c r="B590">
        <f t="shared" si="52"/>
        <v>-123456789</v>
      </c>
      <c r="C590">
        <f t="shared" si="53"/>
        <v>16.527999999999999</v>
      </c>
      <c r="D590">
        <f>[1]!XLSTAT_PDFGeneral(B590,14, 16, 1)</f>
        <v>0</v>
      </c>
      <c r="I590">
        <v>590</v>
      </c>
      <c r="J590">
        <f t="shared" si="54"/>
        <v>-123456789</v>
      </c>
      <c r="K590">
        <f t="shared" si="55"/>
        <v>8.8840000000000003</v>
      </c>
      <c r="L590">
        <f>[1]!XLSTAT_PDFGeneral(J590,17, 1)</f>
        <v>0</v>
      </c>
    </row>
    <row r="591" spans="1:12" x14ac:dyDescent="0.3">
      <c r="A591">
        <v>591</v>
      </c>
      <c r="B591">
        <f t="shared" si="52"/>
        <v>-123456789</v>
      </c>
      <c r="C591">
        <f t="shared" si="53"/>
        <v>16.54</v>
      </c>
      <c r="D591">
        <f>[1]!XLSTAT_PDFGeneral(B591,14, 16, 1)</f>
        <v>0</v>
      </c>
      <c r="I591">
        <v>591</v>
      </c>
      <c r="J591">
        <f t="shared" si="54"/>
        <v>-123456789</v>
      </c>
      <c r="K591">
        <f t="shared" si="55"/>
        <v>8.870000000000001</v>
      </c>
      <c r="L591">
        <f>[1]!XLSTAT_PDFGeneral(J591,17, 1)</f>
        <v>0</v>
      </c>
    </row>
    <row r="592" spans="1:12" x14ac:dyDescent="0.3">
      <c r="A592">
        <v>592</v>
      </c>
      <c r="B592">
        <f t="shared" si="52"/>
        <v>16.54</v>
      </c>
      <c r="C592">
        <f t="shared" si="53"/>
        <v>16.54</v>
      </c>
      <c r="D592">
        <f>[1]!XLSTAT_PDFGeneral(B592,14, 16, 1)</f>
        <v>0.34481800143933355</v>
      </c>
      <c r="I592">
        <v>592</v>
      </c>
      <c r="J592">
        <f t="shared" si="54"/>
        <v>8.870000000000001</v>
      </c>
      <c r="K592">
        <f t="shared" si="55"/>
        <v>8.870000000000001</v>
      </c>
      <c r="L592">
        <f>[1]!XLSTAT_PDFGeneral(J592,17, 1)</f>
        <v>9.1239940766726766E-6</v>
      </c>
    </row>
    <row r="593" spans="1:12" x14ac:dyDescent="0.3">
      <c r="A593">
        <v>593</v>
      </c>
      <c r="B593">
        <f t="shared" si="52"/>
        <v>16.552</v>
      </c>
      <c r="C593">
        <f t="shared" si="53"/>
        <v>16.552</v>
      </c>
      <c r="D593">
        <f>[1]!XLSTAT_PDFGeneral(B593,14, 16, 1)</f>
        <v>0.34256613905087624</v>
      </c>
      <c r="I593">
        <v>593</v>
      </c>
      <c r="J593">
        <f t="shared" si="54"/>
        <v>8.8559999999999999</v>
      </c>
      <c r="K593">
        <f t="shared" si="55"/>
        <v>8.8559999999999999</v>
      </c>
      <c r="L593">
        <f>[1]!XLSTAT_PDFGeneral(J593,17, 1)</f>
        <v>9.1239940766726766E-6</v>
      </c>
    </row>
    <row r="594" spans="1:12" x14ac:dyDescent="0.3">
      <c r="A594">
        <v>594</v>
      </c>
      <c r="B594">
        <f t="shared" si="52"/>
        <v>-123456789</v>
      </c>
      <c r="C594">
        <f t="shared" si="53"/>
        <v>16.552</v>
      </c>
      <c r="D594">
        <f>[1]!XLSTAT_PDFGeneral(B594,14, 16, 1)</f>
        <v>0</v>
      </c>
      <c r="I594">
        <v>594</v>
      </c>
      <c r="J594">
        <f t="shared" si="54"/>
        <v>-123456789</v>
      </c>
      <c r="K594">
        <f t="shared" si="55"/>
        <v>8.8559999999999999</v>
      </c>
      <c r="L594">
        <f>[1]!XLSTAT_PDFGeneral(J594,17, 1)</f>
        <v>0</v>
      </c>
    </row>
    <row r="595" spans="1:12" x14ac:dyDescent="0.3">
      <c r="A595">
        <v>595</v>
      </c>
      <c r="B595">
        <f t="shared" si="52"/>
        <v>-123456789</v>
      </c>
      <c r="C595">
        <f t="shared" si="53"/>
        <v>16.564</v>
      </c>
      <c r="D595">
        <f>[1]!XLSTAT_PDFGeneral(B595,14, 16, 1)</f>
        <v>0</v>
      </c>
      <c r="I595">
        <v>595</v>
      </c>
      <c r="J595">
        <f t="shared" si="54"/>
        <v>-123456789</v>
      </c>
      <c r="K595">
        <f t="shared" si="55"/>
        <v>8.8419999999999987</v>
      </c>
      <c r="L595">
        <f>[1]!XLSTAT_PDFGeneral(J595,17, 1)</f>
        <v>0</v>
      </c>
    </row>
    <row r="596" spans="1:12" x14ac:dyDescent="0.3">
      <c r="A596">
        <v>596</v>
      </c>
      <c r="B596">
        <f t="shared" si="52"/>
        <v>16.564</v>
      </c>
      <c r="C596">
        <f t="shared" si="53"/>
        <v>16.564</v>
      </c>
      <c r="D596">
        <f>[1]!XLSTAT_PDFGeneral(B596,14, 16, 1)</f>
        <v>0.34027997879027366</v>
      </c>
      <c r="I596">
        <v>596</v>
      </c>
      <c r="J596">
        <f t="shared" si="54"/>
        <v>8.8419999999999987</v>
      </c>
      <c r="K596">
        <f t="shared" si="55"/>
        <v>8.8419999999999987</v>
      </c>
      <c r="L596">
        <f>[1]!XLSTAT_PDFGeneral(J596,17, 1)</f>
        <v>9.1239940766726766E-6</v>
      </c>
    </row>
    <row r="597" spans="1:12" x14ac:dyDescent="0.3">
      <c r="A597">
        <v>597</v>
      </c>
      <c r="B597">
        <f t="shared" si="52"/>
        <v>16.576000000000001</v>
      </c>
      <c r="C597">
        <f t="shared" si="53"/>
        <v>16.576000000000001</v>
      </c>
      <c r="D597">
        <f>[1]!XLSTAT_PDFGeneral(B597,14, 16, 1)</f>
        <v>0.33796040571879699</v>
      </c>
      <c r="I597">
        <v>597</v>
      </c>
      <c r="J597">
        <f t="shared" si="54"/>
        <v>8.8279999999999994</v>
      </c>
      <c r="K597">
        <f t="shared" si="55"/>
        <v>8.8279999999999994</v>
      </c>
      <c r="L597">
        <f>[1]!XLSTAT_PDFGeneral(J597,17, 1)</f>
        <v>9.1239940766726766E-6</v>
      </c>
    </row>
    <row r="598" spans="1:12" x14ac:dyDescent="0.3">
      <c r="A598">
        <v>598</v>
      </c>
      <c r="B598">
        <f t="shared" si="52"/>
        <v>-123456789</v>
      </c>
      <c r="C598">
        <f t="shared" si="53"/>
        <v>16.576000000000001</v>
      </c>
      <c r="D598">
        <f>[1]!XLSTAT_PDFGeneral(B598,14, 16, 1)</f>
        <v>0</v>
      </c>
      <c r="I598">
        <v>598</v>
      </c>
      <c r="J598">
        <f t="shared" si="54"/>
        <v>-123456789</v>
      </c>
      <c r="K598">
        <f t="shared" si="55"/>
        <v>8.8279999999999994</v>
      </c>
      <c r="L598">
        <f>[1]!XLSTAT_PDFGeneral(J598,17, 1)</f>
        <v>0</v>
      </c>
    </row>
    <row r="599" spans="1:12" x14ac:dyDescent="0.3">
      <c r="A599">
        <v>599</v>
      </c>
      <c r="B599">
        <f t="shared" si="52"/>
        <v>-123456789</v>
      </c>
      <c r="C599">
        <f t="shared" si="53"/>
        <v>16.588000000000001</v>
      </c>
      <c r="D599">
        <f>[1]!XLSTAT_PDFGeneral(B599,14, 16, 1)</f>
        <v>0</v>
      </c>
      <c r="I599">
        <v>599</v>
      </c>
      <c r="J599">
        <f t="shared" si="54"/>
        <v>-123456789</v>
      </c>
      <c r="K599">
        <f t="shared" si="55"/>
        <v>8.8140000000000001</v>
      </c>
      <c r="L599">
        <f>[1]!XLSTAT_PDFGeneral(J599,17, 1)</f>
        <v>0</v>
      </c>
    </row>
    <row r="600" spans="1:12" x14ac:dyDescent="0.3">
      <c r="A600">
        <v>600</v>
      </c>
      <c r="B600">
        <f t="shared" si="52"/>
        <v>16.588000000000001</v>
      </c>
      <c r="C600">
        <f t="shared" si="53"/>
        <v>16.588000000000001</v>
      </c>
      <c r="D600">
        <f>[1]!XLSTAT_PDFGeneral(B600,14, 16, 1)</f>
        <v>0.33560831331245378</v>
      </c>
      <c r="I600">
        <v>600</v>
      </c>
      <c r="J600">
        <f t="shared" si="54"/>
        <v>8.8140000000000001</v>
      </c>
      <c r="K600">
        <f t="shared" si="55"/>
        <v>8.8140000000000001</v>
      </c>
      <c r="L600">
        <f>[1]!XLSTAT_PDFGeneral(J600,17, 1)</f>
        <v>9.1239940766726766E-6</v>
      </c>
    </row>
    <row r="601" spans="1:12" x14ac:dyDescent="0.3">
      <c r="A601">
        <v>601</v>
      </c>
      <c r="B601">
        <f t="shared" si="52"/>
        <v>16.600000000000001</v>
      </c>
      <c r="C601">
        <f t="shared" si="53"/>
        <v>16.600000000000001</v>
      </c>
      <c r="D601">
        <f>[1]!XLSTAT_PDFGeneral(B601,14, 16, 1)</f>
        <v>0.33322460289179939</v>
      </c>
      <c r="I601">
        <v>601</v>
      </c>
      <c r="J601">
        <f t="shared" si="54"/>
        <v>8.8000000000000007</v>
      </c>
      <c r="K601">
        <f t="shared" si="55"/>
        <v>8.8000000000000007</v>
      </c>
      <c r="L601">
        <f>[1]!XLSTAT_PDFGeneral(J601,17, 1)</f>
        <v>9.1239940766726766E-6</v>
      </c>
    </row>
    <row r="602" spans="1:12" x14ac:dyDescent="0.3">
      <c r="A602">
        <v>602</v>
      </c>
      <c r="B602">
        <f t="shared" si="52"/>
        <v>-123456789</v>
      </c>
      <c r="C602">
        <f t="shared" si="53"/>
        <v>16.600000000000001</v>
      </c>
      <c r="D602">
        <f>[1]!XLSTAT_PDFGeneral(B602,14, 16, 1)</f>
        <v>0</v>
      </c>
      <c r="I602">
        <v>602</v>
      </c>
      <c r="J602">
        <f t="shared" si="54"/>
        <v>-123456789</v>
      </c>
      <c r="K602">
        <f t="shared" si="55"/>
        <v>8.8000000000000007</v>
      </c>
      <c r="L602">
        <f>[1]!XLSTAT_PDFGeneral(J602,17, 1)</f>
        <v>0</v>
      </c>
    </row>
    <row r="603" spans="1:12" x14ac:dyDescent="0.3">
      <c r="A603">
        <v>603</v>
      </c>
      <c r="B603">
        <f t="shared" si="52"/>
        <v>-123456789</v>
      </c>
      <c r="C603">
        <f t="shared" si="53"/>
        <v>16.612000000000002</v>
      </c>
      <c r="D603">
        <f>[1]!XLSTAT_PDFGeneral(B603,14, 16, 1)</f>
        <v>0</v>
      </c>
      <c r="I603">
        <v>603</v>
      </c>
      <c r="J603">
        <f t="shared" si="54"/>
        <v>-123456789</v>
      </c>
      <c r="K603">
        <f t="shared" si="55"/>
        <v>8.7859999999999996</v>
      </c>
      <c r="L603">
        <f>[1]!XLSTAT_PDFGeneral(J603,17, 1)</f>
        <v>0</v>
      </c>
    </row>
    <row r="604" spans="1:12" x14ac:dyDescent="0.3">
      <c r="A604">
        <v>604</v>
      </c>
      <c r="B604">
        <f t="shared" si="52"/>
        <v>16.612000000000002</v>
      </c>
      <c r="C604">
        <f t="shared" si="53"/>
        <v>16.612000000000002</v>
      </c>
      <c r="D604">
        <f>[1]!XLSTAT_PDFGeneral(B604,14, 16, 1)</f>
        <v>0.33081018305004795</v>
      </c>
      <c r="I604">
        <v>604</v>
      </c>
      <c r="J604">
        <f t="shared" si="54"/>
        <v>8.7859999999999996</v>
      </c>
      <c r="K604">
        <f t="shared" si="55"/>
        <v>8.7859999999999996</v>
      </c>
      <c r="L604">
        <f>[1]!XLSTAT_PDFGeneral(J604,17, 1)</f>
        <v>9.1239940766726766E-6</v>
      </c>
    </row>
    <row r="605" spans="1:12" x14ac:dyDescent="0.3">
      <c r="A605">
        <v>605</v>
      </c>
      <c r="B605">
        <f t="shared" si="52"/>
        <v>16.623999999999999</v>
      </c>
      <c r="C605">
        <f t="shared" si="53"/>
        <v>16.623999999999999</v>
      </c>
      <c r="D605">
        <f>[1]!XLSTAT_PDFGeneral(B605,14, 16, 1)</f>
        <v>0.32836596907998783</v>
      </c>
      <c r="I605">
        <v>605</v>
      </c>
      <c r="J605">
        <f t="shared" si="54"/>
        <v>8.7720000000000002</v>
      </c>
      <c r="K605">
        <f t="shared" si="55"/>
        <v>8.7720000000000002</v>
      </c>
      <c r="L605">
        <f>[1]!XLSTAT_PDFGeneral(J605,17, 1)</f>
        <v>9.1239940766726766E-6</v>
      </c>
    </row>
    <row r="606" spans="1:12" x14ac:dyDescent="0.3">
      <c r="A606">
        <v>606</v>
      </c>
      <c r="B606">
        <f t="shared" si="52"/>
        <v>-123456789</v>
      </c>
      <c r="C606">
        <f t="shared" si="53"/>
        <v>16.623999999999999</v>
      </c>
      <c r="D606">
        <f>[1]!XLSTAT_PDFGeneral(B606,14, 16, 1)</f>
        <v>0</v>
      </c>
      <c r="I606">
        <v>606</v>
      </c>
      <c r="J606">
        <f t="shared" si="54"/>
        <v>-123456789</v>
      </c>
      <c r="K606">
        <f t="shared" si="55"/>
        <v>8.7720000000000002</v>
      </c>
      <c r="L606">
        <f>[1]!XLSTAT_PDFGeneral(J606,17, 1)</f>
        <v>0</v>
      </c>
    </row>
    <row r="607" spans="1:12" x14ac:dyDescent="0.3">
      <c r="A607">
        <v>607</v>
      </c>
      <c r="B607">
        <f t="shared" si="52"/>
        <v>-123456789</v>
      </c>
      <c r="C607">
        <f t="shared" si="53"/>
        <v>16.635999999999999</v>
      </c>
      <c r="D607">
        <f>[1]!XLSTAT_PDFGeneral(B607,14, 16, 1)</f>
        <v>0</v>
      </c>
      <c r="I607">
        <v>607</v>
      </c>
      <c r="J607">
        <f t="shared" si="54"/>
        <v>-123456789</v>
      </c>
      <c r="K607">
        <f t="shared" si="55"/>
        <v>8.7579999999999991</v>
      </c>
      <c r="L607">
        <f>[1]!XLSTAT_PDFGeneral(J607,17, 1)</f>
        <v>0</v>
      </c>
    </row>
    <row r="608" spans="1:12" x14ac:dyDescent="0.3">
      <c r="A608">
        <v>608</v>
      </c>
      <c r="B608">
        <f t="shared" si="52"/>
        <v>16.635999999999999</v>
      </c>
      <c r="C608">
        <f t="shared" si="53"/>
        <v>16.635999999999999</v>
      </c>
      <c r="D608">
        <f>[1]!XLSTAT_PDFGeneral(B608,14, 16, 1)</f>
        <v>0.3258928824001987</v>
      </c>
      <c r="I608">
        <v>608</v>
      </c>
      <c r="J608">
        <f t="shared" si="54"/>
        <v>8.7579999999999991</v>
      </c>
      <c r="K608">
        <f t="shared" si="55"/>
        <v>8.7579999999999991</v>
      </c>
      <c r="L608">
        <f>[1]!XLSTAT_PDFGeneral(J608,17, 1)</f>
        <v>9.1239940766726766E-6</v>
      </c>
    </row>
    <row r="609" spans="1:12" x14ac:dyDescent="0.3">
      <c r="A609">
        <v>609</v>
      </c>
      <c r="B609">
        <f t="shared" si="52"/>
        <v>16.648</v>
      </c>
      <c r="C609">
        <f t="shared" si="53"/>
        <v>16.648</v>
      </c>
      <c r="D609">
        <f>[1]!XLSTAT_PDFGeneral(B609,14, 16, 1)</f>
        <v>0.32339184998108</v>
      </c>
      <c r="I609">
        <v>609</v>
      </c>
      <c r="J609">
        <f t="shared" si="54"/>
        <v>8.7439999999999998</v>
      </c>
      <c r="K609">
        <f t="shared" si="55"/>
        <v>8.7439999999999998</v>
      </c>
      <c r="L609">
        <f>[1]!XLSTAT_PDFGeneral(J609,17, 1)</f>
        <v>9.1239940766726766E-6</v>
      </c>
    </row>
    <row r="610" spans="1:12" x14ac:dyDescent="0.3">
      <c r="A610">
        <v>610</v>
      </c>
      <c r="B610">
        <f t="shared" si="52"/>
        <v>-123456789</v>
      </c>
      <c r="C610">
        <f t="shared" si="53"/>
        <v>16.648</v>
      </c>
      <c r="D610">
        <f>[1]!XLSTAT_PDFGeneral(B610,14, 16, 1)</f>
        <v>0</v>
      </c>
      <c r="I610">
        <v>610</v>
      </c>
      <c r="J610">
        <f t="shared" si="54"/>
        <v>-123456789</v>
      </c>
      <c r="K610">
        <f t="shared" si="55"/>
        <v>8.7439999999999998</v>
      </c>
      <c r="L610">
        <f>[1]!XLSTAT_PDFGeneral(J610,17, 1)</f>
        <v>0</v>
      </c>
    </row>
    <row r="611" spans="1:12" x14ac:dyDescent="0.3">
      <c r="A611">
        <v>611</v>
      </c>
      <c r="B611">
        <f t="shared" si="52"/>
        <v>-123456789</v>
      </c>
      <c r="C611">
        <f t="shared" si="53"/>
        <v>16.66</v>
      </c>
      <c r="D611">
        <f>[1]!XLSTAT_PDFGeneral(B611,14, 16, 1)</f>
        <v>0</v>
      </c>
      <c r="I611">
        <v>611</v>
      </c>
      <c r="J611">
        <f t="shared" si="54"/>
        <v>-123456789</v>
      </c>
      <c r="K611">
        <f t="shared" si="55"/>
        <v>8.73</v>
      </c>
      <c r="L611">
        <f>[1]!XLSTAT_PDFGeneral(J611,17, 1)</f>
        <v>0</v>
      </c>
    </row>
    <row r="612" spans="1:12" x14ac:dyDescent="0.3">
      <c r="A612">
        <v>612</v>
      </c>
      <c r="B612">
        <f t="shared" si="52"/>
        <v>16.66</v>
      </c>
      <c r="C612">
        <f t="shared" si="53"/>
        <v>16.66</v>
      </c>
      <c r="D612">
        <f>[1]!XLSTAT_PDFGeneral(B612,14, 16, 1)</f>
        <v>0.32086380377117246</v>
      </c>
      <c r="I612">
        <v>612</v>
      </c>
      <c r="J612">
        <f t="shared" si="54"/>
        <v>8.73</v>
      </c>
      <c r="K612">
        <f t="shared" si="55"/>
        <v>8.73</v>
      </c>
      <c r="L612">
        <f>[1]!XLSTAT_PDFGeneral(J612,17, 1)</f>
        <v>9.1239940766726766E-6</v>
      </c>
    </row>
    <row r="613" spans="1:12" x14ac:dyDescent="0.3">
      <c r="A613">
        <v>613</v>
      </c>
      <c r="B613">
        <f t="shared" si="52"/>
        <v>16.672000000000001</v>
      </c>
      <c r="C613">
        <f t="shared" si="53"/>
        <v>16.672000000000001</v>
      </c>
      <c r="D613">
        <f>[1]!XLSTAT_PDFGeneral(B613,14, 16, 1)</f>
        <v>0.31830968012427413</v>
      </c>
      <c r="I613">
        <v>613</v>
      </c>
      <c r="J613">
        <f t="shared" si="54"/>
        <v>8.7160000000000011</v>
      </c>
      <c r="K613">
        <f t="shared" si="55"/>
        <v>8.7160000000000011</v>
      </c>
      <c r="L613">
        <f>[1]!XLSTAT_PDFGeneral(J613,17, 1)</f>
        <v>9.1239940766726766E-6</v>
      </c>
    </row>
    <row r="614" spans="1:12" x14ac:dyDescent="0.3">
      <c r="A614">
        <v>614</v>
      </c>
      <c r="B614">
        <f t="shared" si="52"/>
        <v>-123456789</v>
      </c>
      <c r="C614">
        <f t="shared" si="53"/>
        <v>16.672000000000001</v>
      </c>
      <c r="D614">
        <f>[1]!XLSTAT_PDFGeneral(B614,14, 16, 1)</f>
        <v>0</v>
      </c>
      <c r="I614">
        <v>614</v>
      </c>
      <c r="J614">
        <f t="shared" si="54"/>
        <v>-123456789</v>
      </c>
      <c r="K614">
        <f t="shared" si="55"/>
        <v>8.7160000000000011</v>
      </c>
      <c r="L614">
        <f>[1]!XLSTAT_PDFGeneral(J614,17, 1)</f>
        <v>0</v>
      </c>
    </row>
    <row r="615" spans="1:12" x14ac:dyDescent="0.3">
      <c r="A615">
        <v>615</v>
      </c>
      <c r="B615">
        <f t="shared" si="52"/>
        <v>-123456789</v>
      </c>
      <c r="C615">
        <f t="shared" si="53"/>
        <v>16.684000000000001</v>
      </c>
      <c r="D615">
        <f>[1]!XLSTAT_PDFGeneral(B615,14, 16, 1)</f>
        <v>0</v>
      </c>
      <c r="I615">
        <v>615</v>
      </c>
      <c r="J615">
        <f t="shared" si="54"/>
        <v>-123456789</v>
      </c>
      <c r="K615">
        <f t="shared" si="55"/>
        <v>8.702</v>
      </c>
      <c r="L615">
        <f>[1]!XLSTAT_PDFGeneral(J615,17, 1)</f>
        <v>0</v>
      </c>
    </row>
    <row r="616" spans="1:12" x14ac:dyDescent="0.3">
      <c r="A616">
        <v>616</v>
      </c>
      <c r="B616">
        <f t="shared" si="52"/>
        <v>16.684000000000001</v>
      </c>
      <c r="C616">
        <f t="shared" si="53"/>
        <v>16.684000000000001</v>
      </c>
      <c r="D616">
        <f>[1]!XLSTAT_PDFGeneral(B616,14, 16, 1)</f>
        <v>0.31573041922783357</v>
      </c>
      <c r="I616">
        <v>616</v>
      </c>
      <c r="J616">
        <f t="shared" si="54"/>
        <v>8.702</v>
      </c>
      <c r="K616">
        <f t="shared" si="55"/>
        <v>8.702</v>
      </c>
      <c r="L616">
        <f>[1]!XLSTAT_PDFGeneral(J616,17, 1)</f>
        <v>9.1239940766726766E-6</v>
      </c>
    </row>
    <row r="617" spans="1:12" x14ac:dyDescent="0.3">
      <c r="A617">
        <v>617</v>
      </c>
      <c r="B617">
        <f t="shared" si="52"/>
        <v>16.696000000000002</v>
      </c>
      <c r="C617">
        <f t="shared" si="53"/>
        <v>16.696000000000002</v>
      </c>
      <c r="D617">
        <f>[1]!XLSTAT_PDFGeneral(B617,14, 16, 1)</f>
        <v>0.31312696453310351</v>
      </c>
      <c r="I617">
        <v>617</v>
      </c>
      <c r="J617">
        <f t="shared" si="54"/>
        <v>8.6879999999999988</v>
      </c>
      <c r="K617">
        <f t="shared" si="55"/>
        <v>8.6879999999999988</v>
      </c>
      <c r="L617">
        <f>[1]!XLSTAT_PDFGeneral(J617,17, 1)</f>
        <v>9.1239940766726766E-6</v>
      </c>
    </row>
    <row r="618" spans="1:12" x14ac:dyDescent="0.3">
      <c r="A618">
        <v>618</v>
      </c>
      <c r="B618">
        <f t="shared" si="52"/>
        <v>-123456789</v>
      </c>
      <c r="C618">
        <f t="shared" si="53"/>
        <v>16.696000000000002</v>
      </c>
      <c r="D618">
        <f>[1]!XLSTAT_PDFGeneral(B618,14, 16, 1)</f>
        <v>0</v>
      </c>
      <c r="I618">
        <v>618</v>
      </c>
      <c r="J618">
        <f t="shared" si="54"/>
        <v>-123456789</v>
      </c>
      <c r="K618">
        <f t="shared" si="55"/>
        <v>8.6879999999999988</v>
      </c>
      <c r="L618">
        <f>[1]!XLSTAT_PDFGeneral(J618,17, 1)</f>
        <v>0</v>
      </c>
    </row>
    <row r="619" spans="1:12" x14ac:dyDescent="0.3">
      <c r="A619">
        <v>619</v>
      </c>
      <c r="B619">
        <f t="shared" si="52"/>
        <v>-123456789</v>
      </c>
      <c r="C619">
        <f t="shared" si="53"/>
        <v>16.707999999999998</v>
      </c>
      <c r="D619">
        <f>[1]!XLSTAT_PDFGeneral(B619,14, 16, 1)</f>
        <v>0</v>
      </c>
      <c r="I619">
        <v>619</v>
      </c>
      <c r="J619">
        <f t="shared" si="54"/>
        <v>-123456789</v>
      </c>
      <c r="K619">
        <f t="shared" si="55"/>
        <v>8.6739999999999995</v>
      </c>
      <c r="L619">
        <f>[1]!XLSTAT_PDFGeneral(J619,17, 1)</f>
        <v>0</v>
      </c>
    </row>
    <row r="620" spans="1:12" x14ac:dyDescent="0.3">
      <c r="A620">
        <v>620</v>
      </c>
      <c r="B620">
        <f t="shared" si="52"/>
        <v>16.707999999999998</v>
      </c>
      <c r="C620">
        <f t="shared" si="53"/>
        <v>16.707999999999998</v>
      </c>
      <c r="D620">
        <f>[1]!XLSTAT_PDFGeneral(B620,14, 16, 1)</f>
        <v>0.31050026218753157</v>
      </c>
      <c r="I620">
        <v>620</v>
      </c>
      <c r="J620">
        <f t="shared" si="54"/>
        <v>8.6739999999999995</v>
      </c>
      <c r="K620">
        <f t="shared" si="55"/>
        <v>8.6739999999999995</v>
      </c>
      <c r="L620">
        <f>[1]!XLSTAT_PDFGeneral(J620,17, 1)</f>
        <v>9.1239940766726766E-6</v>
      </c>
    </row>
    <row r="621" spans="1:12" x14ac:dyDescent="0.3">
      <c r="A621">
        <v>621</v>
      </c>
      <c r="B621">
        <f t="shared" si="52"/>
        <v>16.72</v>
      </c>
      <c r="C621">
        <f t="shared" si="53"/>
        <v>16.72</v>
      </c>
      <c r="D621">
        <f>[1]!XLSTAT_PDFGeneral(B621,14, 16, 1)</f>
        <v>0.30785126046985317</v>
      </c>
      <c r="I621">
        <v>621</v>
      </c>
      <c r="J621">
        <f t="shared" si="54"/>
        <v>8.66</v>
      </c>
      <c r="K621">
        <f t="shared" si="55"/>
        <v>8.66</v>
      </c>
      <c r="L621">
        <f>[1]!XLSTAT_PDFGeneral(J621,17, 1)</f>
        <v>9.1239940766726766E-6</v>
      </c>
    </row>
    <row r="622" spans="1:12" x14ac:dyDescent="0.3">
      <c r="A622">
        <v>622</v>
      </c>
      <c r="B622">
        <f t="shared" si="52"/>
        <v>-123456789</v>
      </c>
      <c r="C622">
        <f t="shared" si="53"/>
        <v>16.72</v>
      </c>
      <c r="D622">
        <f>[1]!XLSTAT_PDFGeneral(B622,14, 16, 1)</f>
        <v>0</v>
      </c>
      <c r="I622">
        <v>622</v>
      </c>
      <c r="J622">
        <f t="shared" si="54"/>
        <v>-123456789</v>
      </c>
      <c r="K622">
        <f t="shared" si="55"/>
        <v>8.66</v>
      </c>
      <c r="L622">
        <f>[1]!XLSTAT_PDFGeneral(J622,17, 1)</f>
        <v>0</v>
      </c>
    </row>
    <row r="623" spans="1:12" x14ac:dyDescent="0.3">
      <c r="A623">
        <v>623</v>
      </c>
      <c r="B623">
        <f t="shared" si="52"/>
        <v>-123456789</v>
      </c>
      <c r="C623">
        <f t="shared" si="53"/>
        <v>16.731999999999999</v>
      </c>
      <c r="D623">
        <f>[1]!XLSTAT_PDFGeneral(B623,14, 16, 1)</f>
        <v>0</v>
      </c>
      <c r="I623">
        <v>623</v>
      </c>
      <c r="J623">
        <f t="shared" si="54"/>
        <v>-123456789</v>
      </c>
      <c r="K623">
        <f t="shared" si="55"/>
        <v>8.6460000000000008</v>
      </c>
      <c r="L623">
        <f>[1]!XLSTAT_PDFGeneral(J623,17, 1)</f>
        <v>0</v>
      </c>
    </row>
    <row r="624" spans="1:12" x14ac:dyDescent="0.3">
      <c r="A624">
        <v>624</v>
      </c>
      <c r="B624">
        <f t="shared" si="52"/>
        <v>16.731999999999999</v>
      </c>
      <c r="C624">
        <f t="shared" si="53"/>
        <v>16.731999999999999</v>
      </c>
      <c r="D624">
        <f>[1]!XLSTAT_PDFGeneral(B624,14, 16, 1)</f>
        <v>0.30518090922836294</v>
      </c>
      <c r="I624">
        <v>624</v>
      </c>
      <c r="J624">
        <f t="shared" si="54"/>
        <v>8.6460000000000008</v>
      </c>
      <c r="K624">
        <f t="shared" si="55"/>
        <v>8.6460000000000008</v>
      </c>
      <c r="L624">
        <f>[1]!XLSTAT_PDFGeneral(J624,17, 1)</f>
        <v>9.1239940766726766E-6</v>
      </c>
    </row>
    <row r="625" spans="1:12" x14ac:dyDescent="0.3">
      <c r="A625">
        <v>625</v>
      </c>
      <c r="B625">
        <f t="shared" si="52"/>
        <v>16.744</v>
      </c>
      <c r="C625">
        <f t="shared" si="53"/>
        <v>16.744</v>
      </c>
      <c r="D625">
        <f>[1]!XLSTAT_PDFGeneral(B625,14, 16, 1)</f>
        <v>0.30249015932280476</v>
      </c>
      <c r="I625">
        <v>625</v>
      </c>
      <c r="J625">
        <f t="shared" si="54"/>
        <v>8.6319999999999997</v>
      </c>
      <c r="K625">
        <f t="shared" si="55"/>
        <v>8.6319999999999997</v>
      </c>
      <c r="L625">
        <f>[1]!XLSTAT_PDFGeneral(J625,17, 1)</f>
        <v>9.1239940766726766E-6</v>
      </c>
    </row>
    <row r="626" spans="1:12" x14ac:dyDescent="0.3">
      <c r="A626">
        <v>626</v>
      </c>
      <c r="B626">
        <f t="shared" si="52"/>
        <v>-123456789</v>
      </c>
      <c r="C626">
        <f t="shared" si="53"/>
        <v>16.744</v>
      </c>
      <c r="D626">
        <f>[1]!XLSTAT_PDFGeneral(B626,14, 16, 1)</f>
        <v>0</v>
      </c>
      <c r="I626">
        <v>626</v>
      </c>
      <c r="J626">
        <f t="shared" si="54"/>
        <v>-123456789</v>
      </c>
      <c r="K626">
        <f t="shared" si="55"/>
        <v>8.6319999999999997</v>
      </c>
      <c r="L626">
        <f>[1]!XLSTAT_PDFGeneral(J626,17, 1)</f>
        <v>0</v>
      </c>
    </row>
    <row r="627" spans="1:12" x14ac:dyDescent="0.3">
      <c r="A627">
        <v>627</v>
      </c>
      <c r="B627">
        <f t="shared" si="52"/>
        <v>-123456789</v>
      </c>
      <c r="C627">
        <f t="shared" si="53"/>
        <v>16.756</v>
      </c>
      <c r="D627">
        <f>[1]!XLSTAT_PDFGeneral(B627,14, 16, 1)</f>
        <v>0</v>
      </c>
      <c r="I627">
        <v>627</v>
      </c>
      <c r="J627">
        <f t="shared" si="54"/>
        <v>-123456789</v>
      </c>
      <c r="K627">
        <f t="shared" si="55"/>
        <v>8.6180000000000003</v>
      </c>
      <c r="L627">
        <f>[1]!XLSTAT_PDFGeneral(J627,17, 1)</f>
        <v>0</v>
      </c>
    </row>
    <row r="628" spans="1:12" x14ac:dyDescent="0.3">
      <c r="A628">
        <v>628</v>
      </c>
      <c r="B628">
        <f t="shared" si="52"/>
        <v>16.756</v>
      </c>
      <c r="C628">
        <f t="shared" si="53"/>
        <v>16.756</v>
      </c>
      <c r="D628">
        <f>[1]!XLSTAT_PDFGeneral(B628,14, 16, 1)</f>
        <v>0.29977996207034224</v>
      </c>
      <c r="I628">
        <v>628</v>
      </c>
      <c r="J628">
        <f t="shared" si="54"/>
        <v>8.6180000000000003</v>
      </c>
      <c r="K628">
        <f t="shared" si="55"/>
        <v>8.6180000000000003</v>
      </c>
      <c r="L628">
        <f>[1]!XLSTAT_PDFGeneral(J628,17, 1)</f>
        <v>9.1239940766726766E-6</v>
      </c>
    </row>
    <row r="629" spans="1:12" x14ac:dyDescent="0.3">
      <c r="A629">
        <v>629</v>
      </c>
      <c r="B629">
        <f t="shared" si="52"/>
        <v>16.768000000000001</v>
      </c>
      <c r="C629">
        <f t="shared" si="53"/>
        <v>16.768000000000001</v>
      </c>
      <c r="D629">
        <f>[1]!XLSTAT_PDFGeneral(B629,14, 16, 1)</f>
        <v>0.29705126869604498</v>
      </c>
      <c r="I629">
        <v>629</v>
      </c>
      <c r="J629">
        <f t="shared" si="54"/>
        <v>8.6039999999999992</v>
      </c>
      <c r="K629">
        <f t="shared" si="55"/>
        <v>8.6039999999999992</v>
      </c>
      <c r="L629">
        <f>[1]!XLSTAT_PDFGeneral(J629,17, 1)</f>
        <v>9.1239940766726766E-6</v>
      </c>
    </row>
    <row r="630" spans="1:12" x14ac:dyDescent="0.3">
      <c r="A630">
        <v>630</v>
      </c>
      <c r="B630">
        <f t="shared" si="52"/>
        <v>-123456789</v>
      </c>
      <c r="C630">
        <f t="shared" si="53"/>
        <v>16.768000000000001</v>
      </c>
      <c r="D630">
        <f>[1]!XLSTAT_PDFGeneral(B630,14, 16, 1)</f>
        <v>0</v>
      </c>
      <c r="I630">
        <v>630</v>
      </c>
      <c r="J630">
        <f t="shared" si="54"/>
        <v>-123456789</v>
      </c>
      <c r="K630">
        <f t="shared" si="55"/>
        <v>8.6039999999999992</v>
      </c>
      <c r="L630">
        <f>[1]!XLSTAT_PDFGeneral(J630,17, 1)</f>
        <v>0</v>
      </c>
    </row>
    <row r="631" spans="1:12" x14ac:dyDescent="0.3">
      <c r="A631">
        <v>631</v>
      </c>
      <c r="B631">
        <f t="shared" si="52"/>
        <v>-123456789</v>
      </c>
      <c r="C631">
        <f t="shared" si="53"/>
        <v>16.78</v>
      </c>
      <c r="D631">
        <f>[1]!XLSTAT_PDFGeneral(B631,14, 16, 1)</f>
        <v>0</v>
      </c>
      <c r="I631">
        <v>631</v>
      </c>
      <c r="J631">
        <f t="shared" si="54"/>
        <v>-123456789</v>
      </c>
      <c r="K631">
        <f t="shared" si="55"/>
        <v>8.59</v>
      </c>
      <c r="L631">
        <f>[1]!XLSTAT_PDFGeneral(J631,17, 1)</f>
        <v>0</v>
      </c>
    </row>
    <row r="632" spans="1:12" x14ac:dyDescent="0.3">
      <c r="A632">
        <v>632</v>
      </c>
      <c r="B632">
        <f t="shared" si="52"/>
        <v>16.78</v>
      </c>
      <c r="C632">
        <f t="shared" si="53"/>
        <v>16.78</v>
      </c>
      <c r="D632">
        <f>[1]!XLSTAT_PDFGeneral(B632,14, 16, 1)</f>
        <v>0.2943050297883249</v>
      </c>
      <c r="I632">
        <v>632</v>
      </c>
      <c r="J632">
        <f t="shared" si="54"/>
        <v>8.59</v>
      </c>
      <c r="K632">
        <f t="shared" si="55"/>
        <v>8.59</v>
      </c>
      <c r="L632">
        <f>[1]!XLSTAT_PDFGeneral(J632,17, 1)</f>
        <v>9.1239940766726766E-6</v>
      </c>
    </row>
    <row r="633" spans="1:12" x14ac:dyDescent="0.3">
      <c r="A633">
        <v>633</v>
      </c>
      <c r="B633">
        <f t="shared" si="52"/>
        <v>16.792000000000002</v>
      </c>
      <c r="C633">
        <f t="shared" si="53"/>
        <v>16.792000000000002</v>
      </c>
      <c r="D633">
        <f>[1]!XLSTAT_PDFGeneral(B633,14, 16, 1)</f>
        <v>0.29154219475974685</v>
      </c>
      <c r="I633">
        <v>633</v>
      </c>
      <c r="J633">
        <f t="shared" si="54"/>
        <v>8.5760000000000005</v>
      </c>
      <c r="K633">
        <f t="shared" si="55"/>
        <v>8.5760000000000005</v>
      </c>
      <c r="L633">
        <f>[1]!XLSTAT_PDFGeneral(J633,17, 1)</f>
        <v>9.1239940766726766E-6</v>
      </c>
    </row>
    <row r="634" spans="1:12" x14ac:dyDescent="0.3">
      <c r="A634">
        <v>634</v>
      </c>
      <c r="B634">
        <f t="shared" si="52"/>
        <v>-123456789</v>
      </c>
      <c r="C634">
        <f t="shared" si="53"/>
        <v>16.792000000000002</v>
      </c>
      <c r="D634">
        <f>[1]!XLSTAT_PDFGeneral(B634,14, 16, 1)</f>
        <v>0</v>
      </c>
      <c r="I634">
        <v>634</v>
      </c>
      <c r="J634">
        <f t="shared" si="54"/>
        <v>-123456789</v>
      </c>
      <c r="K634">
        <f t="shared" si="55"/>
        <v>8.5760000000000005</v>
      </c>
      <c r="L634">
        <f>[1]!XLSTAT_PDFGeneral(J634,17, 1)</f>
        <v>0</v>
      </c>
    </row>
    <row r="635" spans="1:12" x14ac:dyDescent="0.3">
      <c r="A635">
        <v>635</v>
      </c>
      <c r="B635">
        <f t="shared" si="52"/>
        <v>-123456789</v>
      </c>
      <c r="C635">
        <f t="shared" si="53"/>
        <v>16.804000000000002</v>
      </c>
      <c r="D635">
        <f>[1]!XLSTAT_PDFGeneral(B635,14, 16, 1)</f>
        <v>0</v>
      </c>
      <c r="I635">
        <v>635</v>
      </c>
      <c r="J635">
        <f t="shared" si="54"/>
        <v>-123456789</v>
      </c>
      <c r="K635">
        <f t="shared" si="55"/>
        <v>8.5620000000000012</v>
      </c>
      <c r="L635">
        <f>[1]!XLSTAT_PDFGeneral(J635,17, 1)</f>
        <v>0</v>
      </c>
    </row>
    <row r="636" spans="1:12" x14ac:dyDescent="0.3">
      <c r="A636">
        <v>636</v>
      </c>
      <c r="B636">
        <f t="shared" si="52"/>
        <v>16.804000000000002</v>
      </c>
      <c r="C636">
        <f t="shared" si="53"/>
        <v>16.804000000000002</v>
      </c>
      <c r="D636">
        <f>[1]!XLSTAT_PDFGeneral(B636,14, 16, 1)</f>
        <v>0.28876371131362744</v>
      </c>
      <c r="I636">
        <v>636</v>
      </c>
      <c r="J636">
        <f t="shared" si="54"/>
        <v>8.5620000000000012</v>
      </c>
      <c r="K636">
        <f t="shared" si="55"/>
        <v>8.5620000000000012</v>
      </c>
      <c r="L636">
        <f>[1]!XLSTAT_PDFGeneral(J636,17, 1)</f>
        <v>9.1239940766726766E-6</v>
      </c>
    </row>
    <row r="637" spans="1:12" x14ac:dyDescent="0.3">
      <c r="A637">
        <v>637</v>
      </c>
      <c r="B637">
        <f t="shared" si="52"/>
        <v>16.815999999999999</v>
      </c>
      <c r="C637">
        <f t="shared" si="53"/>
        <v>16.815999999999999</v>
      </c>
      <c r="D637">
        <f>[1]!XLSTAT_PDFGeneral(B637,14, 16, 1)</f>
        <v>0.28597052491682867</v>
      </c>
      <c r="I637">
        <v>637</v>
      </c>
      <c r="J637">
        <f t="shared" si="54"/>
        <v>8.548</v>
      </c>
      <c r="K637">
        <f t="shared" si="55"/>
        <v>8.548</v>
      </c>
      <c r="L637">
        <f>[1]!XLSTAT_PDFGeneral(J637,17, 1)</f>
        <v>9.1239940766726766E-6</v>
      </c>
    </row>
    <row r="638" spans="1:12" x14ac:dyDescent="0.3">
      <c r="A638">
        <v>638</v>
      </c>
      <c r="B638">
        <f t="shared" si="52"/>
        <v>-123456789</v>
      </c>
      <c r="C638">
        <f t="shared" si="53"/>
        <v>16.815999999999999</v>
      </c>
      <c r="D638">
        <f>[1]!XLSTAT_PDFGeneral(B638,14, 16, 1)</f>
        <v>0</v>
      </c>
      <c r="I638">
        <v>638</v>
      </c>
      <c r="J638">
        <f t="shared" si="54"/>
        <v>-123456789</v>
      </c>
      <c r="K638">
        <f t="shared" si="55"/>
        <v>8.548</v>
      </c>
      <c r="L638">
        <f>[1]!XLSTAT_PDFGeneral(J638,17, 1)</f>
        <v>0</v>
      </c>
    </row>
    <row r="639" spans="1:12" x14ac:dyDescent="0.3">
      <c r="A639">
        <v>639</v>
      </c>
      <c r="B639">
        <f t="shared" si="52"/>
        <v>-123456789</v>
      </c>
      <c r="C639">
        <f t="shared" si="53"/>
        <v>16.827999999999999</v>
      </c>
      <c r="D639">
        <f>[1]!XLSTAT_PDFGeneral(B639,14, 16, 1)</f>
        <v>0</v>
      </c>
      <c r="I639">
        <v>639</v>
      </c>
      <c r="J639">
        <f t="shared" si="54"/>
        <v>-123456789</v>
      </c>
      <c r="K639">
        <f t="shared" si="55"/>
        <v>8.5339999999999989</v>
      </c>
      <c r="L639">
        <f>[1]!XLSTAT_PDFGeneral(J639,17, 1)</f>
        <v>0</v>
      </c>
    </row>
    <row r="640" spans="1:12" x14ac:dyDescent="0.3">
      <c r="A640">
        <v>640</v>
      </c>
      <c r="B640">
        <f t="shared" si="52"/>
        <v>16.827999999999999</v>
      </c>
      <c r="C640">
        <f t="shared" si="53"/>
        <v>16.827999999999999</v>
      </c>
      <c r="D640">
        <f>[1]!XLSTAT_PDFGeneral(B640,14, 16, 1)</f>
        <v>0.28316357827913635</v>
      </c>
      <c r="I640">
        <v>640</v>
      </c>
      <c r="J640">
        <f t="shared" si="54"/>
        <v>8.5339999999999989</v>
      </c>
      <c r="K640">
        <f t="shared" si="55"/>
        <v>8.5339999999999989</v>
      </c>
      <c r="L640">
        <f>[1]!XLSTAT_PDFGeneral(J640,17, 1)</f>
        <v>9.1239940766726766E-6</v>
      </c>
    </row>
    <row r="641" spans="1:12" x14ac:dyDescent="0.3">
      <c r="A641">
        <v>641</v>
      </c>
      <c r="B641">
        <f t="shared" ref="B641:B704" si="56">IF(-1^(INT(A641/2)+2)&gt;0,13+2*INT(A641/2-1/2)*0.006,-123456789)</f>
        <v>16.84</v>
      </c>
      <c r="C641">
        <f t="shared" ref="C641:C704" si="57">13+2*INT(A641/2-1/2)*0.006</f>
        <v>16.84</v>
      </c>
      <c r="D641">
        <f>[1]!XLSTAT_PDFGeneral(B641,14, 16, 1)</f>
        <v>0.28034381083962062</v>
      </c>
      <c r="I641">
        <v>641</v>
      </c>
      <c r="J641">
        <f t="shared" ref="J641:J704" si="58">IF(-1^(INT(I641/2)+2)&gt;0,13+2*INT(I641/2-1/2)*-0.007,-123456789)</f>
        <v>8.52</v>
      </c>
      <c r="K641">
        <f t="shared" ref="K641:K704" si="59">13+2*INT(I641/2-1/2)*-0.007</f>
        <v>8.52</v>
      </c>
      <c r="L641">
        <f>[1]!XLSTAT_PDFGeneral(J641,17, 1)</f>
        <v>9.1239940766726766E-6</v>
      </c>
    </row>
    <row r="642" spans="1:12" x14ac:dyDescent="0.3">
      <c r="A642">
        <v>642</v>
      </c>
      <c r="B642">
        <f t="shared" si="56"/>
        <v>-123456789</v>
      </c>
      <c r="C642">
        <f t="shared" si="57"/>
        <v>16.84</v>
      </c>
      <c r="D642">
        <f>[1]!XLSTAT_PDFGeneral(B642,14, 16, 1)</f>
        <v>0</v>
      </c>
      <c r="I642">
        <v>642</v>
      </c>
      <c r="J642">
        <f t="shared" si="58"/>
        <v>-123456789</v>
      </c>
      <c r="K642">
        <f t="shared" si="59"/>
        <v>8.52</v>
      </c>
      <c r="L642">
        <f>[1]!XLSTAT_PDFGeneral(J642,17, 1)</f>
        <v>0</v>
      </c>
    </row>
    <row r="643" spans="1:12" x14ac:dyDescent="0.3">
      <c r="A643">
        <v>643</v>
      </c>
      <c r="B643">
        <f t="shared" si="56"/>
        <v>-123456789</v>
      </c>
      <c r="C643">
        <f t="shared" si="57"/>
        <v>16.852</v>
      </c>
      <c r="D643">
        <f>[1]!XLSTAT_PDFGeneral(B643,14, 16, 1)</f>
        <v>0</v>
      </c>
      <c r="I643">
        <v>643</v>
      </c>
      <c r="J643">
        <f t="shared" si="58"/>
        <v>-123456789</v>
      </c>
      <c r="K643">
        <f t="shared" si="59"/>
        <v>8.5060000000000002</v>
      </c>
      <c r="L643">
        <f>[1]!XLSTAT_PDFGeneral(J643,17, 1)</f>
        <v>0</v>
      </c>
    </row>
    <row r="644" spans="1:12" x14ac:dyDescent="0.3">
      <c r="A644">
        <v>644</v>
      </c>
      <c r="B644">
        <f t="shared" si="56"/>
        <v>16.852</v>
      </c>
      <c r="C644">
        <f t="shared" si="57"/>
        <v>16.852</v>
      </c>
      <c r="D644">
        <f>[1]!XLSTAT_PDFGeneral(B644,14, 16, 1)</f>
        <v>0.27751215826033604</v>
      </c>
      <c r="I644">
        <v>644</v>
      </c>
      <c r="J644">
        <f t="shared" si="58"/>
        <v>8.5060000000000002</v>
      </c>
      <c r="K644">
        <f t="shared" si="59"/>
        <v>8.5060000000000002</v>
      </c>
      <c r="L644">
        <f>[1]!XLSTAT_PDFGeneral(J644,17, 1)</f>
        <v>9.1239940766726766E-6</v>
      </c>
    </row>
    <row r="645" spans="1:12" x14ac:dyDescent="0.3">
      <c r="A645">
        <v>645</v>
      </c>
      <c r="B645">
        <f t="shared" si="56"/>
        <v>16.864000000000001</v>
      </c>
      <c r="C645">
        <f t="shared" si="57"/>
        <v>16.864000000000001</v>
      </c>
      <c r="D645">
        <f>[1]!XLSTAT_PDFGeneral(B645,14, 16, 1)</f>
        <v>0.27466955192773679</v>
      </c>
      <c r="I645">
        <v>645</v>
      </c>
      <c r="J645">
        <f t="shared" si="58"/>
        <v>8.4920000000000009</v>
      </c>
      <c r="K645">
        <f t="shared" si="59"/>
        <v>8.4920000000000009</v>
      </c>
      <c r="L645">
        <f>[1]!XLSTAT_PDFGeneral(J645,17, 1)</f>
        <v>9.1239940766726766E-6</v>
      </c>
    </row>
    <row r="646" spans="1:12" x14ac:dyDescent="0.3">
      <c r="A646">
        <v>646</v>
      </c>
      <c r="B646">
        <f t="shared" si="56"/>
        <v>-123456789</v>
      </c>
      <c r="C646">
        <f t="shared" si="57"/>
        <v>16.864000000000001</v>
      </c>
      <c r="D646">
        <f>[1]!XLSTAT_PDFGeneral(B646,14, 16, 1)</f>
        <v>0</v>
      </c>
      <c r="I646">
        <v>646</v>
      </c>
      <c r="J646">
        <f t="shared" si="58"/>
        <v>-123456789</v>
      </c>
      <c r="K646">
        <f t="shared" si="59"/>
        <v>8.4920000000000009</v>
      </c>
      <c r="L646">
        <f>[1]!XLSTAT_PDFGeneral(J646,17, 1)</f>
        <v>0</v>
      </c>
    </row>
    <row r="647" spans="1:12" x14ac:dyDescent="0.3">
      <c r="A647">
        <v>647</v>
      </c>
      <c r="B647">
        <f t="shared" si="56"/>
        <v>-123456789</v>
      </c>
      <c r="C647">
        <f t="shared" si="57"/>
        <v>16.876000000000001</v>
      </c>
      <c r="D647">
        <f>[1]!XLSTAT_PDFGeneral(B647,14, 16, 1)</f>
        <v>0</v>
      </c>
      <c r="I647">
        <v>647</v>
      </c>
      <c r="J647">
        <f t="shared" si="58"/>
        <v>-123456789</v>
      </c>
      <c r="K647">
        <f t="shared" si="59"/>
        <v>8.4779999999999998</v>
      </c>
      <c r="L647">
        <f>[1]!XLSTAT_PDFGeneral(J647,17, 1)</f>
        <v>0</v>
      </c>
    </row>
    <row r="648" spans="1:12" x14ac:dyDescent="0.3">
      <c r="A648">
        <v>648</v>
      </c>
      <c r="B648">
        <f t="shared" si="56"/>
        <v>16.876000000000001</v>
      </c>
      <c r="C648">
        <f t="shared" si="57"/>
        <v>16.876000000000001</v>
      </c>
      <c r="D648">
        <f>[1]!XLSTAT_PDFGeneral(B648,14, 16, 1)</f>
        <v>0.27181691846215356</v>
      </c>
      <c r="I648">
        <v>648</v>
      </c>
      <c r="J648">
        <f t="shared" si="58"/>
        <v>8.4779999999999998</v>
      </c>
      <c r="K648">
        <f t="shared" si="59"/>
        <v>8.4779999999999998</v>
      </c>
      <c r="L648">
        <f>[1]!XLSTAT_PDFGeneral(J648,17, 1)</f>
        <v>9.1239940766726766E-6</v>
      </c>
    </row>
    <row r="649" spans="1:12" x14ac:dyDescent="0.3">
      <c r="A649">
        <v>649</v>
      </c>
      <c r="B649">
        <f t="shared" si="56"/>
        <v>16.887999999999998</v>
      </c>
      <c r="C649">
        <f t="shared" si="57"/>
        <v>16.887999999999998</v>
      </c>
      <c r="D649">
        <f>[1]!XLSTAT_PDFGeneral(B649,14, 16, 1)</f>
        <v>0.26895517923567502</v>
      </c>
      <c r="I649">
        <v>649</v>
      </c>
      <c r="J649">
        <f t="shared" si="58"/>
        <v>8.4639999999999986</v>
      </c>
      <c r="K649">
        <f t="shared" si="59"/>
        <v>8.4639999999999986</v>
      </c>
      <c r="L649">
        <f>[1]!XLSTAT_PDFGeneral(J649,17, 1)</f>
        <v>9.1239940766726766E-6</v>
      </c>
    </row>
    <row r="650" spans="1:12" x14ac:dyDescent="0.3">
      <c r="A650">
        <v>650</v>
      </c>
      <c r="B650">
        <f t="shared" si="56"/>
        <v>-123456789</v>
      </c>
      <c r="C650">
        <f t="shared" si="57"/>
        <v>16.887999999999998</v>
      </c>
      <c r="D650">
        <f>[1]!XLSTAT_PDFGeneral(B650,14, 16, 1)</f>
        <v>0</v>
      </c>
      <c r="I650">
        <v>650</v>
      </c>
      <c r="J650">
        <f t="shared" si="58"/>
        <v>-123456789</v>
      </c>
      <c r="K650">
        <f t="shared" si="59"/>
        <v>8.4639999999999986</v>
      </c>
      <c r="L650">
        <f>[1]!XLSTAT_PDFGeneral(J650,17, 1)</f>
        <v>0</v>
      </c>
    </row>
    <row r="651" spans="1:12" x14ac:dyDescent="0.3">
      <c r="A651">
        <v>651</v>
      </c>
      <c r="B651">
        <f t="shared" si="56"/>
        <v>-123456789</v>
      </c>
      <c r="C651">
        <f t="shared" si="57"/>
        <v>16.899999999999999</v>
      </c>
      <c r="D651">
        <f>[1]!XLSTAT_PDFGeneral(B651,14, 16, 1)</f>
        <v>0</v>
      </c>
      <c r="I651">
        <v>651</v>
      </c>
      <c r="J651">
        <f t="shared" si="58"/>
        <v>-123456789</v>
      </c>
      <c r="K651">
        <f t="shared" si="59"/>
        <v>8.4499999999999993</v>
      </c>
      <c r="L651">
        <f>[1]!XLSTAT_PDFGeneral(J651,17, 1)</f>
        <v>0</v>
      </c>
    </row>
    <row r="652" spans="1:12" x14ac:dyDescent="0.3">
      <c r="A652">
        <v>652</v>
      </c>
      <c r="B652">
        <f t="shared" si="56"/>
        <v>16.899999999999999</v>
      </c>
      <c r="C652">
        <f t="shared" si="57"/>
        <v>16.899999999999999</v>
      </c>
      <c r="D652">
        <f>[1]!XLSTAT_PDFGeneral(B652,14, 16, 1)</f>
        <v>0.26608524989875521</v>
      </c>
      <c r="I652">
        <v>652</v>
      </c>
      <c r="J652">
        <f t="shared" si="58"/>
        <v>8.4499999999999993</v>
      </c>
      <c r="K652">
        <f t="shared" si="59"/>
        <v>8.4499999999999993</v>
      </c>
      <c r="L652">
        <f>[1]!XLSTAT_PDFGeneral(J652,17, 1)</f>
        <v>9.1239940766726766E-6</v>
      </c>
    </row>
    <row r="653" spans="1:12" x14ac:dyDescent="0.3">
      <c r="A653">
        <v>653</v>
      </c>
      <c r="B653">
        <f t="shared" si="56"/>
        <v>16.911999999999999</v>
      </c>
      <c r="C653">
        <f t="shared" si="57"/>
        <v>16.911999999999999</v>
      </c>
      <c r="D653">
        <f>[1]!XLSTAT_PDFGeneral(B653,14, 16, 1)</f>
        <v>0.26320803991587732</v>
      </c>
      <c r="I653">
        <v>653</v>
      </c>
      <c r="J653">
        <f t="shared" si="58"/>
        <v>8.4359999999999999</v>
      </c>
      <c r="K653">
        <f t="shared" si="59"/>
        <v>8.4359999999999999</v>
      </c>
      <c r="L653">
        <f>[1]!XLSTAT_PDFGeneral(J653,17, 1)</f>
        <v>9.1239940766726766E-6</v>
      </c>
    </row>
    <row r="654" spans="1:12" x14ac:dyDescent="0.3">
      <c r="A654">
        <v>654</v>
      </c>
      <c r="B654">
        <f t="shared" si="56"/>
        <v>-123456789</v>
      </c>
      <c r="C654">
        <f t="shared" si="57"/>
        <v>16.911999999999999</v>
      </c>
      <c r="D654">
        <f>[1]!XLSTAT_PDFGeneral(B654,14, 16, 1)</f>
        <v>0</v>
      </c>
      <c r="I654">
        <v>654</v>
      </c>
      <c r="J654">
        <f t="shared" si="58"/>
        <v>-123456789</v>
      </c>
      <c r="K654">
        <f t="shared" si="59"/>
        <v>8.4359999999999999</v>
      </c>
      <c r="L654">
        <f>[1]!XLSTAT_PDFGeneral(J654,17, 1)</f>
        <v>0</v>
      </c>
    </row>
    <row r="655" spans="1:12" x14ac:dyDescent="0.3">
      <c r="A655">
        <v>655</v>
      </c>
      <c r="B655">
        <f t="shared" si="56"/>
        <v>-123456789</v>
      </c>
      <c r="C655">
        <f t="shared" si="57"/>
        <v>16.923999999999999</v>
      </c>
      <c r="D655">
        <f>[1]!XLSTAT_PDFGeneral(B655,14, 16, 1)</f>
        <v>0</v>
      </c>
      <c r="I655">
        <v>655</v>
      </c>
      <c r="J655">
        <f t="shared" si="58"/>
        <v>-123456789</v>
      </c>
      <c r="K655">
        <f t="shared" si="59"/>
        <v>8.4220000000000006</v>
      </c>
      <c r="L655">
        <f>[1]!XLSTAT_PDFGeneral(J655,17, 1)</f>
        <v>0</v>
      </c>
    </row>
    <row r="656" spans="1:12" x14ac:dyDescent="0.3">
      <c r="A656">
        <v>656</v>
      </c>
      <c r="B656">
        <f t="shared" si="56"/>
        <v>16.923999999999999</v>
      </c>
      <c r="C656">
        <f t="shared" si="57"/>
        <v>16.923999999999999</v>
      </c>
      <c r="D656">
        <f>[1]!XLSTAT_PDFGeneral(B656,14, 16, 1)</f>
        <v>0.26032445211056043</v>
      </c>
      <c r="I656">
        <v>656</v>
      </c>
      <c r="J656">
        <f t="shared" si="58"/>
        <v>8.4220000000000006</v>
      </c>
      <c r="K656">
        <f t="shared" si="59"/>
        <v>8.4220000000000006</v>
      </c>
      <c r="L656">
        <f>[1]!XLSTAT_PDFGeneral(J656,17, 1)</f>
        <v>9.1239940766726766E-6</v>
      </c>
    </row>
    <row r="657" spans="1:12" x14ac:dyDescent="0.3">
      <c r="A657">
        <v>657</v>
      </c>
      <c r="B657">
        <f t="shared" si="56"/>
        <v>16.936</v>
      </c>
      <c r="C657">
        <f t="shared" si="57"/>
        <v>16.936</v>
      </c>
      <c r="D657">
        <f>[1]!XLSTAT_PDFGeneral(B657,14, 16, 1)</f>
        <v>0.25743538222001205</v>
      </c>
      <c r="I657">
        <v>657</v>
      </c>
      <c r="J657">
        <f t="shared" si="58"/>
        <v>8.4079999999999995</v>
      </c>
      <c r="K657">
        <f t="shared" si="59"/>
        <v>8.4079999999999995</v>
      </c>
      <c r="L657">
        <f>[1]!XLSTAT_PDFGeneral(J657,17, 1)</f>
        <v>9.1239940766726766E-6</v>
      </c>
    </row>
    <row r="658" spans="1:12" x14ac:dyDescent="0.3">
      <c r="A658">
        <v>658</v>
      </c>
      <c r="B658">
        <f t="shared" si="56"/>
        <v>-123456789</v>
      </c>
      <c r="C658">
        <f t="shared" si="57"/>
        <v>16.936</v>
      </c>
      <c r="D658">
        <f>[1]!XLSTAT_PDFGeneral(B658,14, 16, 1)</f>
        <v>0</v>
      </c>
      <c r="I658">
        <v>658</v>
      </c>
      <c r="J658">
        <f t="shared" si="58"/>
        <v>-123456789</v>
      </c>
      <c r="K658">
        <f t="shared" si="59"/>
        <v>8.4079999999999995</v>
      </c>
      <c r="L658">
        <f>[1]!XLSTAT_PDFGeneral(J658,17, 1)</f>
        <v>0</v>
      </c>
    </row>
    <row r="659" spans="1:12" x14ac:dyDescent="0.3">
      <c r="A659">
        <v>659</v>
      </c>
      <c r="B659">
        <f t="shared" si="56"/>
        <v>-123456789</v>
      </c>
      <c r="C659">
        <f t="shared" si="57"/>
        <v>16.948</v>
      </c>
      <c r="D659">
        <f>[1]!XLSTAT_PDFGeneral(B659,14, 16, 1)</f>
        <v>0</v>
      </c>
      <c r="I659">
        <v>659</v>
      </c>
      <c r="J659">
        <f t="shared" si="58"/>
        <v>-123456789</v>
      </c>
      <c r="K659">
        <f t="shared" si="59"/>
        <v>8.3940000000000001</v>
      </c>
      <c r="L659">
        <f>[1]!XLSTAT_PDFGeneral(J659,17, 1)</f>
        <v>0</v>
      </c>
    </row>
    <row r="660" spans="1:12" x14ac:dyDescent="0.3">
      <c r="A660">
        <v>660</v>
      </c>
      <c r="B660">
        <f t="shared" si="56"/>
        <v>16.948</v>
      </c>
      <c r="C660">
        <f t="shared" si="57"/>
        <v>16.948</v>
      </c>
      <c r="D660">
        <f>[1]!XLSTAT_PDFGeneral(B660,14, 16, 1)</f>
        <v>0.25454171845970119</v>
      </c>
      <c r="I660">
        <v>660</v>
      </c>
      <c r="J660">
        <f t="shared" si="58"/>
        <v>8.3940000000000001</v>
      </c>
      <c r="K660">
        <f t="shared" si="59"/>
        <v>8.3940000000000001</v>
      </c>
      <c r="L660">
        <f>[1]!XLSTAT_PDFGeneral(J660,17, 1)</f>
        <v>9.1239940766726766E-6</v>
      </c>
    </row>
    <row r="661" spans="1:12" x14ac:dyDescent="0.3">
      <c r="A661">
        <v>661</v>
      </c>
      <c r="B661">
        <f t="shared" si="56"/>
        <v>16.96</v>
      </c>
      <c r="C661">
        <f t="shared" si="57"/>
        <v>16.96</v>
      </c>
      <c r="D661">
        <f>[1]!XLSTAT_PDFGeneral(B661,14, 16, 1)</f>
        <v>0.25164434109811695</v>
      </c>
      <c r="I661">
        <v>661</v>
      </c>
      <c r="J661">
        <f t="shared" si="58"/>
        <v>8.379999999999999</v>
      </c>
      <c r="K661">
        <f t="shared" si="59"/>
        <v>8.379999999999999</v>
      </c>
      <c r="L661">
        <f>[1]!XLSTAT_PDFGeneral(J661,17, 1)</f>
        <v>9.1239940766726766E-6</v>
      </c>
    </row>
    <row r="662" spans="1:12" x14ac:dyDescent="0.3">
      <c r="A662">
        <v>662</v>
      </c>
      <c r="B662">
        <f t="shared" si="56"/>
        <v>-123456789</v>
      </c>
      <c r="C662">
        <f t="shared" si="57"/>
        <v>16.96</v>
      </c>
      <c r="D662">
        <f>[1]!XLSTAT_PDFGeneral(B662,14, 16, 1)</f>
        <v>0</v>
      </c>
      <c r="I662">
        <v>662</v>
      </c>
      <c r="J662">
        <f t="shared" si="58"/>
        <v>-123456789</v>
      </c>
      <c r="K662">
        <f t="shared" si="59"/>
        <v>8.379999999999999</v>
      </c>
      <c r="L662">
        <f>[1]!XLSTAT_PDFGeneral(J662,17, 1)</f>
        <v>0</v>
      </c>
    </row>
    <row r="663" spans="1:12" x14ac:dyDescent="0.3">
      <c r="A663">
        <v>663</v>
      </c>
      <c r="B663">
        <f t="shared" si="56"/>
        <v>-123456789</v>
      </c>
      <c r="C663">
        <f t="shared" si="57"/>
        <v>16.972000000000001</v>
      </c>
      <c r="D663">
        <f>[1]!XLSTAT_PDFGeneral(B663,14, 16, 1)</f>
        <v>0</v>
      </c>
      <c r="I663">
        <v>663</v>
      </c>
      <c r="J663">
        <f t="shared" si="58"/>
        <v>-123456789</v>
      </c>
      <c r="K663">
        <f t="shared" si="59"/>
        <v>8.3659999999999997</v>
      </c>
      <c r="L663">
        <f>[1]!XLSTAT_PDFGeneral(J663,17, 1)</f>
        <v>0</v>
      </c>
    </row>
    <row r="664" spans="1:12" x14ac:dyDescent="0.3">
      <c r="A664">
        <v>664</v>
      </c>
      <c r="B664">
        <f t="shared" si="56"/>
        <v>16.972000000000001</v>
      </c>
      <c r="C664">
        <f t="shared" si="57"/>
        <v>16.972000000000001</v>
      </c>
      <c r="D664">
        <f>[1]!XLSTAT_PDFGeneral(B664,14, 16, 1)</f>
        <v>0.24874412204196589</v>
      </c>
      <c r="I664">
        <v>664</v>
      </c>
      <c r="J664">
        <f t="shared" si="58"/>
        <v>8.3659999999999997</v>
      </c>
      <c r="K664">
        <f t="shared" si="59"/>
        <v>8.3659999999999997</v>
      </c>
      <c r="L664">
        <f>[1]!XLSTAT_PDFGeneral(J664,17, 1)</f>
        <v>9.1239940766726766E-6</v>
      </c>
    </row>
    <row r="665" spans="1:12" x14ac:dyDescent="0.3">
      <c r="A665">
        <v>665</v>
      </c>
      <c r="B665">
        <f t="shared" si="56"/>
        <v>16.984000000000002</v>
      </c>
      <c r="C665">
        <f t="shared" si="57"/>
        <v>16.984000000000002</v>
      </c>
      <c r="D665">
        <f>[1]!XLSTAT_PDFGeneral(B665,14, 16, 1)</f>
        <v>0.24584192443204678</v>
      </c>
      <c r="I665">
        <v>665</v>
      </c>
      <c r="J665">
        <f t="shared" si="58"/>
        <v>8.3520000000000003</v>
      </c>
      <c r="K665">
        <f t="shared" si="59"/>
        <v>8.3520000000000003</v>
      </c>
      <c r="L665">
        <f>[1]!XLSTAT_PDFGeneral(J665,17, 1)</f>
        <v>9.1239940766726766E-6</v>
      </c>
    </row>
    <row r="666" spans="1:12" x14ac:dyDescent="0.3">
      <c r="A666">
        <v>666</v>
      </c>
      <c r="B666">
        <f t="shared" si="56"/>
        <v>-123456789</v>
      </c>
      <c r="C666">
        <f t="shared" si="57"/>
        <v>16.984000000000002</v>
      </c>
      <c r="D666">
        <f>[1]!XLSTAT_PDFGeneral(B666,14, 16, 1)</f>
        <v>0</v>
      </c>
      <c r="I666">
        <v>666</v>
      </c>
      <c r="J666">
        <f t="shared" si="58"/>
        <v>-123456789</v>
      </c>
      <c r="K666">
        <f t="shared" si="59"/>
        <v>8.3520000000000003</v>
      </c>
      <c r="L666">
        <f>[1]!XLSTAT_PDFGeneral(J666,17, 1)</f>
        <v>0</v>
      </c>
    </row>
    <row r="667" spans="1:12" x14ac:dyDescent="0.3">
      <c r="A667">
        <v>667</v>
      </c>
      <c r="B667">
        <f t="shared" si="56"/>
        <v>-123456789</v>
      </c>
      <c r="C667">
        <f t="shared" si="57"/>
        <v>16.995999999999999</v>
      </c>
      <c r="D667">
        <f>[1]!XLSTAT_PDFGeneral(B667,14, 16, 1)</f>
        <v>0</v>
      </c>
      <c r="I667">
        <v>667</v>
      </c>
      <c r="J667">
        <f t="shared" si="58"/>
        <v>-123456789</v>
      </c>
      <c r="K667">
        <f t="shared" si="59"/>
        <v>8.338000000000001</v>
      </c>
      <c r="L667">
        <f>[1]!XLSTAT_PDFGeneral(J667,17, 1)</f>
        <v>0</v>
      </c>
    </row>
    <row r="668" spans="1:12" x14ac:dyDescent="0.3">
      <c r="A668">
        <v>668</v>
      </c>
      <c r="B668">
        <f t="shared" si="56"/>
        <v>16.995999999999999</v>
      </c>
      <c r="C668">
        <f t="shared" si="57"/>
        <v>16.995999999999999</v>
      </c>
      <c r="D668">
        <f>[1]!XLSTAT_PDFGeneral(B668,14, 16, 1)</f>
        <v>0.2429386022500285</v>
      </c>
      <c r="I668">
        <v>668</v>
      </c>
      <c r="J668">
        <f t="shared" si="58"/>
        <v>8.338000000000001</v>
      </c>
      <c r="K668">
        <f t="shared" si="59"/>
        <v>8.338000000000001</v>
      </c>
      <c r="L668">
        <f>[1]!XLSTAT_PDFGeneral(J668,17, 1)</f>
        <v>9.1239940766726766E-6</v>
      </c>
    </row>
    <row r="669" spans="1:12" x14ac:dyDescent="0.3">
      <c r="A669">
        <v>669</v>
      </c>
      <c r="B669">
        <f t="shared" si="56"/>
        <v>17.007999999999999</v>
      </c>
      <c r="C669">
        <f t="shared" si="57"/>
        <v>17.007999999999999</v>
      </c>
      <c r="D669">
        <f>[1]!XLSTAT_PDFGeneral(B669,14, 16, 1)</f>
        <v>0.24003499993633973</v>
      </c>
      <c r="I669">
        <v>669</v>
      </c>
      <c r="J669">
        <f t="shared" si="58"/>
        <v>8.3239999999999998</v>
      </c>
      <c r="K669">
        <f t="shared" si="59"/>
        <v>8.3239999999999998</v>
      </c>
      <c r="L669">
        <f>[1]!XLSTAT_PDFGeneral(J669,17, 1)</f>
        <v>9.1239940766726766E-6</v>
      </c>
    </row>
    <row r="670" spans="1:12" x14ac:dyDescent="0.3">
      <c r="A670">
        <v>670</v>
      </c>
      <c r="B670">
        <f t="shared" si="56"/>
        <v>-123456789</v>
      </c>
      <c r="C670">
        <f t="shared" si="57"/>
        <v>17.007999999999999</v>
      </c>
      <c r="D670">
        <f>[1]!XLSTAT_PDFGeneral(B670,14, 16, 1)</f>
        <v>0</v>
      </c>
      <c r="I670">
        <v>670</v>
      </c>
      <c r="J670">
        <f t="shared" si="58"/>
        <v>-123456789</v>
      </c>
      <c r="K670">
        <f t="shared" si="59"/>
        <v>8.3239999999999998</v>
      </c>
      <c r="L670">
        <f>[1]!XLSTAT_PDFGeneral(J670,17, 1)</f>
        <v>0</v>
      </c>
    </row>
    <row r="671" spans="1:12" x14ac:dyDescent="0.3">
      <c r="A671">
        <v>671</v>
      </c>
      <c r="B671">
        <f t="shared" si="56"/>
        <v>-123456789</v>
      </c>
      <c r="C671">
        <f t="shared" si="57"/>
        <v>17.02</v>
      </c>
      <c r="D671">
        <f>[1]!XLSTAT_PDFGeneral(B671,14, 16, 1)</f>
        <v>0</v>
      </c>
      <c r="I671">
        <v>671</v>
      </c>
      <c r="J671">
        <f t="shared" si="58"/>
        <v>-123456789</v>
      </c>
      <c r="K671">
        <f t="shared" si="59"/>
        <v>8.3099999999999987</v>
      </c>
      <c r="L671">
        <f>[1]!XLSTAT_PDFGeneral(J671,17, 1)</f>
        <v>0</v>
      </c>
    </row>
    <row r="672" spans="1:12" x14ac:dyDescent="0.3">
      <c r="A672">
        <v>672</v>
      </c>
      <c r="B672">
        <f t="shared" si="56"/>
        <v>17.02</v>
      </c>
      <c r="C672">
        <f t="shared" si="57"/>
        <v>17.02</v>
      </c>
      <c r="D672">
        <f>[1]!XLSTAT_PDFGeneral(B672,14, 16, 1)</f>
        <v>0.2371319520193797</v>
      </c>
      <c r="I672">
        <v>672</v>
      </c>
      <c r="J672">
        <f t="shared" si="58"/>
        <v>8.3099999999999987</v>
      </c>
      <c r="K672">
        <f t="shared" si="59"/>
        <v>8.3099999999999987</v>
      </c>
      <c r="L672">
        <f>[1]!XLSTAT_PDFGeneral(J672,17, 1)</f>
        <v>9.1239940766726766E-6</v>
      </c>
    </row>
    <row r="673" spans="1:12" x14ac:dyDescent="0.3">
      <c r="A673">
        <v>673</v>
      </c>
      <c r="B673">
        <f t="shared" si="56"/>
        <v>17.032</v>
      </c>
      <c r="C673">
        <f t="shared" si="57"/>
        <v>17.032</v>
      </c>
      <c r="D673">
        <f>[1]!XLSTAT_PDFGeneral(B673,14, 16, 1)</f>
        <v>0.23423028275621952</v>
      </c>
      <c r="I673">
        <v>673</v>
      </c>
      <c r="J673">
        <f t="shared" si="58"/>
        <v>8.2959999999999994</v>
      </c>
      <c r="K673">
        <f t="shared" si="59"/>
        <v>8.2959999999999994</v>
      </c>
      <c r="L673">
        <f>[1]!XLSTAT_PDFGeneral(J673,17, 1)</f>
        <v>9.1239940766726766E-6</v>
      </c>
    </row>
    <row r="674" spans="1:12" x14ac:dyDescent="0.3">
      <c r="A674">
        <v>674</v>
      </c>
      <c r="B674">
        <f t="shared" si="56"/>
        <v>-123456789</v>
      </c>
      <c r="C674">
        <f t="shared" si="57"/>
        <v>17.032</v>
      </c>
      <c r="D674">
        <f>[1]!XLSTAT_PDFGeneral(B674,14, 16, 1)</f>
        <v>0</v>
      </c>
      <c r="I674">
        <v>674</v>
      </c>
      <c r="J674">
        <f t="shared" si="58"/>
        <v>-123456789</v>
      </c>
      <c r="K674">
        <f t="shared" si="59"/>
        <v>8.2959999999999994</v>
      </c>
      <c r="L674">
        <f>[1]!XLSTAT_PDFGeneral(J674,17, 1)</f>
        <v>0</v>
      </c>
    </row>
    <row r="675" spans="1:12" x14ac:dyDescent="0.3">
      <c r="A675">
        <v>675</v>
      </c>
      <c r="B675">
        <f t="shared" si="56"/>
        <v>-123456789</v>
      </c>
      <c r="C675">
        <f t="shared" si="57"/>
        <v>17.044</v>
      </c>
      <c r="D675">
        <f>[1]!XLSTAT_PDFGeneral(B675,14, 16, 1)</f>
        <v>0</v>
      </c>
      <c r="I675">
        <v>675</v>
      </c>
      <c r="J675">
        <f t="shared" si="58"/>
        <v>-123456789</v>
      </c>
      <c r="K675">
        <f t="shared" si="59"/>
        <v>8.282</v>
      </c>
      <c r="L675">
        <f>[1]!XLSTAT_PDFGeneral(J675,17, 1)</f>
        <v>0</v>
      </c>
    </row>
    <row r="676" spans="1:12" x14ac:dyDescent="0.3">
      <c r="A676">
        <v>676</v>
      </c>
      <c r="B676">
        <f t="shared" si="56"/>
        <v>17.044</v>
      </c>
      <c r="C676">
        <f t="shared" si="57"/>
        <v>17.044</v>
      </c>
      <c r="D676">
        <f>[1]!XLSTAT_PDFGeneral(B676,14, 16, 1)</f>
        <v>0.2313308057849767</v>
      </c>
      <c r="I676">
        <v>676</v>
      </c>
      <c r="J676">
        <f t="shared" si="58"/>
        <v>8.282</v>
      </c>
      <c r="K676">
        <f t="shared" si="59"/>
        <v>8.282</v>
      </c>
      <c r="L676">
        <f>[1]!XLSTAT_PDFGeneral(J676,17, 1)</f>
        <v>9.1239940766726766E-6</v>
      </c>
    </row>
    <row r="677" spans="1:12" x14ac:dyDescent="0.3">
      <c r="A677">
        <v>677</v>
      </c>
      <c r="B677">
        <f t="shared" si="56"/>
        <v>17.056000000000001</v>
      </c>
      <c r="C677">
        <f t="shared" si="57"/>
        <v>17.056000000000001</v>
      </c>
      <c r="D677">
        <f>[1]!XLSTAT_PDFGeneral(B677,14, 16, 1)</f>
        <v>0.22843432378901582</v>
      </c>
      <c r="I677">
        <v>677</v>
      </c>
      <c r="J677">
        <f t="shared" si="58"/>
        <v>8.2680000000000007</v>
      </c>
      <c r="K677">
        <f t="shared" si="59"/>
        <v>8.2680000000000007</v>
      </c>
      <c r="L677">
        <f>[1]!XLSTAT_PDFGeneral(J677,17, 1)</f>
        <v>9.1239940766726766E-6</v>
      </c>
    </row>
    <row r="678" spans="1:12" x14ac:dyDescent="0.3">
      <c r="A678">
        <v>678</v>
      </c>
      <c r="B678">
        <f t="shared" si="56"/>
        <v>-123456789</v>
      </c>
      <c r="C678">
        <f t="shared" si="57"/>
        <v>17.056000000000001</v>
      </c>
      <c r="D678">
        <f>[1]!XLSTAT_PDFGeneral(B678,14, 16, 1)</f>
        <v>0</v>
      </c>
      <c r="I678">
        <v>678</v>
      </c>
      <c r="J678">
        <f t="shared" si="58"/>
        <v>-123456789</v>
      </c>
      <c r="K678">
        <f t="shared" si="59"/>
        <v>8.2680000000000007</v>
      </c>
      <c r="L678">
        <f>[1]!XLSTAT_PDFGeneral(J678,17, 1)</f>
        <v>0</v>
      </c>
    </row>
    <row r="679" spans="1:12" x14ac:dyDescent="0.3">
      <c r="A679">
        <v>679</v>
      </c>
      <c r="B679">
        <f t="shared" si="56"/>
        <v>-123456789</v>
      </c>
      <c r="C679">
        <f t="shared" si="57"/>
        <v>17.068000000000001</v>
      </c>
      <c r="D679">
        <f>[1]!XLSTAT_PDFGeneral(B679,14, 16, 1)</f>
        <v>0</v>
      </c>
      <c r="I679">
        <v>679</v>
      </c>
      <c r="J679">
        <f t="shared" si="58"/>
        <v>-123456789</v>
      </c>
      <c r="K679">
        <f t="shared" si="59"/>
        <v>8.2539999999999996</v>
      </c>
      <c r="L679">
        <f>[1]!XLSTAT_PDFGeneral(J679,17, 1)</f>
        <v>0</v>
      </c>
    </row>
    <row r="680" spans="1:12" x14ac:dyDescent="0.3">
      <c r="A680">
        <v>680</v>
      </c>
      <c r="B680">
        <f t="shared" si="56"/>
        <v>17.068000000000001</v>
      </c>
      <c r="C680">
        <f t="shared" si="57"/>
        <v>17.068000000000001</v>
      </c>
      <c r="D680">
        <f>[1]!XLSTAT_PDFGeneral(B680,14, 16, 1)</f>
        <v>0.22554162817311976</v>
      </c>
      <c r="I680">
        <v>680</v>
      </c>
      <c r="J680">
        <f t="shared" si="58"/>
        <v>8.2539999999999996</v>
      </c>
      <c r="K680">
        <f t="shared" si="59"/>
        <v>8.2539999999999996</v>
      </c>
      <c r="L680">
        <f>[1]!XLSTAT_PDFGeneral(J680,17, 1)</f>
        <v>9.1239940766726766E-6</v>
      </c>
    </row>
    <row r="681" spans="1:12" x14ac:dyDescent="0.3">
      <c r="A681">
        <v>681</v>
      </c>
      <c r="B681">
        <f t="shared" si="56"/>
        <v>17.079999999999998</v>
      </c>
      <c r="C681">
        <f t="shared" si="57"/>
        <v>17.079999999999998</v>
      </c>
      <c r="D681">
        <f>[1]!XLSTAT_PDFGeneral(B681,14, 16, 1)</f>
        <v>0.22265349875176155</v>
      </c>
      <c r="I681">
        <v>681</v>
      </c>
      <c r="J681">
        <f t="shared" si="58"/>
        <v>8.24</v>
      </c>
      <c r="K681">
        <f t="shared" si="59"/>
        <v>8.24</v>
      </c>
      <c r="L681">
        <f>[1]!XLSTAT_PDFGeneral(J681,17, 1)</f>
        <v>9.1239940766726766E-6</v>
      </c>
    </row>
    <row r="682" spans="1:12" x14ac:dyDescent="0.3">
      <c r="A682">
        <v>682</v>
      </c>
      <c r="B682">
        <f t="shared" si="56"/>
        <v>-123456789</v>
      </c>
      <c r="C682">
        <f t="shared" si="57"/>
        <v>17.079999999999998</v>
      </c>
      <c r="D682">
        <f>[1]!XLSTAT_PDFGeneral(B682,14, 16, 1)</f>
        <v>0</v>
      </c>
      <c r="I682">
        <v>682</v>
      </c>
      <c r="J682">
        <f t="shared" si="58"/>
        <v>-123456789</v>
      </c>
      <c r="K682">
        <f t="shared" si="59"/>
        <v>8.24</v>
      </c>
      <c r="L682">
        <f>[1]!XLSTAT_PDFGeneral(J682,17, 1)</f>
        <v>0</v>
      </c>
    </row>
    <row r="683" spans="1:12" x14ac:dyDescent="0.3">
      <c r="A683">
        <v>683</v>
      </c>
      <c r="B683">
        <f t="shared" si="56"/>
        <v>-123456789</v>
      </c>
      <c r="C683">
        <f t="shared" si="57"/>
        <v>17.091999999999999</v>
      </c>
      <c r="D683">
        <f>[1]!XLSTAT_PDFGeneral(B683,14, 16, 1)</f>
        <v>0</v>
      </c>
      <c r="I683">
        <v>683</v>
      </c>
      <c r="J683">
        <f t="shared" si="58"/>
        <v>-123456789</v>
      </c>
      <c r="K683">
        <f t="shared" si="59"/>
        <v>8.2259999999999991</v>
      </c>
      <c r="L683">
        <f>[1]!XLSTAT_PDFGeneral(J683,17, 1)</f>
        <v>0</v>
      </c>
    </row>
    <row r="684" spans="1:12" x14ac:dyDescent="0.3">
      <c r="A684">
        <v>684</v>
      </c>
      <c r="B684">
        <f t="shared" si="56"/>
        <v>17.091999999999999</v>
      </c>
      <c r="C684">
        <f t="shared" si="57"/>
        <v>17.091999999999999</v>
      </c>
      <c r="D684">
        <f>[1]!XLSTAT_PDFGeneral(B684,14, 16, 1)</f>
        <v>0.21977070344958893</v>
      </c>
      <c r="I684">
        <v>684</v>
      </c>
      <c r="J684">
        <f t="shared" si="58"/>
        <v>8.2259999999999991</v>
      </c>
      <c r="K684">
        <f t="shared" si="59"/>
        <v>8.2259999999999991</v>
      </c>
      <c r="L684">
        <f>[1]!XLSTAT_PDFGeneral(J684,17, 1)</f>
        <v>9.1239940766726766E-6</v>
      </c>
    </row>
    <row r="685" spans="1:12" x14ac:dyDescent="0.3">
      <c r="A685">
        <v>685</v>
      </c>
      <c r="B685">
        <f t="shared" si="56"/>
        <v>17.103999999999999</v>
      </c>
      <c r="C685">
        <f t="shared" si="57"/>
        <v>17.103999999999999</v>
      </c>
      <c r="D685">
        <f>[1]!XLSTAT_PDFGeneral(B685,14, 16, 1)</f>
        <v>0.21689399801423567</v>
      </c>
      <c r="I685">
        <v>685</v>
      </c>
      <c r="J685">
        <f t="shared" si="58"/>
        <v>8.2119999999999997</v>
      </c>
      <c r="K685">
        <f t="shared" si="59"/>
        <v>8.2119999999999997</v>
      </c>
      <c r="L685">
        <f>[1]!XLSTAT_PDFGeneral(J685,17, 1)</f>
        <v>9.1239940766726766E-6</v>
      </c>
    </row>
    <row r="686" spans="1:12" x14ac:dyDescent="0.3">
      <c r="A686">
        <v>686</v>
      </c>
      <c r="B686">
        <f t="shared" si="56"/>
        <v>-123456789</v>
      </c>
      <c r="C686">
        <f t="shared" si="57"/>
        <v>17.103999999999999</v>
      </c>
      <c r="D686">
        <f>[1]!XLSTAT_PDFGeneral(B686,14, 16, 1)</f>
        <v>0</v>
      </c>
      <c r="I686">
        <v>686</v>
      </c>
      <c r="J686">
        <f t="shared" si="58"/>
        <v>-123456789</v>
      </c>
      <c r="K686">
        <f t="shared" si="59"/>
        <v>8.2119999999999997</v>
      </c>
      <c r="L686">
        <f>[1]!XLSTAT_PDFGeneral(J686,17, 1)</f>
        <v>0</v>
      </c>
    </row>
    <row r="687" spans="1:12" x14ac:dyDescent="0.3">
      <c r="A687">
        <v>687</v>
      </c>
      <c r="B687">
        <f t="shared" si="56"/>
        <v>-123456789</v>
      </c>
      <c r="C687">
        <f t="shared" si="57"/>
        <v>17.116</v>
      </c>
      <c r="D687">
        <f>[1]!XLSTAT_PDFGeneral(B687,14, 16, 1)</f>
        <v>0</v>
      </c>
      <c r="I687">
        <v>687</v>
      </c>
      <c r="J687">
        <f t="shared" si="58"/>
        <v>-123456789</v>
      </c>
      <c r="K687">
        <f t="shared" si="59"/>
        <v>8.1980000000000004</v>
      </c>
      <c r="L687">
        <f>[1]!XLSTAT_PDFGeneral(J687,17, 1)</f>
        <v>0</v>
      </c>
    </row>
    <row r="688" spans="1:12" x14ac:dyDescent="0.3">
      <c r="A688">
        <v>688</v>
      </c>
      <c r="B688">
        <f t="shared" si="56"/>
        <v>17.116</v>
      </c>
      <c r="C688">
        <f t="shared" si="57"/>
        <v>17.116</v>
      </c>
      <c r="D688">
        <f>[1]!XLSTAT_PDFGeneral(B688,14, 16, 1)</f>
        <v>0.21402412574153223</v>
      </c>
      <c r="I688">
        <v>688</v>
      </c>
      <c r="J688">
        <f t="shared" si="58"/>
        <v>8.1980000000000004</v>
      </c>
      <c r="K688">
        <f t="shared" si="59"/>
        <v>8.1980000000000004</v>
      </c>
      <c r="L688">
        <f>[1]!XLSTAT_PDFGeneral(J688,17, 1)</f>
        <v>9.1239940766726766E-6</v>
      </c>
    </row>
    <row r="689" spans="1:12" x14ac:dyDescent="0.3">
      <c r="A689">
        <v>689</v>
      </c>
      <c r="B689">
        <f t="shared" si="56"/>
        <v>17.128</v>
      </c>
      <c r="C689">
        <f t="shared" si="57"/>
        <v>17.128</v>
      </c>
      <c r="D689">
        <f>[1]!XLSTAT_PDFGeneral(B689,14, 16, 1)</f>
        <v>0.21116181721320312</v>
      </c>
      <c r="I689">
        <v>689</v>
      </c>
      <c r="J689">
        <f t="shared" si="58"/>
        <v>8.1840000000000011</v>
      </c>
      <c r="K689">
        <f t="shared" si="59"/>
        <v>8.1840000000000011</v>
      </c>
      <c r="L689">
        <f>[1]!XLSTAT_PDFGeneral(J689,17, 1)</f>
        <v>9.1239940766726766E-6</v>
      </c>
    </row>
    <row r="690" spans="1:12" x14ac:dyDescent="0.3">
      <c r="A690">
        <v>690</v>
      </c>
      <c r="B690">
        <f t="shared" si="56"/>
        <v>-123456789</v>
      </c>
      <c r="C690">
        <f t="shared" si="57"/>
        <v>17.128</v>
      </c>
      <c r="D690">
        <f>[1]!XLSTAT_PDFGeneral(B690,14, 16, 1)</f>
        <v>0</v>
      </c>
      <c r="I690">
        <v>690</v>
      </c>
      <c r="J690">
        <f t="shared" si="58"/>
        <v>-123456789</v>
      </c>
      <c r="K690">
        <f t="shared" si="59"/>
        <v>8.1840000000000011</v>
      </c>
      <c r="L690">
        <f>[1]!XLSTAT_PDFGeneral(J690,17, 1)</f>
        <v>0</v>
      </c>
    </row>
    <row r="691" spans="1:12" x14ac:dyDescent="0.3">
      <c r="A691">
        <v>691</v>
      </c>
      <c r="B691">
        <f t="shared" si="56"/>
        <v>-123456789</v>
      </c>
      <c r="C691">
        <f t="shared" si="57"/>
        <v>17.14</v>
      </c>
      <c r="D691">
        <f>[1]!XLSTAT_PDFGeneral(B691,14, 16, 1)</f>
        <v>0</v>
      </c>
      <c r="I691">
        <v>691</v>
      </c>
      <c r="J691">
        <f t="shared" si="58"/>
        <v>-123456789</v>
      </c>
      <c r="K691">
        <f t="shared" si="59"/>
        <v>8.17</v>
      </c>
      <c r="L691">
        <f>[1]!XLSTAT_PDFGeneral(J691,17, 1)</f>
        <v>0</v>
      </c>
    </row>
    <row r="692" spans="1:12" x14ac:dyDescent="0.3">
      <c r="A692">
        <v>692</v>
      </c>
      <c r="B692">
        <f t="shared" si="56"/>
        <v>17.14</v>
      </c>
      <c r="C692">
        <f t="shared" si="57"/>
        <v>17.14</v>
      </c>
      <c r="D692">
        <f>[1]!XLSTAT_PDFGeneral(B692,14, 16, 1)</f>
        <v>0.20830779004710823</v>
      </c>
      <c r="I692">
        <v>692</v>
      </c>
      <c r="J692">
        <f t="shared" si="58"/>
        <v>8.17</v>
      </c>
      <c r="K692">
        <f t="shared" si="59"/>
        <v>8.17</v>
      </c>
      <c r="L692">
        <f>[1]!XLSTAT_PDFGeneral(J692,17, 1)</f>
        <v>9.1239940766726766E-6</v>
      </c>
    </row>
    <row r="693" spans="1:12" x14ac:dyDescent="0.3">
      <c r="A693">
        <v>693</v>
      </c>
      <c r="B693">
        <f t="shared" si="56"/>
        <v>17.152000000000001</v>
      </c>
      <c r="C693">
        <f t="shared" si="57"/>
        <v>17.152000000000001</v>
      </c>
      <c r="D693">
        <f>[1]!XLSTAT_PDFGeneral(B693,14, 16, 1)</f>
        <v>0.20546274866007672</v>
      </c>
      <c r="I693">
        <v>693</v>
      </c>
      <c r="J693">
        <f t="shared" si="58"/>
        <v>8.1559999999999988</v>
      </c>
      <c r="K693">
        <f t="shared" si="59"/>
        <v>8.1559999999999988</v>
      </c>
      <c r="L693">
        <f>[1]!XLSTAT_PDFGeneral(J693,17, 1)</f>
        <v>9.1239940766726766E-6</v>
      </c>
    </row>
    <row r="694" spans="1:12" x14ac:dyDescent="0.3">
      <c r="A694">
        <v>694</v>
      </c>
      <c r="B694">
        <f t="shared" si="56"/>
        <v>-123456789</v>
      </c>
      <c r="C694">
        <f t="shared" si="57"/>
        <v>17.152000000000001</v>
      </c>
      <c r="D694">
        <f>[1]!XLSTAT_PDFGeneral(B694,14, 16, 1)</f>
        <v>0</v>
      </c>
      <c r="I694">
        <v>694</v>
      </c>
      <c r="J694">
        <f t="shared" si="58"/>
        <v>-123456789</v>
      </c>
      <c r="K694">
        <f t="shared" si="59"/>
        <v>8.1559999999999988</v>
      </c>
      <c r="L694">
        <f>[1]!XLSTAT_PDFGeneral(J694,17, 1)</f>
        <v>0</v>
      </c>
    </row>
    <row r="695" spans="1:12" x14ac:dyDescent="0.3">
      <c r="A695">
        <v>695</v>
      </c>
      <c r="B695">
        <f t="shared" si="56"/>
        <v>-123456789</v>
      </c>
      <c r="C695">
        <f t="shared" si="57"/>
        <v>17.164000000000001</v>
      </c>
      <c r="D695">
        <f>[1]!XLSTAT_PDFGeneral(B695,14, 16, 1)</f>
        <v>0</v>
      </c>
      <c r="I695">
        <v>695</v>
      </c>
      <c r="J695">
        <f t="shared" si="58"/>
        <v>-123456789</v>
      </c>
      <c r="K695">
        <f t="shared" si="59"/>
        <v>8.1419999999999995</v>
      </c>
      <c r="L695">
        <f>[1]!XLSTAT_PDFGeneral(J695,17, 1)</f>
        <v>0</v>
      </c>
    </row>
    <row r="696" spans="1:12" x14ac:dyDescent="0.3">
      <c r="A696">
        <v>696</v>
      </c>
      <c r="B696">
        <f t="shared" si="56"/>
        <v>17.164000000000001</v>
      </c>
      <c r="C696">
        <f t="shared" si="57"/>
        <v>17.164000000000001</v>
      </c>
      <c r="D696">
        <f>[1]!XLSTAT_PDFGeneral(B696,14, 16, 1)</f>
        <v>0.20262738404336875</v>
      </c>
      <c r="I696">
        <v>696</v>
      </c>
      <c r="J696">
        <f t="shared" si="58"/>
        <v>8.1419999999999995</v>
      </c>
      <c r="K696">
        <f t="shared" si="59"/>
        <v>8.1419999999999995</v>
      </c>
      <c r="L696">
        <f>[1]!XLSTAT_PDFGeneral(J696,17, 1)</f>
        <v>9.1239940766726766E-6</v>
      </c>
    </row>
    <row r="697" spans="1:12" x14ac:dyDescent="0.3">
      <c r="A697">
        <v>697</v>
      </c>
      <c r="B697">
        <f t="shared" si="56"/>
        <v>17.176000000000002</v>
      </c>
      <c r="C697">
        <f t="shared" si="57"/>
        <v>17.176000000000002</v>
      </c>
      <c r="D697">
        <f>[1]!XLSTAT_PDFGeneral(B697,14, 16, 1)</f>
        <v>0.19980237355078753</v>
      </c>
      <c r="I697">
        <v>697</v>
      </c>
      <c r="J697">
        <f t="shared" si="58"/>
        <v>8.1280000000000001</v>
      </c>
      <c r="K697">
        <f t="shared" si="59"/>
        <v>8.1280000000000001</v>
      </c>
      <c r="L697">
        <f>[1]!XLSTAT_PDFGeneral(J697,17, 1)</f>
        <v>9.1239940766726766E-6</v>
      </c>
    </row>
    <row r="698" spans="1:12" x14ac:dyDescent="0.3">
      <c r="A698">
        <v>698</v>
      </c>
      <c r="B698">
        <f t="shared" si="56"/>
        <v>-123456789</v>
      </c>
      <c r="C698">
        <f t="shared" si="57"/>
        <v>17.176000000000002</v>
      </c>
      <c r="D698">
        <f>[1]!XLSTAT_PDFGeneral(B698,14, 16, 1)</f>
        <v>0</v>
      </c>
      <c r="I698">
        <v>698</v>
      </c>
      <c r="J698">
        <f t="shared" si="58"/>
        <v>-123456789</v>
      </c>
      <c r="K698">
        <f t="shared" si="59"/>
        <v>8.1280000000000001</v>
      </c>
      <c r="L698">
        <f>[1]!XLSTAT_PDFGeneral(J698,17, 1)</f>
        <v>0</v>
      </c>
    </row>
    <row r="699" spans="1:12" x14ac:dyDescent="0.3">
      <c r="A699">
        <v>699</v>
      </c>
      <c r="B699">
        <f t="shared" si="56"/>
        <v>-123456789</v>
      </c>
      <c r="C699">
        <f t="shared" si="57"/>
        <v>17.187999999999999</v>
      </c>
      <c r="D699">
        <f>[1]!XLSTAT_PDFGeneral(B699,14, 16, 1)</f>
        <v>0</v>
      </c>
      <c r="I699">
        <v>699</v>
      </c>
      <c r="J699">
        <f t="shared" si="58"/>
        <v>-123456789</v>
      </c>
      <c r="K699">
        <f t="shared" si="59"/>
        <v>8.1140000000000008</v>
      </c>
      <c r="L699">
        <f>[1]!XLSTAT_PDFGeneral(J699,17, 1)</f>
        <v>0</v>
      </c>
    </row>
    <row r="700" spans="1:12" x14ac:dyDescent="0.3">
      <c r="A700">
        <v>700</v>
      </c>
      <c r="B700">
        <f t="shared" si="56"/>
        <v>17.187999999999999</v>
      </c>
      <c r="C700">
        <f t="shared" si="57"/>
        <v>17.187999999999999</v>
      </c>
      <c r="D700">
        <f>[1]!XLSTAT_PDFGeneral(B700,14, 16, 1)</f>
        <v>0.19698838069945077</v>
      </c>
      <c r="I700">
        <v>700</v>
      </c>
      <c r="J700">
        <f t="shared" si="58"/>
        <v>8.1140000000000008</v>
      </c>
      <c r="K700">
        <f t="shared" si="59"/>
        <v>8.1140000000000008</v>
      </c>
      <c r="L700">
        <f>[1]!XLSTAT_PDFGeneral(J700,17, 1)</f>
        <v>9.1239940766726766E-6</v>
      </c>
    </row>
    <row r="701" spans="1:12" x14ac:dyDescent="0.3">
      <c r="A701">
        <v>701</v>
      </c>
      <c r="B701">
        <f t="shared" si="56"/>
        <v>17.2</v>
      </c>
      <c r="C701">
        <f t="shared" si="57"/>
        <v>17.2</v>
      </c>
      <c r="D701">
        <f>[1]!XLSTAT_PDFGeneral(B701,14, 16, 1)</f>
        <v>0.19418605498321312</v>
      </c>
      <c r="I701">
        <v>701</v>
      </c>
      <c r="J701">
        <f t="shared" si="58"/>
        <v>8.1</v>
      </c>
      <c r="K701">
        <f t="shared" si="59"/>
        <v>8.1</v>
      </c>
      <c r="L701">
        <f>[1]!XLSTAT_PDFGeneral(J701,17, 1)</f>
        <v>9.1239940766726766E-6</v>
      </c>
    </row>
    <row r="702" spans="1:12" x14ac:dyDescent="0.3">
      <c r="A702">
        <v>702</v>
      </c>
      <c r="B702">
        <f t="shared" si="56"/>
        <v>-123456789</v>
      </c>
      <c r="C702">
        <f t="shared" si="57"/>
        <v>17.2</v>
      </c>
      <c r="D702">
        <f>[1]!XLSTAT_PDFGeneral(B702,14, 16, 1)</f>
        <v>0</v>
      </c>
      <c r="I702">
        <v>702</v>
      </c>
      <c r="J702">
        <f t="shared" si="58"/>
        <v>-123456789</v>
      </c>
      <c r="K702">
        <f t="shared" si="59"/>
        <v>8.1</v>
      </c>
      <c r="L702">
        <f>[1]!XLSTAT_PDFGeneral(J702,17, 1)</f>
        <v>0</v>
      </c>
    </row>
    <row r="703" spans="1:12" x14ac:dyDescent="0.3">
      <c r="A703">
        <v>703</v>
      </c>
      <c r="B703">
        <f t="shared" si="56"/>
        <v>-123456789</v>
      </c>
      <c r="C703">
        <f t="shared" si="57"/>
        <v>17.212</v>
      </c>
      <c r="D703">
        <f>[1]!XLSTAT_PDFGeneral(B703,14, 16, 1)</f>
        <v>0</v>
      </c>
      <c r="I703">
        <v>703</v>
      </c>
      <c r="J703">
        <f t="shared" si="58"/>
        <v>-123456789</v>
      </c>
      <c r="K703">
        <f t="shared" si="59"/>
        <v>8.0860000000000003</v>
      </c>
      <c r="L703">
        <f>[1]!XLSTAT_PDFGeneral(J703,17, 1)</f>
        <v>0</v>
      </c>
    </row>
    <row r="704" spans="1:12" x14ac:dyDescent="0.3">
      <c r="A704">
        <v>704</v>
      </c>
      <c r="B704">
        <f t="shared" si="56"/>
        <v>17.212</v>
      </c>
      <c r="C704">
        <f t="shared" si="57"/>
        <v>17.212</v>
      </c>
      <c r="D704">
        <f>[1]!XLSTAT_PDFGeneral(B704,14, 16, 1)</f>
        <v>0.19139603169873615</v>
      </c>
      <c r="I704">
        <v>704</v>
      </c>
      <c r="J704">
        <f t="shared" si="58"/>
        <v>8.0860000000000003</v>
      </c>
      <c r="K704">
        <f t="shared" si="59"/>
        <v>8.0860000000000003</v>
      </c>
      <c r="L704">
        <f>[1]!XLSTAT_PDFGeneral(J704,17, 1)</f>
        <v>9.1239940766726766E-6</v>
      </c>
    </row>
    <row r="705" spans="1:12" x14ac:dyDescent="0.3">
      <c r="A705">
        <v>705</v>
      </c>
      <c r="B705">
        <f t="shared" ref="B705:B768" si="60">IF(-1^(INT(A705/2)+2)&gt;0,13+2*INT(A705/2-1/2)*0.006,-123456789)</f>
        <v>17.224</v>
      </c>
      <c r="C705">
        <f t="shared" ref="C705:C768" si="61">13+2*INT(A705/2-1/2)*0.006</f>
        <v>17.224</v>
      </c>
      <c r="D705">
        <f>[1]!XLSTAT_PDFGeneral(B705,14, 16, 1)</f>
        <v>0.1886189317841595</v>
      </c>
      <c r="I705">
        <v>705</v>
      </c>
      <c r="J705">
        <f t="shared" ref="J705:J768" si="62">IF(-1^(INT(I705/2)+2)&gt;0,13+2*INT(I705/2-1/2)*-0.007,-123456789)</f>
        <v>8.0719999999999992</v>
      </c>
      <c r="K705">
        <f t="shared" ref="K705:K768" si="63">13+2*INT(I705/2-1/2)*-0.007</f>
        <v>8.0719999999999992</v>
      </c>
      <c r="L705">
        <f>[1]!XLSTAT_PDFGeneral(J705,17, 1)</f>
        <v>9.1239940766726766E-6</v>
      </c>
    </row>
    <row r="706" spans="1:12" x14ac:dyDescent="0.3">
      <c r="A706">
        <v>706</v>
      </c>
      <c r="B706">
        <f t="shared" si="60"/>
        <v>-123456789</v>
      </c>
      <c r="C706">
        <f t="shared" si="61"/>
        <v>17.224</v>
      </c>
      <c r="D706">
        <f>[1]!XLSTAT_PDFGeneral(B706,14, 16, 1)</f>
        <v>0</v>
      </c>
      <c r="I706">
        <v>706</v>
      </c>
      <c r="J706">
        <f t="shared" si="62"/>
        <v>-123456789</v>
      </c>
      <c r="K706">
        <f t="shared" si="63"/>
        <v>8.0719999999999992</v>
      </c>
      <c r="L706">
        <f>[1]!XLSTAT_PDFGeneral(J706,17, 1)</f>
        <v>0</v>
      </c>
    </row>
    <row r="707" spans="1:12" x14ac:dyDescent="0.3">
      <c r="A707">
        <v>707</v>
      </c>
      <c r="B707">
        <f t="shared" si="60"/>
        <v>-123456789</v>
      </c>
      <c r="C707">
        <f t="shared" si="61"/>
        <v>17.236000000000001</v>
      </c>
      <c r="D707">
        <f>[1]!XLSTAT_PDFGeneral(B707,14, 16, 1)</f>
        <v>0</v>
      </c>
      <c r="I707">
        <v>707</v>
      </c>
      <c r="J707">
        <f t="shared" si="62"/>
        <v>-123456789</v>
      </c>
      <c r="K707">
        <f t="shared" si="63"/>
        <v>8.0579999999999998</v>
      </c>
      <c r="L707">
        <f>[1]!XLSTAT_PDFGeneral(J707,17, 1)</f>
        <v>0</v>
      </c>
    </row>
    <row r="708" spans="1:12" x14ac:dyDescent="0.3">
      <c r="A708">
        <v>708</v>
      </c>
      <c r="B708">
        <f t="shared" si="60"/>
        <v>17.236000000000001</v>
      </c>
      <c r="C708">
        <f t="shared" si="61"/>
        <v>17.236000000000001</v>
      </c>
      <c r="D708">
        <f>[1]!XLSTAT_PDFGeneral(B708,14, 16, 1)</f>
        <v>0.18585536167034566</v>
      </c>
      <c r="I708">
        <v>708</v>
      </c>
      <c r="J708">
        <f t="shared" si="62"/>
        <v>8.0579999999999998</v>
      </c>
      <c r="K708">
        <f t="shared" si="63"/>
        <v>8.0579999999999998</v>
      </c>
      <c r="L708">
        <f>[1]!XLSTAT_PDFGeneral(J708,17, 1)</f>
        <v>9.1239940766726766E-6</v>
      </c>
    </row>
    <row r="709" spans="1:12" x14ac:dyDescent="0.3">
      <c r="A709">
        <v>709</v>
      </c>
      <c r="B709">
        <f t="shared" si="60"/>
        <v>17.248000000000001</v>
      </c>
      <c r="C709">
        <f t="shared" si="61"/>
        <v>17.248000000000001</v>
      </c>
      <c r="D709">
        <f>[1]!XLSTAT_PDFGeneral(B709,14, 16, 1)</f>
        <v>0.18310591314463967</v>
      </c>
      <c r="I709">
        <v>709</v>
      </c>
      <c r="J709">
        <f t="shared" si="62"/>
        <v>8.0440000000000005</v>
      </c>
      <c r="K709">
        <f t="shared" si="63"/>
        <v>8.0440000000000005</v>
      </c>
      <c r="L709">
        <f>[1]!XLSTAT_PDFGeneral(J709,17, 1)</f>
        <v>9.1239940766726766E-6</v>
      </c>
    </row>
    <row r="710" spans="1:12" x14ac:dyDescent="0.3">
      <c r="A710">
        <v>710</v>
      </c>
      <c r="B710">
        <f t="shared" si="60"/>
        <v>-123456789</v>
      </c>
      <c r="C710">
        <f t="shared" si="61"/>
        <v>17.248000000000001</v>
      </c>
      <c r="D710">
        <f>[1]!XLSTAT_PDFGeneral(B710,14, 16, 1)</f>
        <v>0</v>
      </c>
      <c r="I710">
        <v>710</v>
      </c>
      <c r="J710">
        <f t="shared" si="62"/>
        <v>-123456789</v>
      </c>
      <c r="K710">
        <f t="shared" si="63"/>
        <v>8.0440000000000005</v>
      </c>
      <c r="L710">
        <f>[1]!XLSTAT_PDFGeneral(J710,17, 1)</f>
        <v>0</v>
      </c>
    </row>
    <row r="711" spans="1:12" x14ac:dyDescent="0.3">
      <c r="A711">
        <v>711</v>
      </c>
      <c r="B711">
        <f t="shared" si="60"/>
        <v>-123456789</v>
      </c>
      <c r="C711">
        <f t="shared" si="61"/>
        <v>17.259999999999998</v>
      </c>
      <c r="D711">
        <f>[1]!XLSTAT_PDFGeneral(B711,14, 16, 1)</f>
        <v>0</v>
      </c>
      <c r="I711">
        <v>711</v>
      </c>
      <c r="J711">
        <f t="shared" si="62"/>
        <v>-123456789</v>
      </c>
      <c r="K711">
        <f t="shared" si="63"/>
        <v>8.0300000000000011</v>
      </c>
      <c r="L711">
        <f>[1]!XLSTAT_PDFGeneral(J711,17, 1)</f>
        <v>0</v>
      </c>
    </row>
    <row r="712" spans="1:12" x14ac:dyDescent="0.3">
      <c r="A712">
        <v>712</v>
      </c>
      <c r="B712">
        <f t="shared" si="60"/>
        <v>17.259999999999998</v>
      </c>
      <c r="C712">
        <f t="shared" si="61"/>
        <v>17.259999999999998</v>
      </c>
      <c r="D712">
        <f>[1]!XLSTAT_PDFGeneral(B712,14, 16, 1)</f>
        <v>0.1803711632270808</v>
      </c>
      <c r="I712">
        <v>712</v>
      </c>
      <c r="J712">
        <f t="shared" si="62"/>
        <v>8.0300000000000011</v>
      </c>
      <c r="K712">
        <f t="shared" si="63"/>
        <v>8.0300000000000011</v>
      </c>
      <c r="L712">
        <f>[1]!XLSTAT_PDFGeneral(J712,17, 1)</f>
        <v>9.1239940766726766E-6</v>
      </c>
    </row>
    <row r="713" spans="1:12" x14ac:dyDescent="0.3">
      <c r="A713">
        <v>713</v>
      </c>
      <c r="B713">
        <f t="shared" si="60"/>
        <v>17.271999999999998</v>
      </c>
      <c r="C713">
        <f t="shared" si="61"/>
        <v>17.271999999999998</v>
      </c>
      <c r="D713">
        <f>[1]!XLSTAT_PDFGeneral(B713,14, 16, 1)</f>
        <v>0.17765167405898552</v>
      </c>
      <c r="I713">
        <v>713</v>
      </c>
      <c r="J713">
        <f t="shared" si="62"/>
        <v>8.016</v>
      </c>
      <c r="K713">
        <f t="shared" si="63"/>
        <v>8.016</v>
      </c>
      <c r="L713">
        <f>[1]!XLSTAT_PDFGeneral(J713,17, 1)</f>
        <v>9.1239940766726766E-6</v>
      </c>
    </row>
    <row r="714" spans="1:12" x14ac:dyDescent="0.3">
      <c r="A714">
        <v>714</v>
      </c>
      <c r="B714">
        <f t="shared" si="60"/>
        <v>-123456789</v>
      </c>
      <c r="C714">
        <f t="shared" si="61"/>
        <v>17.271999999999998</v>
      </c>
      <c r="D714">
        <f>[1]!XLSTAT_PDFGeneral(B714,14, 16, 1)</f>
        <v>0</v>
      </c>
      <c r="I714">
        <v>714</v>
      </c>
      <c r="J714">
        <f t="shared" si="62"/>
        <v>-123456789</v>
      </c>
      <c r="K714">
        <f t="shared" si="63"/>
        <v>8.016</v>
      </c>
      <c r="L714">
        <f>[1]!XLSTAT_PDFGeneral(J714,17, 1)</f>
        <v>0</v>
      </c>
    </row>
    <row r="715" spans="1:12" x14ac:dyDescent="0.3">
      <c r="A715">
        <v>715</v>
      </c>
      <c r="B715">
        <f t="shared" si="60"/>
        <v>-123456789</v>
      </c>
      <c r="C715">
        <f t="shared" si="61"/>
        <v>17.283999999999999</v>
      </c>
      <c r="D715">
        <f>[1]!XLSTAT_PDFGeneral(B715,14, 16, 1)</f>
        <v>0</v>
      </c>
      <c r="I715">
        <v>715</v>
      </c>
      <c r="J715">
        <f t="shared" si="62"/>
        <v>-123456789</v>
      </c>
      <c r="K715">
        <f t="shared" si="63"/>
        <v>8.0019999999999989</v>
      </c>
      <c r="L715">
        <f>[1]!XLSTAT_PDFGeneral(J715,17, 1)</f>
        <v>0</v>
      </c>
    </row>
    <row r="716" spans="1:12" x14ac:dyDescent="0.3">
      <c r="A716">
        <v>716</v>
      </c>
      <c r="B716">
        <f t="shared" si="60"/>
        <v>17.283999999999999</v>
      </c>
      <c r="C716">
        <f t="shared" si="61"/>
        <v>17.283999999999999</v>
      </c>
      <c r="D716">
        <f>[1]!XLSTAT_PDFGeneral(B716,14, 16, 1)</f>
        <v>0.17494799280382567</v>
      </c>
      <c r="I716">
        <v>716</v>
      </c>
      <c r="J716">
        <f t="shared" si="62"/>
        <v>8.0019999999999989</v>
      </c>
      <c r="K716">
        <f t="shared" si="63"/>
        <v>8.0019999999999989</v>
      </c>
      <c r="L716">
        <f>[1]!XLSTAT_PDFGeneral(J716,17, 1)</f>
        <v>9.1239940766726766E-6</v>
      </c>
    </row>
    <row r="717" spans="1:12" x14ac:dyDescent="0.3">
      <c r="A717">
        <v>717</v>
      </c>
      <c r="B717">
        <f t="shared" si="60"/>
        <v>17.295999999999999</v>
      </c>
      <c r="C717">
        <f t="shared" si="61"/>
        <v>17.295999999999999</v>
      </c>
      <c r="D717">
        <f>[1]!XLSTAT_PDFGeneral(B717,14, 16, 1)</f>
        <v>0.17226065156028778</v>
      </c>
      <c r="I717">
        <v>717</v>
      </c>
      <c r="J717">
        <f t="shared" si="62"/>
        <v>7.9879999999999995</v>
      </c>
      <c r="K717">
        <f t="shared" si="63"/>
        <v>7.9879999999999995</v>
      </c>
      <c r="L717">
        <f>[1]!XLSTAT_PDFGeneral(J717,17, 1)</f>
        <v>7.2991952613381413E-5</v>
      </c>
    </row>
    <row r="718" spans="1:12" x14ac:dyDescent="0.3">
      <c r="A718">
        <v>718</v>
      </c>
      <c r="B718">
        <f t="shared" si="60"/>
        <v>-123456789</v>
      </c>
      <c r="C718">
        <f t="shared" si="61"/>
        <v>17.295999999999999</v>
      </c>
      <c r="D718">
        <f>[1]!XLSTAT_PDFGeneral(B718,14, 16, 1)</f>
        <v>0</v>
      </c>
      <c r="I718">
        <v>718</v>
      </c>
      <c r="J718">
        <f t="shared" si="62"/>
        <v>-123456789</v>
      </c>
      <c r="K718">
        <f t="shared" si="63"/>
        <v>7.9879999999999995</v>
      </c>
      <c r="L718">
        <f>[1]!XLSTAT_PDFGeneral(J718,17, 1)</f>
        <v>0</v>
      </c>
    </row>
    <row r="719" spans="1:12" x14ac:dyDescent="0.3">
      <c r="A719">
        <v>719</v>
      </c>
      <c r="B719">
        <f t="shared" si="60"/>
        <v>-123456789</v>
      </c>
      <c r="C719">
        <f t="shared" si="61"/>
        <v>17.308</v>
      </c>
      <c r="D719">
        <f>[1]!XLSTAT_PDFGeneral(B719,14, 16, 1)</f>
        <v>0</v>
      </c>
      <c r="I719">
        <v>719</v>
      </c>
      <c r="J719">
        <f t="shared" si="62"/>
        <v>-123456789</v>
      </c>
      <c r="K719">
        <f t="shared" si="63"/>
        <v>7.9740000000000002</v>
      </c>
      <c r="L719">
        <f>[1]!XLSTAT_PDFGeneral(J719,17, 1)</f>
        <v>0</v>
      </c>
    </row>
    <row r="720" spans="1:12" x14ac:dyDescent="0.3">
      <c r="A720">
        <v>720</v>
      </c>
      <c r="B720">
        <f t="shared" si="60"/>
        <v>17.308</v>
      </c>
      <c r="C720">
        <f t="shared" si="61"/>
        <v>17.308</v>
      </c>
      <c r="D720">
        <f>[1]!XLSTAT_PDFGeneral(B720,14, 16, 1)</f>
        <v>0.16959016728741586</v>
      </c>
      <c r="I720">
        <v>720</v>
      </c>
      <c r="J720">
        <f t="shared" si="62"/>
        <v>7.9740000000000002</v>
      </c>
      <c r="K720">
        <f t="shared" si="63"/>
        <v>7.9740000000000002</v>
      </c>
      <c r="L720">
        <f>[1]!XLSTAT_PDFGeneral(J720,17, 1)</f>
        <v>7.2991952613381413E-5</v>
      </c>
    </row>
    <row r="721" spans="1:12" x14ac:dyDescent="0.3">
      <c r="A721">
        <v>721</v>
      </c>
      <c r="B721">
        <f t="shared" si="60"/>
        <v>17.32</v>
      </c>
      <c r="C721">
        <f t="shared" si="61"/>
        <v>17.32</v>
      </c>
      <c r="D721">
        <f>[1]!XLSTAT_PDFGeneral(B721,14, 16, 1)</f>
        <v>0.16693704174171375</v>
      </c>
      <c r="I721">
        <v>721</v>
      </c>
      <c r="J721">
        <f t="shared" si="62"/>
        <v>7.96</v>
      </c>
      <c r="K721">
        <f t="shared" si="63"/>
        <v>7.96</v>
      </c>
      <c r="L721">
        <f>[1]!XLSTAT_PDFGeneral(J721,17, 1)</f>
        <v>7.2991952613381413E-5</v>
      </c>
    </row>
    <row r="722" spans="1:12" x14ac:dyDescent="0.3">
      <c r="A722">
        <v>722</v>
      </c>
      <c r="B722">
        <f t="shared" si="60"/>
        <v>-123456789</v>
      </c>
      <c r="C722">
        <f t="shared" si="61"/>
        <v>17.32</v>
      </c>
      <c r="D722">
        <f>[1]!XLSTAT_PDFGeneral(B722,14, 16, 1)</f>
        <v>0</v>
      </c>
      <c r="I722">
        <v>722</v>
      </c>
      <c r="J722">
        <f t="shared" si="62"/>
        <v>-123456789</v>
      </c>
      <c r="K722">
        <f t="shared" si="63"/>
        <v>7.96</v>
      </c>
      <c r="L722">
        <f>[1]!XLSTAT_PDFGeneral(J722,17, 1)</f>
        <v>0</v>
      </c>
    </row>
    <row r="723" spans="1:12" x14ac:dyDescent="0.3">
      <c r="A723">
        <v>723</v>
      </c>
      <c r="B723">
        <f t="shared" si="60"/>
        <v>-123456789</v>
      </c>
      <c r="C723">
        <f t="shared" si="61"/>
        <v>17.332000000000001</v>
      </c>
      <c r="D723">
        <f>[1]!XLSTAT_PDFGeneral(B723,14, 16, 1)</f>
        <v>0</v>
      </c>
      <c r="I723">
        <v>723</v>
      </c>
      <c r="J723">
        <f t="shared" si="62"/>
        <v>-123456789</v>
      </c>
      <c r="K723">
        <f t="shared" si="63"/>
        <v>7.9459999999999997</v>
      </c>
      <c r="L723">
        <f>[1]!XLSTAT_PDFGeneral(J723,17, 1)</f>
        <v>0</v>
      </c>
    </row>
    <row r="724" spans="1:12" x14ac:dyDescent="0.3">
      <c r="A724">
        <v>724</v>
      </c>
      <c r="B724">
        <f t="shared" si="60"/>
        <v>17.332000000000001</v>
      </c>
      <c r="C724">
        <f t="shared" si="61"/>
        <v>17.332000000000001</v>
      </c>
      <c r="D724">
        <f>[1]!XLSTAT_PDFGeneral(B724,14, 16, 1)</f>
        <v>0.16430176142607766</v>
      </c>
      <c r="I724">
        <v>724</v>
      </c>
      <c r="J724">
        <f t="shared" si="62"/>
        <v>7.9459999999999997</v>
      </c>
      <c r="K724">
        <f t="shared" si="63"/>
        <v>7.9459999999999997</v>
      </c>
      <c r="L724">
        <f>[1]!XLSTAT_PDFGeneral(J724,17, 1)</f>
        <v>7.2991952613381413E-5</v>
      </c>
    </row>
    <row r="725" spans="1:12" x14ac:dyDescent="0.3">
      <c r="A725">
        <v>725</v>
      </c>
      <c r="B725">
        <f t="shared" si="60"/>
        <v>17.344000000000001</v>
      </c>
      <c r="C725">
        <f t="shared" si="61"/>
        <v>17.344000000000001</v>
      </c>
      <c r="D725">
        <f>[1]!XLSTAT_PDFGeneral(B725,14, 16, 1)</f>
        <v>0.1616847975504192</v>
      </c>
      <c r="I725">
        <v>725</v>
      </c>
      <c r="J725">
        <f t="shared" si="62"/>
        <v>7.9319999999999995</v>
      </c>
      <c r="K725">
        <f t="shared" si="63"/>
        <v>7.9319999999999995</v>
      </c>
      <c r="L725">
        <f>[1]!XLSTAT_PDFGeneral(J725,17, 1)</f>
        <v>7.2991952613381413E-5</v>
      </c>
    </row>
    <row r="726" spans="1:12" x14ac:dyDescent="0.3">
      <c r="A726">
        <v>726</v>
      </c>
      <c r="B726">
        <f t="shared" si="60"/>
        <v>-123456789</v>
      </c>
      <c r="C726">
        <f t="shared" si="61"/>
        <v>17.344000000000001</v>
      </c>
      <c r="D726">
        <f>[1]!XLSTAT_PDFGeneral(B726,14, 16, 1)</f>
        <v>0</v>
      </c>
      <c r="I726">
        <v>726</v>
      </c>
      <c r="J726">
        <f t="shared" si="62"/>
        <v>-123456789</v>
      </c>
      <c r="K726">
        <f t="shared" si="63"/>
        <v>7.9319999999999995</v>
      </c>
      <c r="L726">
        <f>[1]!XLSTAT_PDFGeneral(J726,17, 1)</f>
        <v>0</v>
      </c>
    </row>
    <row r="727" spans="1:12" x14ac:dyDescent="0.3">
      <c r="A727">
        <v>727</v>
      </c>
      <c r="B727">
        <f t="shared" si="60"/>
        <v>-123456789</v>
      </c>
      <c r="C727">
        <f t="shared" si="61"/>
        <v>17.356000000000002</v>
      </c>
      <c r="D727">
        <f>[1]!XLSTAT_PDFGeneral(B727,14, 16, 1)</f>
        <v>0</v>
      </c>
      <c r="I727">
        <v>727</v>
      </c>
      <c r="J727">
        <f t="shared" si="62"/>
        <v>-123456789</v>
      </c>
      <c r="K727">
        <f t="shared" si="63"/>
        <v>7.9180000000000001</v>
      </c>
      <c r="L727">
        <f>[1]!XLSTAT_PDFGeneral(J727,17, 1)</f>
        <v>0</v>
      </c>
    </row>
    <row r="728" spans="1:12" x14ac:dyDescent="0.3">
      <c r="A728">
        <v>728</v>
      </c>
      <c r="B728">
        <f t="shared" si="60"/>
        <v>17.356000000000002</v>
      </c>
      <c r="C728">
        <f t="shared" si="61"/>
        <v>17.356000000000002</v>
      </c>
      <c r="D728">
        <f>[1]!XLSTAT_PDFGeneral(B728,14, 16, 1)</f>
        <v>0.15908660600383029</v>
      </c>
      <c r="I728">
        <v>728</v>
      </c>
      <c r="J728">
        <f t="shared" si="62"/>
        <v>7.9180000000000001</v>
      </c>
      <c r="K728">
        <f t="shared" si="63"/>
        <v>7.9180000000000001</v>
      </c>
      <c r="L728">
        <f>[1]!XLSTAT_PDFGeneral(J728,17, 1)</f>
        <v>7.2991952613381413E-5</v>
      </c>
    </row>
    <row r="729" spans="1:12" x14ac:dyDescent="0.3">
      <c r="A729">
        <v>729</v>
      </c>
      <c r="B729">
        <f t="shared" si="60"/>
        <v>17.368000000000002</v>
      </c>
      <c r="C729">
        <f t="shared" si="61"/>
        <v>17.368000000000002</v>
      </c>
      <c r="D729">
        <f>[1]!XLSTAT_PDFGeneral(B729,14, 16, 1)</f>
        <v>0.15650762733813089</v>
      </c>
      <c r="I729">
        <v>729</v>
      </c>
      <c r="J729">
        <f t="shared" si="62"/>
        <v>7.9039999999999999</v>
      </c>
      <c r="K729">
        <f t="shared" si="63"/>
        <v>7.9039999999999999</v>
      </c>
      <c r="L729">
        <f>[1]!XLSTAT_PDFGeneral(J729,17, 1)</f>
        <v>7.2991952613381413E-5</v>
      </c>
    </row>
    <row r="730" spans="1:12" x14ac:dyDescent="0.3">
      <c r="A730">
        <v>730</v>
      </c>
      <c r="B730">
        <f t="shared" si="60"/>
        <v>-123456789</v>
      </c>
      <c r="C730">
        <f t="shared" si="61"/>
        <v>17.368000000000002</v>
      </c>
      <c r="D730">
        <f>[1]!XLSTAT_PDFGeneral(B730,14, 16, 1)</f>
        <v>0</v>
      </c>
      <c r="I730">
        <v>730</v>
      </c>
      <c r="J730">
        <f t="shared" si="62"/>
        <v>-123456789</v>
      </c>
      <c r="K730">
        <f t="shared" si="63"/>
        <v>7.9039999999999999</v>
      </c>
      <c r="L730">
        <f>[1]!XLSTAT_PDFGeneral(J730,17, 1)</f>
        <v>0</v>
      </c>
    </row>
    <row r="731" spans="1:12" x14ac:dyDescent="0.3">
      <c r="A731">
        <v>731</v>
      </c>
      <c r="B731">
        <f t="shared" si="60"/>
        <v>-123456789</v>
      </c>
      <c r="C731">
        <f t="shared" si="61"/>
        <v>17.38</v>
      </c>
      <c r="D731">
        <f>[1]!XLSTAT_PDFGeneral(B731,14, 16, 1)</f>
        <v>0</v>
      </c>
      <c r="I731">
        <v>731</v>
      </c>
      <c r="J731">
        <f t="shared" si="62"/>
        <v>-123456789</v>
      </c>
      <c r="K731">
        <f t="shared" si="63"/>
        <v>7.89</v>
      </c>
      <c r="L731">
        <f>[1]!XLSTAT_PDFGeneral(J731,17, 1)</f>
        <v>0</v>
      </c>
    </row>
    <row r="732" spans="1:12" x14ac:dyDescent="0.3">
      <c r="A732">
        <v>732</v>
      </c>
      <c r="B732">
        <f t="shared" si="60"/>
        <v>17.38</v>
      </c>
      <c r="C732">
        <f t="shared" si="61"/>
        <v>17.38</v>
      </c>
      <c r="D732">
        <f>[1]!XLSTAT_PDFGeneral(B732,14, 16, 1)</f>
        <v>0.15394828676263392</v>
      </c>
      <c r="I732">
        <v>732</v>
      </c>
      <c r="J732">
        <f t="shared" si="62"/>
        <v>7.89</v>
      </c>
      <c r="K732">
        <f t="shared" si="63"/>
        <v>7.89</v>
      </c>
      <c r="L732">
        <f>[1]!XLSTAT_PDFGeneral(J732,17, 1)</f>
        <v>7.2991952613381413E-5</v>
      </c>
    </row>
    <row r="733" spans="1:12" x14ac:dyDescent="0.3">
      <c r="A733">
        <v>733</v>
      </c>
      <c r="B733">
        <f t="shared" si="60"/>
        <v>17.391999999999999</v>
      </c>
      <c r="C733">
        <f t="shared" si="61"/>
        <v>17.391999999999999</v>
      </c>
      <c r="D733">
        <f>[1]!XLSTAT_PDFGeneral(B733,14, 16, 1)</f>
        <v>0.15140899414994635</v>
      </c>
      <c r="I733">
        <v>733</v>
      </c>
      <c r="J733">
        <f t="shared" si="62"/>
        <v>7.8760000000000003</v>
      </c>
      <c r="K733">
        <f t="shared" si="63"/>
        <v>7.8760000000000003</v>
      </c>
      <c r="L733">
        <f>[1]!XLSTAT_PDFGeneral(J733,17, 1)</f>
        <v>7.2991952613381413E-5</v>
      </c>
    </row>
    <row r="734" spans="1:12" x14ac:dyDescent="0.3">
      <c r="A734">
        <v>734</v>
      </c>
      <c r="B734">
        <f t="shared" si="60"/>
        <v>-123456789</v>
      </c>
      <c r="C734">
        <f t="shared" si="61"/>
        <v>17.391999999999999</v>
      </c>
      <c r="D734">
        <f>[1]!XLSTAT_PDFGeneral(B734,14, 16, 1)</f>
        <v>0</v>
      </c>
      <c r="I734">
        <v>734</v>
      </c>
      <c r="J734">
        <f t="shared" si="62"/>
        <v>-123456789</v>
      </c>
      <c r="K734">
        <f t="shared" si="63"/>
        <v>7.8760000000000003</v>
      </c>
      <c r="L734">
        <f>[1]!XLSTAT_PDFGeneral(J734,17, 1)</f>
        <v>0</v>
      </c>
    </row>
    <row r="735" spans="1:12" x14ac:dyDescent="0.3">
      <c r="A735">
        <v>735</v>
      </c>
      <c r="B735">
        <f t="shared" si="60"/>
        <v>-123456789</v>
      </c>
      <c r="C735">
        <f t="shared" si="61"/>
        <v>17.404</v>
      </c>
      <c r="D735">
        <f>[1]!XLSTAT_PDFGeneral(B735,14, 16, 1)</f>
        <v>0</v>
      </c>
      <c r="I735">
        <v>735</v>
      </c>
      <c r="J735">
        <f t="shared" si="62"/>
        <v>-123456789</v>
      </c>
      <c r="K735">
        <f t="shared" si="63"/>
        <v>7.8620000000000001</v>
      </c>
      <c r="L735">
        <f>[1]!XLSTAT_PDFGeneral(J735,17, 1)</f>
        <v>0</v>
      </c>
    </row>
    <row r="736" spans="1:12" x14ac:dyDescent="0.3">
      <c r="A736">
        <v>736</v>
      </c>
      <c r="B736">
        <f t="shared" si="60"/>
        <v>17.404</v>
      </c>
      <c r="C736">
        <f t="shared" si="61"/>
        <v>17.404</v>
      </c>
      <c r="D736">
        <f>[1]!XLSTAT_PDFGeneral(B736,14, 16, 1)</f>
        <v>0.1488901440526344</v>
      </c>
      <c r="I736">
        <v>736</v>
      </c>
      <c r="J736">
        <f t="shared" si="62"/>
        <v>7.8620000000000001</v>
      </c>
      <c r="K736">
        <f t="shared" si="63"/>
        <v>7.8620000000000001</v>
      </c>
      <c r="L736">
        <f>[1]!XLSTAT_PDFGeneral(J736,17, 1)</f>
        <v>7.2991952613381413E-5</v>
      </c>
    </row>
    <row r="737" spans="1:12" x14ac:dyDescent="0.3">
      <c r="A737">
        <v>737</v>
      </c>
      <c r="B737">
        <f t="shared" si="60"/>
        <v>17.416</v>
      </c>
      <c r="C737">
        <f t="shared" si="61"/>
        <v>17.416</v>
      </c>
      <c r="D737">
        <f>[1]!XLSTAT_PDFGeneral(B737,14, 16, 1)</f>
        <v>0.1463921157305455</v>
      </c>
      <c r="I737">
        <v>737</v>
      </c>
      <c r="J737">
        <f t="shared" si="62"/>
        <v>7.8479999999999999</v>
      </c>
      <c r="K737">
        <f t="shared" si="63"/>
        <v>7.8479999999999999</v>
      </c>
      <c r="L737">
        <f>[1]!XLSTAT_PDFGeneral(J737,17, 1)</f>
        <v>7.2991952613381413E-5</v>
      </c>
    </row>
    <row r="738" spans="1:12" x14ac:dyDescent="0.3">
      <c r="A738">
        <v>738</v>
      </c>
      <c r="B738">
        <f t="shared" si="60"/>
        <v>-123456789</v>
      </c>
      <c r="C738">
        <f t="shared" si="61"/>
        <v>17.416</v>
      </c>
      <c r="D738">
        <f>[1]!XLSTAT_PDFGeneral(B738,14, 16, 1)</f>
        <v>0</v>
      </c>
      <c r="I738">
        <v>738</v>
      </c>
      <c r="J738">
        <f t="shared" si="62"/>
        <v>-123456789</v>
      </c>
      <c r="K738">
        <f t="shared" si="63"/>
        <v>7.8479999999999999</v>
      </c>
      <c r="L738">
        <f>[1]!XLSTAT_PDFGeneral(J738,17, 1)</f>
        <v>0</v>
      </c>
    </row>
    <row r="739" spans="1:12" x14ac:dyDescent="0.3">
      <c r="A739">
        <v>739</v>
      </c>
      <c r="B739">
        <f t="shared" si="60"/>
        <v>-123456789</v>
      </c>
      <c r="C739">
        <f t="shared" si="61"/>
        <v>17.428000000000001</v>
      </c>
      <c r="D739">
        <f>[1]!XLSTAT_PDFGeneral(B739,14, 16, 1)</f>
        <v>0</v>
      </c>
      <c r="I739">
        <v>739</v>
      </c>
      <c r="J739">
        <f t="shared" si="62"/>
        <v>-123456789</v>
      </c>
      <c r="K739">
        <f t="shared" si="63"/>
        <v>7.8339999999999996</v>
      </c>
      <c r="L739">
        <f>[1]!XLSTAT_PDFGeneral(J739,17, 1)</f>
        <v>0</v>
      </c>
    </row>
    <row r="740" spans="1:12" x14ac:dyDescent="0.3">
      <c r="A740">
        <v>740</v>
      </c>
      <c r="B740">
        <f t="shared" si="60"/>
        <v>17.428000000000001</v>
      </c>
      <c r="C740">
        <f t="shared" si="61"/>
        <v>17.428000000000001</v>
      </c>
      <c r="D740">
        <f>[1]!XLSTAT_PDFGeneral(B740,14, 16, 1)</f>
        <v>0.1439152731885997</v>
      </c>
      <c r="I740">
        <v>740</v>
      </c>
      <c r="J740">
        <f t="shared" si="62"/>
        <v>7.8339999999999996</v>
      </c>
      <c r="K740">
        <f t="shared" si="63"/>
        <v>7.8339999999999996</v>
      </c>
      <c r="L740">
        <f>[1]!XLSTAT_PDFGeneral(J740,17, 1)</f>
        <v>7.2991952613381413E-5</v>
      </c>
    </row>
    <row r="741" spans="1:12" x14ac:dyDescent="0.3">
      <c r="A741">
        <v>741</v>
      </c>
      <c r="B741">
        <f t="shared" si="60"/>
        <v>17.440000000000001</v>
      </c>
      <c r="C741">
        <f t="shared" si="61"/>
        <v>17.440000000000001</v>
      </c>
      <c r="D741">
        <f>[1]!XLSTAT_PDFGeneral(B741,14, 16, 1)</f>
        <v>0.14145996522483853</v>
      </c>
      <c r="I741">
        <v>741</v>
      </c>
      <c r="J741">
        <f t="shared" si="62"/>
        <v>7.82</v>
      </c>
      <c r="K741">
        <f t="shared" si="63"/>
        <v>7.82</v>
      </c>
      <c r="L741">
        <f>[1]!XLSTAT_PDFGeneral(J741,17, 1)</f>
        <v>7.2991952613381413E-5</v>
      </c>
    </row>
    <row r="742" spans="1:12" x14ac:dyDescent="0.3">
      <c r="A742">
        <v>742</v>
      </c>
      <c r="B742">
        <f t="shared" si="60"/>
        <v>-123456789</v>
      </c>
      <c r="C742">
        <f t="shared" si="61"/>
        <v>17.440000000000001</v>
      </c>
      <c r="D742">
        <f>[1]!XLSTAT_PDFGeneral(B742,14, 16, 1)</f>
        <v>0</v>
      </c>
      <c r="I742">
        <v>742</v>
      </c>
      <c r="J742">
        <f t="shared" si="62"/>
        <v>-123456789</v>
      </c>
      <c r="K742">
        <f t="shared" si="63"/>
        <v>7.82</v>
      </c>
      <c r="L742">
        <f>[1]!XLSTAT_PDFGeneral(J742,17, 1)</f>
        <v>0</v>
      </c>
    </row>
    <row r="743" spans="1:12" x14ac:dyDescent="0.3">
      <c r="A743">
        <v>743</v>
      </c>
      <c r="B743">
        <f t="shared" si="60"/>
        <v>-123456789</v>
      </c>
      <c r="C743">
        <f t="shared" si="61"/>
        <v>17.451999999999998</v>
      </c>
      <c r="D743">
        <f>[1]!XLSTAT_PDFGeneral(B743,14, 16, 1)</f>
        <v>0</v>
      </c>
      <c r="I743">
        <v>743</v>
      </c>
      <c r="J743">
        <f t="shared" si="62"/>
        <v>-123456789</v>
      </c>
      <c r="K743">
        <f t="shared" si="63"/>
        <v>7.806</v>
      </c>
      <c r="L743">
        <f>[1]!XLSTAT_PDFGeneral(J743,17, 1)</f>
        <v>0</v>
      </c>
    </row>
    <row r="744" spans="1:12" x14ac:dyDescent="0.3">
      <c r="A744">
        <v>744</v>
      </c>
      <c r="B744">
        <f t="shared" si="60"/>
        <v>17.451999999999998</v>
      </c>
      <c r="C744">
        <f t="shared" si="61"/>
        <v>17.451999999999998</v>
      </c>
      <c r="D744">
        <f>[1]!XLSTAT_PDFGeneral(B744,14, 16, 1)</f>
        <v>0.13902652548852062</v>
      </c>
      <c r="I744">
        <v>744</v>
      </c>
      <c r="J744">
        <f t="shared" si="62"/>
        <v>7.806</v>
      </c>
      <c r="K744">
        <f t="shared" si="63"/>
        <v>7.806</v>
      </c>
      <c r="L744">
        <f>[1]!XLSTAT_PDFGeneral(J744,17, 1)</f>
        <v>7.2991952613381413E-5</v>
      </c>
    </row>
    <row r="745" spans="1:12" x14ac:dyDescent="0.3">
      <c r="A745">
        <v>745</v>
      </c>
      <c r="B745">
        <f t="shared" si="60"/>
        <v>17.463999999999999</v>
      </c>
      <c r="C745">
        <f t="shared" si="61"/>
        <v>17.463999999999999</v>
      </c>
      <c r="D745">
        <f>[1]!XLSTAT_PDFGeneral(B745,14, 16, 1)</f>
        <v>0.13661527254803926</v>
      </c>
      <c r="I745">
        <v>745</v>
      </c>
      <c r="J745">
        <f t="shared" si="62"/>
        <v>7.7919999999999998</v>
      </c>
      <c r="K745">
        <f t="shared" si="63"/>
        <v>7.7919999999999998</v>
      </c>
      <c r="L745">
        <f>[1]!XLSTAT_PDFGeneral(J745,17, 1)</f>
        <v>7.2991952613381413E-5</v>
      </c>
    </row>
    <row r="746" spans="1:12" x14ac:dyDescent="0.3">
      <c r="A746">
        <v>746</v>
      </c>
      <c r="B746">
        <f t="shared" si="60"/>
        <v>-123456789</v>
      </c>
      <c r="C746">
        <f t="shared" si="61"/>
        <v>17.463999999999999</v>
      </c>
      <c r="D746">
        <f>[1]!XLSTAT_PDFGeneral(B746,14, 16, 1)</f>
        <v>0</v>
      </c>
      <c r="I746">
        <v>746</v>
      </c>
      <c r="J746">
        <f t="shared" si="62"/>
        <v>-123456789</v>
      </c>
      <c r="K746">
        <f t="shared" si="63"/>
        <v>7.7919999999999998</v>
      </c>
      <c r="L746">
        <f>[1]!XLSTAT_PDFGeneral(J746,17, 1)</f>
        <v>0</v>
      </c>
    </row>
    <row r="747" spans="1:12" x14ac:dyDescent="0.3">
      <c r="A747">
        <v>747</v>
      </c>
      <c r="B747">
        <f t="shared" si="60"/>
        <v>-123456789</v>
      </c>
      <c r="C747">
        <f t="shared" si="61"/>
        <v>17.475999999999999</v>
      </c>
      <c r="D747">
        <f>[1]!XLSTAT_PDFGeneral(B747,14, 16, 1)</f>
        <v>0</v>
      </c>
      <c r="I747">
        <v>747</v>
      </c>
      <c r="J747">
        <f t="shared" si="62"/>
        <v>-123456789</v>
      </c>
      <c r="K747">
        <f t="shared" si="63"/>
        <v>7.7779999999999996</v>
      </c>
      <c r="L747">
        <f>[1]!XLSTAT_PDFGeneral(J747,17, 1)</f>
        <v>0</v>
      </c>
    </row>
    <row r="748" spans="1:12" x14ac:dyDescent="0.3">
      <c r="A748">
        <v>748</v>
      </c>
      <c r="B748">
        <f t="shared" si="60"/>
        <v>17.475999999999999</v>
      </c>
      <c r="C748">
        <f t="shared" si="61"/>
        <v>17.475999999999999</v>
      </c>
      <c r="D748">
        <f>[1]!XLSTAT_PDFGeneral(B748,14, 16, 1)</f>
        <v>0.13422650996844721</v>
      </c>
      <c r="I748">
        <v>748</v>
      </c>
      <c r="J748">
        <f t="shared" si="62"/>
        <v>7.7779999999999996</v>
      </c>
      <c r="K748">
        <f t="shared" si="63"/>
        <v>7.7779999999999996</v>
      </c>
      <c r="L748">
        <f>[1]!XLSTAT_PDFGeneral(J748,17, 1)</f>
        <v>7.2991952613381413E-5</v>
      </c>
    </row>
    <row r="749" spans="1:12" x14ac:dyDescent="0.3">
      <c r="A749">
        <v>749</v>
      </c>
      <c r="B749">
        <f t="shared" si="60"/>
        <v>17.488</v>
      </c>
      <c r="C749">
        <f t="shared" si="61"/>
        <v>17.488</v>
      </c>
      <c r="D749">
        <f>[1]!XLSTAT_PDFGeneral(B749,14, 16, 1)</f>
        <v>0.13186052639834292</v>
      </c>
      <c r="I749">
        <v>749</v>
      </c>
      <c r="J749">
        <f t="shared" si="62"/>
        <v>7.7640000000000002</v>
      </c>
      <c r="K749">
        <f t="shared" si="63"/>
        <v>7.7640000000000002</v>
      </c>
      <c r="L749">
        <f>[1]!XLSTAT_PDFGeneral(J749,17, 1)</f>
        <v>7.2991952613381413E-5</v>
      </c>
    </row>
    <row r="750" spans="1:12" x14ac:dyDescent="0.3">
      <c r="A750">
        <v>750</v>
      </c>
      <c r="B750">
        <f t="shared" si="60"/>
        <v>-123456789</v>
      </c>
      <c r="C750">
        <f t="shared" si="61"/>
        <v>17.488</v>
      </c>
      <c r="D750">
        <f>[1]!XLSTAT_PDFGeneral(B750,14, 16, 1)</f>
        <v>0</v>
      </c>
      <c r="I750">
        <v>750</v>
      </c>
      <c r="J750">
        <f t="shared" si="62"/>
        <v>-123456789</v>
      </c>
      <c r="K750">
        <f t="shared" si="63"/>
        <v>7.7640000000000002</v>
      </c>
      <c r="L750">
        <f>[1]!XLSTAT_PDFGeneral(J750,17, 1)</f>
        <v>0</v>
      </c>
    </row>
    <row r="751" spans="1:12" x14ac:dyDescent="0.3">
      <c r="A751">
        <v>751</v>
      </c>
      <c r="B751">
        <f t="shared" si="60"/>
        <v>-123456789</v>
      </c>
      <c r="C751">
        <f t="shared" si="61"/>
        <v>17.5</v>
      </c>
      <c r="D751">
        <f>[1]!XLSTAT_PDFGeneral(B751,14, 16, 1)</f>
        <v>0</v>
      </c>
      <c r="I751">
        <v>751</v>
      </c>
      <c r="J751">
        <f t="shared" si="62"/>
        <v>-123456789</v>
      </c>
      <c r="K751">
        <f t="shared" si="63"/>
        <v>7.75</v>
      </c>
      <c r="L751">
        <f>[1]!XLSTAT_PDFGeneral(J751,17, 1)</f>
        <v>0</v>
      </c>
    </row>
    <row r="752" spans="1:12" x14ac:dyDescent="0.3">
      <c r="A752">
        <v>752</v>
      </c>
      <c r="B752">
        <f t="shared" si="60"/>
        <v>17.5</v>
      </c>
      <c r="C752">
        <f t="shared" si="61"/>
        <v>17.5</v>
      </c>
      <c r="D752">
        <f>[1]!XLSTAT_PDFGeneral(B752,14, 16, 1)</f>
        <v>0.12951759566589174</v>
      </c>
      <c r="I752">
        <v>752</v>
      </c>
      <c r="J752">
        <f t="shared" si="62"/>
        <v>7.75</v>
      </c>
      <c r="K752">
        <f t="shared" si="63"/>
        <v>7.75</v>
      </c>
      <c r="L752">
        <f>[1]!XLSTAT_PDFGeneral(J752,17, 1)</f>
        <v>7.2991952613381413E-5</v>
      </c>
    </row>
    <row r="753" spans="1:12" x14ac:dyDescent="0.3">
      <c r="A753">
        <v>753</v>
      </c>
      <c r="B753">
        <f t="shared" si="60"/>
        <v>17.512</v>
      </c>
      <c r="C753">
        <f t="shared" si="61"/>
        <v>17.512</v>
      </c>
      <c r="D753">
        <f>[1]!XLSTAT_PDFGeneral(B753,14, 16, 1)</f>
        <v>0.12719797688373641</v>
      </c>
      <c r="I753">
        <v>753</v>
      </c>
      <c r="J753">
        <f t="shared" si="62"/>
        <v>7.7359999999999998</v>
      </c>
      <c r="K753">
        <f t="shared" si="63"/>
        <v>7.7359999999999998</v>
      </c>
      <c r="L753">
        <f>[1]!XLSTAT_PDFGeneral(J753,17, 1)</f>
        <v>7.2991952613381413E-5</v>
      </c>
    </row>
    <row r="754" spans="1:12" x14ac:dyDescent="0.3">
      <c r="A754">
        <v>754</v>
      </c>
      <c r="B754">
        <f t="shared" si="60"/>
        <v>-123456789</v>
      </c>
      <c r="C754">
        <f t="shared" si="61"/>
        <v>17.512</v>
      </c>
      <c r="D754">
        <f>[1]!XLSTAT_PDFGeneral(B754,14, 16, 1)</f>
        <v>0</v>
      </c>
      <c r="I754">
        <v>754</v>
      </c>
      <c r="J754">
        <f t="shared" si="62"/>
        <v>-123456789</v>
      </c>
      <c r="K754">
        <f t="shared" si="63"/>
        <v>7.7359999999999998</v>
      </c>
      <c r="L754">
        <f>[1]!XLSTAT_PDFGeneral(J754,17, 1)</f>
        <v>0</v>
      </c>
    </row>
    <row r="755" spans="1:12" x14ac:dyDescent="0.3">
      <c r="A755">
        <v>755</v>
      </c>
      <c r="B755">
        <f t="shared" si="60"/>
        <v>-123456789</v>
      </c>
      <c r="C755">
        <f t="shared" si="61"/>
        <v>17.524000000000001</v>
      </c>
      <c r="D755">
        <f>[1]!XLSTAT_PDFGeneral(B755,14, 16, 1)</f>
        <v>0</v>
      </c>
      <c r="I755">
        <v>755</v>
      </c>
      <c r="J755">
        <f t="shared" si="62"/>
        <v>-123456789</v>
      </c>
      <c r="K755">
        <f t="shared" si="63"/>
        <v>7.7219999999999995</v>
      </c>
      <c r="L755">
        <f>[1]!XLSTAT_PDFGeneral(J755,17, 1)</f>
        <v>0</v>
      </c>
    </row>
    <row r="756" spans="1:12" x14ac:dyDescent="0.3">
      <c r="A756">
        <v>756</v>
      </c>
      <c r="B756">
        <f t="shared" si="60"/>
        <v>17.524000000000001</v>
      </c>
      <c r="C756">
        <f t="shared" si="61"/>
        <v>17.524000000000001</v>
      </c>
      <c r="D756">
        <f>[1]!XLSTAT_PDFGeneral(B756,14, 16, 1)</f>
        <v>0.12490191456255056</v>
      </c>
      <c r="I756">
        <v>756</v>
      </c>
      <c r="J756">
        <f t="shared" si="62"/>
        <v>7.7219999999999995</v>
      </c>
      <c r="K756">
        <f t="shared" si="63"/>
        <v>7.7219999999999995</v>
      </c>
      <c r="L756">
        <f>[1]!XLSTAT_PDFGeneral(J756,17, 1)</f>
        <v>7.2991952613381413E-5</v>
      </c>
    </row>
    <row r="757" spans="1:12" x14ac:dyDescent="0.3">
      <c r="A757">
        <v>757</v>
      </c>
      <c r="B757">
        <f t="shared" si="60"/>
        <v>17.536000000000001</v>
      </c>
      <c r="C757">
        <f t="shared" si="61"/>
        <v>17.536000000000001</v>
      </c>
      <c r="D757">
        <f>[1]!XLSTAT_PDFGeneral(B757,14, 16, 1)</f>
        <v>0.12262963873298476</v>
      </c>
      <c r="I757">
        <v>757</v>
      </c>
      <c r="J757">
        <f t="shared" si="62"/>
        <v>7.7080000000000002</v>
      </c>
      <c r="K757">
        <f t="shared" si="63"/>
        <v>7.7080000000000002</v>
      </c>
      <c r="L757">
        <f>[1]!XLSTAT_PDFGeneral(J757,17, 1)</f>
        <v>7.2991952613381413E-5</v>
      </c>
    </row>
    <row r="758" spans="1:12" x14ac:dyDescent="0.3">
      <c r="A758">
        <v>758</v>
      </c>
      <c r="B758">
        <f t="shared" si="60"/>
        <v>-123456789</v>
      </c>
      <c r="C758">
        <f t="shared" si="61"/>
        <v>17.536000000000001</v>
      </c>
      <c r="D758">
        <f>[1]!XLSTAT_PDFGeneral(B758,14, 16, 1)</f>
        <v>0</v>
      </c>
      <c r="I758">
        <v>758</v>
      </c>
      <c r="J758">
        <f t="shared" si="62"/>
        <v>-123456789</v>
      </c>
      <c r="K758">
        <f t="shared" si="63"/>
        <v>7.7080000000000002</v>
      </c>
      <c r="L758">
        <f>[1]!XLSTAT_PDFGeneral(J758,17, 1)</f>
        <v>0</v>
      </c>
    </row>
    <row r="759" spans="1:12" x14ac:dyDescent="0.3">
      <c r="A759">
        <v>759</v>
      </c>
      <c r="B759">
        <f t="shared" si="60"/>
        <v>-123456789</v>
      </c>
      <c r="C759">
        <f t="shared" si="61"/>
        <v>17.548000000000002</v>
      </c>
      <c r="D759">
        <f>[1]!XLSTAT_PDFGeneral(B759,14, 16, 1)</f>
        <v>0</v>
      </c>
      <c r="I759">
        <v>759</v>
      </c>
      <c r="J759">
        <f t="shared" si="62"/>
        <v>-123456789</v>
      </c>
      <c r="K759">
        <f t="shared" si="63"/>
        <v>7.694</v>
      </c>
      <c r="L759">
        <f>[1]!XLSTAT_PDFGeneral(J759,17, 1)</f>
        <v>0</v>
      </c>
    </row>
    <row r="760" spans="1:12" x14ac:dyDescent="0.3">
      <c r="A760">
        <v>760</v>
      </c>
      <c r="B760">
        <f t="shared" si="60"/>
        <v>17.548000000000002</v>
      </c>
      <c r="C760">
        <f t="shared" si="61"/>
        <v>17.548000000000002</v>
      </c>
      <c r="D760">
        <f>[1]!XLSTAT_PDFGeneral(B760,14, 16, 1)</f>
        <v>0.12038136507575013</v>
      </c>
      <c r="I760">
        <v>760</v>
      </c>
      <c r="J760">
        <f t="shared" si="62"/>
        <v>7.694</v>
      </c>
      <c r="K760">
        <f t="shared" si="63"/>
        <v>7.694</v>
      </c>
      <c r="L760">
        <f>[1]!XLSTAT_PDFGeneral(J760,17, 1)</f>
        <v>7.2991952613381413E-5</v>
      </c>
    </row>
    <row r="761" spans="1:12" x14ac:dyDescent="0.3">
      <c r="A761">
        <v>761</v>
      </c>
      <c r="B761">
        <f t="shared" si="60"/>
        <v>17.560000000000002</v>
      </c>
      <c r="C761">
        <f t="shared" si="61"/>
        <v>17.560000000000002</v>
      </c>
      <c r="D761">
        <f>[1]!XLSTAT_PDFGeneral(B761,14, 16, 1)</f>
        <v>0.11815729505958185</v>
      </c>
      <c r="I761">
        <v>761</v>
      </c>
      <c r="J761">
        <f t="shared" si="62"/>
        <v>7.68</v>
      </c>
      <c r="K761">
        <f t="shared" si="63"/>
        <v>7.68</v>
      </c>
      <c r="L761">
        <f>[1]!XLSTAT_PDFGeneral(J761,17, 1)</f>
        <v>7.2991952613381413E-5</v>
      </c>
    </row>
    <row r="762" spans="1:12" x14ac:dyDescent="0.3">
      <c r="A762">
        <v>762</v>
      </c>
      <c r="B762">
        <f t="shared" si="60"/>
        <v>-123456789</v>
      </c>
      <c r="C762">
        <f t="shared" si="61"/>
        <v>17.560000000000002</v>
      </c>
      <c r="D762">
        <f>[1]!XLSTAT_PDFGeneral(B762,14, 16, 1)</f>
        <v>0</v>
      </c>
      <c r="I762">
        <v>762</v>
      </c>
      <c r="J762">
        <f t="shared" si="62"/>
        <v>-123456789</v>
      </c>
      <c r="K762">
        <f t="shared" si="63"/>
        <v>7.68</v>
      </c>
      <c r="L762">
        <f>[1]!XLSTAT_PDFGeneral(J762,17, 1)</f>
        <v>0</v>
      </c>
    </row>
    <row r="763" spans="1:12" x14ac:dyDescent="0.3">
      <c r="A763">
        <v>763</v>
      </c>
      <c r="B763">
        <f t="shared" si="60"/>
        <v>-123456789</v>
      </c>
      <c r="C763">
        <f t="shared" si="61"/>
        <v>17.571999999999999</v>
      </c>
      <c r="D763">
        <f>[1]!XLSTAT_PDFGeneral(B763,14, 16, 1)</f>
        <v>0</v>
      </c>
      <c r="I763">
        <v>763</v>
      </c>
      <c r="J763">
        <f t="shared" si="62"/>
        <v>-123456789</v>
      </c>
      <c r="K763">
        <f t="shared" si="63"/>
        <v>7.6659999999999995</v>
      </c>
      <c r="L763">
        <f>[1]!XLSTAT_PDFGeneral(J763,17, 1)</f>
        <v>0</v>
      </c>
    </row>
    <row r="764" spans="1:12" x14ac:dyDescent="0.3">
      <c r="A764">
        <v>764</v>
      </c>
      <c r="B764">
        <f t="shared" si="60"/>
        <v>17.571999999999999</v>
      </c>
      <c r="C764">
        <f t="shared" si="61"/>
        <v>17.571999999999999</v>
      </c>
      <c r="D764">
        <f>[1]!XLSTAT_PDFGeneral(B764,14, 16, 1)</f>
        <v>0.11595761608682097</v>
      </c>
      <c r="I764">
        <v>764</v>
      </c>
      <c r="J764">
        <f t="shared" si="62"/>
        <v>7.6659999999999995</v>
      </c>
      <c r="K764">
        <f t="shared" si="63"/>
        <v>7.6659999999999995</v>
      </c>
      <c r="L764">
        <f>[1]!XLSTAT_PDFGeneral(J764,17, 1)</f>
        <v>7.2991952613381413E-5</v>
      </c>
    </row>
    <row r="765" spans="1:12" x14ac:dyDescent="0.3">
      <c r="A765">
        <v>765</v>
      </c>
      <c r="B765">
        <f t="shared" si="60"/>
        <v>17.584</v>
      </c>
      <c r="C765">
        <f t="shared" si="61"/>
        <v>17.584</v>
      </c>
      <c r="D765">
        <f>[1]!XLSTAT_PDFGeneral(B765,14, 16, 1)</f>
        <v>0.11378250164634683</v>
      </c>
      <c r="I765">
        <v>765</v>
      </c>
      <c r="J765">
        <f t="shared" si="62"/>
        <v>7.6520000000000001</v>
      </c>
      <c r="K765">
        <f t="shared" si="63"/>
        <v>7.6520000000000001</v>
      </c>
      <c r="L765">
        <f>[1]!XLSTAT_PDFGeneral(J765,17, 1)</f>
        <v>7.2991952613381413E-5</v>
      </c>
    </row>
    <row r="766" spans="1:12" x14ac:dyDescent="0.3">
      <c r="A766">
        <v>766</v>
      </c>
      <c r="B766">
        <f t="shared" si="60"/>
        <v>-123456789</v>
      </c>
      <c r="C766">
        <f t="shared" si="61"/>
        <v>17.584</v>
      </c>
      <c r="D766">
        <f>[1]!XLSTAT_PDFGeneral(B766,14, 16, 1)</f>
        <v>0</v>
      </c>
      <c r="I766">
        <v>766</v>
      </c>
      <c r="J766">
        <f t="shared" si="62"/>
        <v>-123456789</v>
      </c>
      <c r="K766">
        <f t="shared" si="63"/>
        <v>7.6520000000000001</v>
      </c>
      <c r="L766">
        <f>[1]!XLSTAT_PDFGeneral(J766,17, 1)</f>
        <v>0</v>
      </c>
    </row>
    <row r="767" spans="1:12" x14ac:dyDescent="0.3">
      <c r="A767">
        <v>767</v>
      </c>
      <c r="B767">
        <f t="shared" si="60"/>
        <v>-123456789</v>
      </c>
      <c r="C767">
        <f t="shared" si="61"/>
        <v>17.596</v>
      </c>
      <c r="D767">
        <f>[1]!XLSTAT_PDFGeneral(B767,14, 16, 1)</f>
        <v>0</v>
      </c>
      <c r="I767">
        <v>767</v>
      </c>
      <c r="J767">
        <f t="shared" si="62"/>
        <v>-123456789</v>
      </c>
      <c r="K767">
        <f t="shared" si="63"/>
        <v>7.6379999999999999</v>
      </c>
      <c r="L767">
        <f>[1]!XLSTAT_PDFGeneral(J767,17, 1)</f>
        <v>0</v>
      </c>
    </row>
    <row r="768" spans="1:12" x14ac:dyDescent="0.3">
      <c r="A768">
        <v>768</v>
      </c>
      <c r="B768">
        <f t="shared" si="60"/>
        <v>17.596</v>
      </c>
      <c r="C768">
        <f t="shared" si="61"/>
        <v>17.596</v>
      </c>
      <c r="D768">
        <f>[1]!XLSTAT_PDFGeneral(B768,14, 16, 1)</f>
        <v>0.11163211147360337</v>
      </c>
      <c r="I768">
        <v>768</v>
      </c>
      <c r="J768">
        <f t="shared" si="62"/>
        <v>7.6379999999999999</v>
      </c>
      <c r="K768">
        <f t="shared" si="63"/>
        <v>7.6379999999999999</v>
      </c>
      <c r="L768">
        <f>[1]!XLSTAT_PDFGeneral(J768,17, 1)</f>
        <v>7.2991952613381413E-5</v>
      </c>
    </row>
    <row r="769" spans="1:12" x14ac:dyDescent="0.3">
      <c r="A769">
        <v>769</v>
      </c>
      <c r="B769">
        <f t="shared" ref="B769:B832" si="64">IF(-1^(INT(A769/2)+2)&gt;0,13+2*INT(A769/2-1/2)*0.006,-123456789)</f>
        <v>17.608000000000001</v>
      </c>
      <c r="C769">
        <f t="shared" ref="C769:C832" si="65">13+2*INT(A769/2-1/2)*0.006</f>
        <v>17.608000000000001</v>
      </c>
      <c r="D769">
        <f>[1]!XLSTAT_PDFGeneral(B769,14, 16, 1)</f>
        <v>0.10950659171743668</v>
      </c>
      <c r="I769">
        <v>769</v>
      </c>
      <c r="J769">
        <f t="shared" ref="J769:J832" si="66">IF(-1^(INT(I769/2)+2)&gt;0,13+2*INT(I769/2-1/2)*-0.007,-123456789)</f>
        <v>7.6239999999999997</v>
      </c>
      <c r="K769">
        <f t="shared" ref="K769:K832" si="67">13+2*INT(I769/2-1/2)*-0.007</f>
        <v>7.6239999999999997</v>
      </c>
      <c r="L769">
        <f>[1]!XLSTAT_PDFGeneral(J769,17, 1)</f>
        <v>7.2991952613381413E-5</v>
      </c>
    </row>
    <row r="770" spans="1:12" x14ac:dyDescent="0.3">
      <c r="A770">
        <v>770</v>
      </c>
      <c r="B770">
        <f t="shared" si="64"/>
        <v>-123456789</v>
      </c>
      <c r="C770">
        <f t="shared" si="65"/>
        <v>17.608000000000001</v>
      </c>
      <c r="D770">
        <f>[1]!XLSTAT_PDFGeneral(B770,14, 16, 1)</f>
        <v>0</v>
      </c>
      <c r="I770">
        <v>770</v>
      </c>
      <c r="J770">
        <f t="shared" si="66"/>
        <v>-123456789</v>
      </c>
      <c r="K770">
        <f t="shared" si="67"/>
        <v>7.6239999999999997</v>
      </c>
      <c r="L770">
        <f>[1]!XLSTAT_PDFGeneral(J770,17, 1)</f>
        <v>0</v>
      </c>
    </row>
    <row r="771" spans="1:12" x14ac:dyDescent="0.3">
      <c r="A771">
        <v>771</v>
      </c>
      <c r="B771">
        <f t="shared" si="64"/>
        <v>-123456789</v>
      </c>
      <c r="C771">
        <f t="shared" si="65"/>
        <v>17.62</v>
      </c>
      <c r="D771">
        <f>[1]!XLSTAT_PDFGeneral(B771,14, 16, 1)</f>
        <v>0</v>
      </c>
      <c r="I771">
        <v>771</v>
      </c>
      <c r="J771">
        <f t="shared" si="66"/>
        <v>-123456789</v>
      </c>
      <c r="K771">
        <f t="shared" si="67"/>
        <v>7.61</v>
      </c>
      <c r="L771">
        <f>[1]!XLSTAT_PDFGeneral(J771,17, 1)</f>
        <v>0</v>
      </c>
    </row>
    <row r="772" spans="1:12" x14ac:dyDescent="0.3">
      <c r="A772">
        <v>772</v>
      </c>
      <c r="B772">
        <f t="shared" si="64"/>
        <v>17.62</v>
      </c>
      <c r="C772">
        <f t="shared" si="65"/>
        <v>17.62</v>
      </c>
      <c r="D772">
        <f>[1]!XLSTAT_PDFGeneral(B772,14, 16, 1)</f>
        <v>0.10740607511348366</v>
      </c>
      <c r="I772">
        <v>772</v>
      </c>
      <c r="J772">
        <f t="shared" si="66"/>
        <v>7.61</v>
      </c>
      <c r="K772">
        <f t="shared" si="67"/>
        <v>7.61</v>
      </c>
      <c r="L772">
        <f>[1]!XLSTAT_PDFGeneral(J772,17, 1)</f>
        <v>7.2991952613381413E-5</v>
      </c>
    </row>
    <row r="773" spans="1:12" x14ac:dyDescent="0.3">
      <c r="A773">
        <v>773</v>
      </c>
      <c r="B773">
        <f t="shared" si="64"/>
        <v>17.631999999999998</v>
      </c>
      <c r="C773">
        <f t="shared" si="65"/>
        <v>17.631999999999998</v>
      </c>
      <c r="D773">
        <f>[1]!XLSTAT_PDFGeneral(B773,14, 16, 1)</f>
        <v>0.1053306811638359</v>
      </c>
      <c r="I773">
        <v>773</v>
      </c>
      <c r="J773">
        <f t="shared" si="66"/>
        <v>7.5960000000000001</v>
      </c>
      <c r="K773">
        <f t="shared" si="67"/>
        <v>7.5960000000000001</v>
      </c>
      <c r="L773">
        <f>[1]!XLSTAT_PDFGeneral(J773,17, 1)</f>
        <v>7.2991952613381413E-5</v>
      </c>
    </row>
    <row r="774" spans="1:12" x14ac:dyDescent="0.3">
      <c r="A774">
        <v>774</v>
      </c>
      <c r="B774">
        <f t="shared" si="64"/>
        <v>-123456789</v>
      </c>
      <c r="C774">
        <f t="shared" si="65"/>
        <v>17.631999999999998</v>
      </c>
      <c r="D774">
        <f>[1]!XLSTAT_PDFGeneral(B774,14, 16, 1)</f>
        <v>0</v>
      </c>
      <c r="I774">
        <v>774</v>
      </c>
      <c r="J774">
        <f t="shared" si="66"/>
        <v>-123456789</v>
      </c>
      <c r="K774">
        <f t="shared" si="67"/>
        <v>7.5960000000000001</v>
      </c>
      <c r="L774">
        <f>[1]!XLSTAT_PDFGeneral(J774,17, 1)</f>
        <v>0</v>
      </c>
    </row>
    <row r="775" spans="1:12" x14ac:dyDescent="0.3">
      <c r="A775">
        <v>775</v>
      </c>
      <c r="B775">
        <f t="shared" si="64"/>
        <v>-123456789</v>
      </c>
      <c r="C775">
        <f t="shared" si="65"/>
        <v>17.643999999999998</v>
      </c>
      <c r="D775">
        <f>[1]!XLSTAT_PDFGeneral(B775,14, 16, 1)</f>
        <v>0</v>
      </c>
      <c r="I775">
        <v>775</v>
      </c>
      <c r="J775">
        <f t="shared" si="66"/>
        <v>-123456789</v>
      </c>
      <c r="K775">
        <f t="shared" si="67"/>
        <v>7.5819999999999999</v>
      </c>
      <c r="L775">
        <f>[1]!XLSTAT_PDFGeneral(J775,17, 1)</f>
        <v>0</v>
      </c>
    </row>
    <row r="776" spans="1:12" x14ac:dyDescent="0.3">
      <c r="A776">
        <v>776</v>
      </c>
      <c r="B776">
        <f t="shared" si="64"/>
        <v>17.643999999999998</v>
      </c>
      <c r="C776">
        <f t="shared" si="65"/>
        <v>17.643999999999998</v>
      </c>
      <c r="D776">
        <f>[1]!XLSTAT_PDFGeneral(B776,14, 16, 1)</f>
        <v>0.10328051632270281</v>
      </c>
      <c r="I776">
        <v>776</v>
      </c>
      <c r="J776">
        <f t="shared" si="66"/>
        <v>7.5819999999999999</v>
      </c>
      <c r="K776">
        <f t="shared" si="67"/>
        <v>7.5819999999999999</v>
      </c>
      <c r="L776">
        <f>[1]!XLSTAT_PDFGeneral(J776,17, 1)</f>
        <v>7.2991952613381413E-5</v>
      </c>
    </row>
    <row r="777" spans="1:12" x14ac:dyDescent="0.3">
      <c r="A777">
        <v>777</v>
      </c>
      <c r="B777">
        <f t="shared" si="64"/>
        <v>17.655999999999999</v>
      </c>
      <c r="C777">
        <f t="shared" si="65"/>
        <v>17.655999999999999</v>
      </c>
      <c r="D777">
        <f>[1]!XLSTAT_PDFGeneral(B777,14, 16, 1)</f>
        <v>0.10125567418780898</v>
      </c>
      <c r="I777">
        <v>777</v>
      </c>
      <c r="J777">
        <f t="shared" si="66"/>
        <v>7.5679999999999996</v>
      </c>
      <c r="K777">
        <f t="shared" si="67"/>
        <v>7.5679999999999996</v>
      </c>
      <c r="L777">
        <f>[1]!XLSTAT_PDFGeneral(J777,17, 1)</f>
        <v>7.2991952613381413E-5</v>
      </c>
    </row>
    <row r="778" spans="1:12" x14ac:dyDescent="0.3">
      <c r="A778">
        <v>778</v>
      </c>
      <c r="B778">
        <f t="shared" si="64"/>
        <v>-123456789</v>
      </c>
      <c r="C778">
        <f t="shared" si="65"/>
        <v>17.655999999999999</v>
      </c>
      <c r="D778">
        <f>[1]!XLSTAT_PDFGeneral(B778,14, 16, 1)</f>
        <v>0</v>
      </c>
      <c r="I778">
        <v>778</v>
      </c>
      <c r="J778">
        <f t="shared" si="66"/>
        <v>-123456789</v>
      </c>
      <c r="K778">
        <f t="shared" si="67"/>
        <v>7.5679999999999996</v>
      </c>
      <c r="L778">
        <f>[1]!XLSTAT_PDFGeneral(J778,17, 1)</f>
        <v>0</v>
      </c>
    </row>
    <row r="779" spans="1:12" x14ac:dyDescent="0.3">
      <c r="A779">
        <v>779</v>
      </c>
      <c r="B779">
        <f t="shared" si="64"/>
        <v>-123456789</v>
      </c>
      <c r="C779">
        <f t="shared" si="65"/>
        <v>17.667999999999999</v>
      </c>
      <c r="D779">
        <f>[1]!XLSTAT_PDFGeneral(B779,14, 16, 1)</f>
        <v>0</v>
      </c>
      <c r="I779">
        <v>779</v>
      </c>
      <c r="J779">
        <f t="shared" si="66"/>
        <v>-123456789</v>
      </c>
      <c r="K779">
        <f t="shared" si="67"/>
        <v>7.5540000000000003</v>
      </c>
      <c r="L779">
        <f>[1]!XLSTAT_PDFGeneral(J779,17, 1)</f>
        <v>0</v>
      </c>
    </row>
    <row r="780" spans="1:12" x14ac:dyDescent="0.3">
      <c r="A780">
        <v>780</v>
      </c>
      <c r="B780">
        <f t="shared" si="64"/>
        <v>17.667999999999999</v>
      </c>
      <c r="C780">
        <f t="shared" si="65"/>
        <v>17.667999999999999</v>
      </c>
      <c r="D780">
        <f>[1]!XLSTAT_PDFGeneral(B780,14, 16, 1)</f>
        <v>9.9256235697239528E-2</v>
      </c>
      <c r="I780">
        <v>780</v>
      </c>
      <c r="J780">
        <f t="shared" si="66"/>
        <v>7.5540000000000003</v>
      </c>
      <c r="K780">
        <f t="shared" si="67"/>
        <v>7.5540000000000003</v>
      </c>
      <c r="L780">
        <f>[1]!XLSTAT_PDFGeneral(J780,17, 1)</f>
        <v>7.2991952613381413E-5</v>
      </c>
    </row>
    <row r="781" spans="1:12" x14ac:dyDescent="0.3">
      <c r="A781">
        <v>781</v>
      </c>
      <c r="B781">
        <f t="shared" si="64"/>
        <v>17.68</v>
      </c>
      <c r="C781">
        <f t="shared" si="65"/>
        <v>17.68</v>
      </c>
      <c r="D781">
        <f>[1]!XLSTAT_PDFGeneral(B781,14, 16, 1)</f>
        <v>9.7282269331467539E-2</v>
      </c>
      <c r="I781">
        <v>781</v>
      </c>
      <c r="J781">
        <f t="shared" si="66"/>
        <v>7.54</v>
      </c>
      <c r="K781">
        <f t="shared" si="67"/>
        <v>7.54</v>
      </c>
      <c r="L781">
        <f>[1]!XLSTAT_PDFGeneral(J781,17, 1)</f>
        <v>7.2991952613381413E-5</v>
      </c>
    </row>
    <row r="782" spans="1:12" x14ac:dyDescent="0.3">
      <c r="A782">
        <v>782</v>
      </c>
      <c r="B782">
        <f t="shared" si="64"/>
        <v>-123456789</v>
      </c>
      <c r="C782">
        <f t="shared" si="65"/>
        <v>17.68</v>
      </c>
      <c r="D782">
        <f>[1]!XLSTAT_PDFGeneral(B782,14, 16, 1)</f>
        <v>0</v>
      </c>
      <c r="I782">
        <v>782</v>
      </c>
      <c r="J782">
        <f t="shared" si="66"/>
        <v>-123456789</v>
      </c>
      <c r="K782">
        <f t="shared" si="67"/>
        <v>7.54</v>
      </c>
      <c r="L782">
        <f>[1]!XLSTAT_PDFGeneral(J782,17, 1)</f>
        <v>0</v>
      </c>
    </row>
    <row r="783" spans="1:12" x14ac:dyDescent="0.3">
      <c r="A783">
        <v>783</v>
      </c>
      <c r="B783">
        <f t="shared" si="64"/>
        <v>-123456789</v>
      </c>
      <c r="C783">
        <f t="shared" si="65"/>
        <v>17.692</v>
      </c>
      <c r="D783">
        <f>[1]!XLSTAT_PDFGeneral(B783,14, 16, 1)</f>
        <v>0</v>
      </c>
      <c r="I783">
        <v>783</v>
      </c>
      <c r="J783">
        <f t="shared" si="66"/>
        <v>-123456789</v>
      </c>
      <c r="K783">
        <f t="shared" si="67"/>
        <v>7.5259999999999998</v>
      </c>
      <c r="L783">
        <f>[1]!XLSTAT_PDFGeneral(J783,17, 1)</f>
        <v>0</v>
      </c>
    </row>
    <row r="784" spans="1:12" x14ac:dyDescent="0.3">
      <c r="A784">
        <v>784</v>
      </c>
      <c r="B784">
        <f t="shared" si="64"/>
        <v>17.692</v>
      </c>
      <c r="C784">
        <f t="shared" si="65"/>
        <v>17.692</v>
      </c>
      <c r="D784">
        <f>[1]!XLSTAT_PDFGeneral(B784,14, 16, 1)</f>
        <v>9.5333831320286069E-2</v>
      </c>
      <c r="I784">
        <v>784</v>
      </c>
      <c r="J784">
        <f t="shared" si="66"/>
        <v>7.5259999999999998</v>
      </c>
      <c r="K784">
        <f t="shared" si="67"/>
        <v>7.5259999999999998</v>
      </c>
      <c r="L784">
        <f>[1]!XLSTAT_PDFGeneral(J784,17, 1)</f>
        <v>7.2991952613381413E-5</v>
      </c>
    </row>
    <row r="785" spans="1:12" x14ac:dyDescent="0.3">
      <c r="A785">
        <v>785</v>
      </c>
      <c r="B785">
        <f t="shared" si="64"/>
        <v>17.704000000000001</v>
      </c>
      <c r="C785">
        <f t="shared" si="65"/>
        <v>17.704000000000001</v>
      </c>
      <c r="D785">
        <f>[1]!XLSTAT_PDFGeneral(B785,14, 16, 1)</f>
        <v>9.3410965854371072E-2</v>
      </c>
      <c r="I785">
        <v>785</v>
      </c>
      <c r="J785">
        <f t="shared" si="66"/>
        <v>7.5119999999999996</v>
      </c>
      <c r="K785">
        <f t="shared" si="67"/>
        <v>7.5119999999999996</v>
      </c>
      <c r="L785">
        <f>[1]!XLSTAT_PDFGeneral(J785,17, 1)</f>
        <v>7.2991952613381413E-5</v>
      </c>
    </row>
    <row r="786" spans="1:12" x14ac:dyDescent="0.3">
      <c r="A786">
        <v>786</v>
      </c>
      <c r="B786">
        <f t="shared" si="64"/>
        <v>-123456789</v>
      </c>
      <c r="C786">
        <f t="shared" si="65"/>
        <v>17.704000000000001</v>
      </c>
      <c r="D786">
        <f>[1]!XLSTAT_PDFGeneral(B786,14, 16, 1)</f>
        <v>0</v>
      </c>
      <c r="I786">
        <v>786</v>
      </c>
      <c r="J786">
        <f t="shared" si="66"/>
        <v>-123456789</v>
      </c>
      <c r="K786">
        <f t="shared" si="67"/>
        <v>7.5119999999999996</v>
      </c>
      <c r="L786">
        <f>[1]!XLSTAT_PDFGeneral(J786,17, 1)</f>
        <v>0</v>
      </c>
    </row>
    <row r="787" spans="1:12" x14ac:dyDescent="0.3">
      <c r="A787">
        <v>787</v>
      </c>
      <c r="B787">
        <f t="shared" si="64"/>
        <v>-123456789</v>
      </c>
      <c r="C787">
        <f t="shared" si="65"/>
        <v>17.716000000000001</v>
      </c>
      <c r="D787">
        <f>[1]!XLSTAT_PDFGeneral(B787,14, 16, 1)</f>
        <v>0</v>
      </c>
      <c r="I787">
        <v>787</v>
      </c>
      <c r="J787">
        <f t="shared" si="66"/>
        <v>-123456789</v>
      </c>
      <c r="K787">
        <f t="shared" si="67"/>
        <v>7.4980000000000002</v>
      </c>
      <c r="L787">
        <f>[1]!XLSTAT_PDFGeneral(J787,17, 1)</f>
        <v>0</v>
      </c>
    </row>
    <row r="788" spans="1:12" x14ac:dyDescent="0.3">
      <c r="A788">
        <v>788</v>
      </c>
      <c r="B788">
        <f t="shared" si="64"/>
        <v>17.716000000000001</v>
      </c>
      <c r="C788">
        <f t="shared" si="65"/>
        <v>17.716000000000001</v>
      </c>
      <c r="D788">
        <f>[1]!XLSTAT_PDFGeneral(B788,14, 16, 1)</f>
        <v>9.1513705301202619E-2</v>
      </c>
      <c r="I788">
        <v>788</v>
      </c>
      <c r="J788">
        <f t="shared" si="66"/>
        <v>7.4980000000000002</v>
      </c>
      <c r="K788">
        <f t="shared" si="67"/>
        <v>7.4980000000000002</v>
      </c>
      <c r="L788">
        <f>[1]!XLSTAT_PDFGeneral(J788,17, 1)</f>
        <v>7.2991952613381413E-5</v>
      </c>
    </row>
    <row r="789" spans="1:12" x14ac:dyDescent="0.3">
      <c r="A789">
        <v>789</v>
      </c>
      <c r="B789">
        <f t="shared" si="64"/>
        <v>17.728000000000002</v>
      </c>
      <c r="C789">
        <f t="shared" si="65"/>
        <v>17.728000000000002</v>
      </c>
      <c r="D789">
        <f>[1]!XLSTAT_PDFGeneral(B789,14, 16, 1)</f>
        <v>8.9642070425072135E-2</v>
      </c>
      <c r="I789">
        <v>789</v>
      </c>
      <c r="J789">
        <f t="shared" si="66"/>
        <v>7.484</v>
      </c>
      <c r="K789">
        <f t="shared" si="67"/>
        <v>7.484</v>
      </c>
      <c r="L789">
        <f>[1]!XLSTAT_PDFGeneral(J789,17, 1)</f>
        <v>7.2991952613381413E-5</v>
      </c>
    </row>
    <row r="790" spans="1:12" x14ac:dyDescent="0.3">
      <c r="A790">
        <v>790</v>
      </c>
      <c r="B790">
        <f t="shared" si="64"/>
        <v>-123456789</v>
      </c>
      <c r="C790">
        <f t="shared" si="65"/>
        <v>17.728000000000002</v>
      </c>
      <c r="D790">
        <f>[1]!XLSTAT_PDFGeneral(B790,14, 16, 1)</f>
        <v>0</v>
      </c>
      <c r="I790">
        <v>790</v>
      </c>
      <c r="J790">
        <f t="shared" si="66"/>
        <v>-123456789</v>
      </c>
      <c r="K790">
        <f t="shared" si="67"/>
        <v>7.484</v>
      </c>
      <c r="L790">
        <f>[1]!XLSTAT_PDFGeneral(J790,17, 1)</f>
        <v>0</v>
      </c>
    </row>
    <row r="791" spans="1:12" x14ac:dyDescent="0.3">
      <c r="A791">
        <v>791</v>
      </c>
      <c r="B791">
        <f t="shared" si="64"/>
        <v>-123456789</v>
      </c>
      <c r="C791">
        <f t="shared" si="65"/>
        <v>17.740000000000002</v>
      </c>
      <c r="D791">
        <f>[1]!XLSTAT_PDFGeneral(B791,14, 16, 1)</f>
        <v>0</v>
      </c>
      <c r="I791">
        <v>791</v>
      </c>
      <c r="J791">
        <f t="shared" si="66"/>
        <v>-123456789</v>
      </c>
      <c r="K791">
        <f t="shared" si="67"/>
        <v>7.47</v>
      </c>
      <c r="L791">
        <f>[1]!XLSTAT_PDFGeneral(J791,17, 1)</f>
        <v>0</v>
      </c>
    </row>
    <row r="792" spans="1:12" x14ac:dyDescent="0.3">
      <c r="A792">
        <v>792</v>
      </c>
      <c r="B792">
        <f t="shared" si="64"/>
        <v>17.740000000000002</v>
      </c>
      <c r="C792">
        <f t="shared" si="65"/>
        <v>17.740000000000002</v>
      </c>
      <c r="D792">
        <f>[1]!XLSTAT_PDFGeneral(B792,14, 16, 1)</f>
        <v>8.7796070610905344E-2</v>
      </c>
      <c r="I792">
        <v>792</v>
      </c>
      <c r="J792">
        <f t="shared" si="66"/>
        <v>7.47</v>
      </c>
      <c r="K792">
        <f t="shared" si="67"/>
        <v>7.47</v>
      </c>
      <c r="L792">
        <f>[1]!XLSTAT_PDFGeneral(J792,17, 1)</f>
        <v>7.2991952613381413E-5</v>
      </c>
    </row>
    <row r="793" spans="1:12" x14ac:dyDescent="0.3">
      <c r="A793">
        <v>793</v>
      </c>
      <c r="B793">
        <f t="shared" si="64"/>
        <v>17.751999999999999</v>
      </c>
      <c r="C793">
        <f t="shared" si="65"/>
        <v>17.751999999999999</v>
      </c>
      <c r="D793">
        <f>[1]!XLSTAT_PDFGeneral(B793,14, 16, 1)</f>
        <v>8.5975704091632313E-2</v>
      </c>
      <c r="I793">
        <v>793</v>
      </c>
      <c r="J793">
        <f t="shared" si="66"/>
        <v>7.4559999999999995</v>
      </c>
      <c r="K793">
        <f t="shared" si="67"/>
        <v>7.4559999999999995</v>
      </c>
      <c r="L793">
        <f>[1]!XLSTAT_PDFGeneral(J793,17, 1)</f>
        <v>7.2991952613381413E-5</v>
      </c>
    </row>
    <row r="794" spans="1:12" x14ac:dyDescent="0.3">
      <c r="A794">
        <v>794</v>
      </c>
      <c r="B794">
        <f t="shared" si="64"/>
        <v>-123456789</v>
      </c>
      <c r="C794">
        <f t="shared" si="65"/>
        <v>17.751999999999999</v>
      </c>
      <c r="D794">
        <f>[1]!XLSTAT_PDFGeneral(B794,14, 16, 1)</f>
        <v>0</v>
      </c>
      <c r="I794">
        <v>794</v>
      </c>
      <c r="J794">
        <f t="shared" si="66"/>
        <v>-123456789</v>
      </c>
      <c r="K794">
        <f t="shared" si="67"/>
        <v>7.4559999999999995</v>
      </c>
      <c r="L794">
        <f>[1]!XLSTAT_PDFGeneral(J794,17, 1)</f>
        <v>0</v>
      </c>
    </row>
    <row r="795" spans="1:12" x14ac:dyDescent="0.3">
      <c r="A795">
        <v>795</v>
      </c>
      <c r="B795">
        <f t="shared" si="64"/>
        <v>-123456789</v>
      </c>
      <c r="C795">
        <f t="shared" si="65"/>
        <v>17.763999999999999</v>
      </c>
      <c r="D795">
        <f>[1]!XLSTAT_PDFGeneral(B795,14, 16, 1)</f>
        <v>0</v>
      </c>
      <c r="I795">
        <v>795</v>
      </c>
      <c r="J795">
        <f t="shared" si="66"/>
        <v>-123456789</v>
      </c>
      <c r="K795">
        <f t="shared" si="67"/>
        <v>7.4420000000000002</v>
      </c>
      <c r="L795">
        <f>[1]!XLSTAT_PDFGeneral(J795,17, 1)</f>
        <v>0</v>
      </c>
    </row>
    <row r="796" spans="1:12" x14ac:dyDescent="0.3">
      <c r="A796">
        <v>796</v>
      </c>
      <c r="B796">
        <f t="shared" si="64"/>
        <v>17.763999999999999</v>
      </c>
      <c r="C796">
        <f t="shared" si="65"/>
        <v>17.763999999999999</v>
      </c>
      <c r="D796">
        <f>[1]!XLSTAT_PDFGeneral(B796,14, 16, 1)</f>
        <v>8.4180958178834947E-2</v>
      </c>
      <c r="I796">
        <v>796</v>
      </c>
      <c r="J796">
        <f t="shared" si="66"/>
        <v>7.4420000000000002</v>
      </c>
      <c r="K796">
        <f t="shared" si="67"/>
        <v>7.4420000000000002</v>
      </c>
      <c r="L796">
        <f>[1]!XLSTAT_PDFGeneral(J796,17, 1)</f>
        <v>7.2991952613381413E-5</v>
      </c>
    </row>
    <row r="797" spans="1:12" x14ac:dyDescent="0.3">
      <c r="A797">
        <v>797</v>
      </c>
      <c r="B797">
        <f t="shared" si="64"/>
        <v>17.776</v>
      </c>
      <c r="C797">
        <f t="shared" si="65"/>
        <v>17.776</v>
      </c>
      <c r="D797">
        <f>[1]!XLSTAT_PDFGeneral(B797,14, 16, 1)</f>
        <v>8.2411809496414523E-2</v>
      </c>
      <c r="I797">
        <v>797</v>
      </c>
      <c r="J797">
        <f t="shared" si="66"/>
        <v>7.4279999999999999</v>
      </c>
      <c r="K797">
        <f t="shared" si="67"/>
        <v>7.4279999999999999</v>
      </c>
      <c r="L797">
        <f>[1]!XLSTAT_PDFGeneral(J797,17, 1)</f>
        <v>7.2991952613381413E-5</v>
      </c>
    </row>
    <row r="798" spans="1:12" x14ac:dyDescent="0.3">
      <c r="A798">
        <v>798</v>
      </c>
      <c r="B798">
        <f t="shared" si="64"/>
        <v>-123456789</v>
      </c>
      <c r="C798">
        <f t="shared" si="65"/>
        <v>17.776</v>
      </c>
      <c r="D798">
        <f>[1]!XLSTAT_PDFGeneral(B798,14, 16, 1)</f>
        <v>0</v>
      </c>
      <c r="I798">
        <v>798</v>
      </c>
      <c r="J798">
        <f t="shared" si="66"/>
        <v>-123456789</v>
      </c>
      <c r="K798">
        <f t="shared" si="67"/>
        <v>7.4279999999999999</v>
      </c>
      <c r="L798">
        <f>[1]!XLSTAT_PDFGeneral(J798,17, 1)</f>
        <v>0</v>
      </c>
    </row>
    <row r="799" spans="1:12" x14ac:dyDescent="0.3">
      <c r="A799">
        <v>799</v>
      </c>
      <c r="B799">
        <f t="shared" si="64"/>
        <v>-123456789</v>
      </c>
      <c r="C799">
        <f t="shared" si="65"/>
        <v>17.788</v>
      </c>
      <c r="D799">
        <f>[1]!XLSTAT_PDFGeneral(B799,14, 16, 1)</f>
        <v>0</v>
      </c>
      <c r="I799">
        <v>799</v>
      </c>
      <c r="J799">
        <f t="shared" si="66"/>
        <v>-123456789</v>
      </c>
      <c r="K799">
        <f t="shared" si="67"/>
        <v>7.4139999999999997</v>
      </c>
      <c r="L799">
        <f>[1]!XLSTAT_PDFGeneral(J799,17, 1)</f>
        <v>0</v>
      </c>
    </row>
    <row r="800" spans="1:12" x14ac:dyDescent="0.3">
      <c r="A800">
        <v>800</v>
      </c>
      <c r="B800">
        <f t="shared" si="64"/>
        <v>17.788</v>
      </c>
      <c r="C800">
        <f t="shared" si="65"/>
        <v>17.788</v>
      </c>
      <c r="D800">
        <f>[1]!XLSTAT_PDFGeneral(B800,14, 16, 1)</f>
        <v>8.0668224217007006E-2</v>
      </c>
      <c r="I800">
        <v>800</v>
      </c>
      <c r="J800">
        <f t="shared" si="66"/>
        <v>7.4139999999999997</v>
      </c>
      <c r="K800">
        <f t="shared" si="67"/>
        <v>7.4139999999999997</v>
      </c>
      <c r="L800">
        <f>[1]!XLSTAT_PDFGeneral(J800,17, 1)</f>
        <v>7.2991952613381413E-5</v>
      </c>
    </row>
    <row r="801" spans="1:12" x14ac:dyDescent="0.3">
      <c r="A801">
        <v>801</v>
      </c>
      <c r="B801">
        <f t="shared" si="64"/>
        <v>17.8</v>
      </c>
      <c r="C801">
        <f t="shared" si="65"/>
        <v>17.8</v>
      </c>
      <c r="D801">
        <f>[1]!XLSTAT_PDFGeneral(B801,14, 16, 1)</f>
        <v>7.8950158300894066E-2</v>
      </c>
      <c r="I801">
        <v>801</v>
      </c>
      <c r="J801">
        <f t="shared" si="66"/>
        <v>7.3999999999999995</v>
      </c>
      <c r="K801">
        <f t="shared" si="67"/>
        <v>7.3999999999999995</v>
      </c>
      <c r="L801">
        <f>[1]!XLSTAT_PDFGeneral(J801,17, 1)</f>
        <v>7.2991952613381413E-5</v>
      </c>
    </row>
    <row r="802" spans="1:12" x14ac:dyDescent="0.3">
      <c r="A802">
        <v>802</v>
      </c>
      <c r="B802">
        <f t="shared" si="64"/>
        <v>-123456789</v>
      </c>
      <c r="C802">
        <f t="shared" si="65"/>
        <v>17.8</v>
      </c>
      <c r="D802">
        <f>[1]!XLSTAT_PDFGeneral(B802,14, 16, 1)</f>
        <v>0</v>
      </c>
      <c r="I802">
        <v>802</v>
      </c>
      <c r="J802">
        <f t="shared" si="66"/>
        <v>-123456789</v>
      </c>
      <c r="K802">
        <f t="shared" si="67"/>
        <v>7.3999999999999995</v>
      </c>
      <c r="L802">
        <f>[1]!XLSTAT_PDFGeneral(J802,17, 1)</f>
        <v>0</v>
      </c>
    </row>
    <row r="803" spans="1:12" x14ac:dyDescent="0.3">
      <c r="A803">
        <v>803</v>
      </c>
      <c r="B803">
        <f t="shared" si="64"/>
        <v>-123456789</v>
      </c>
      <c r="C803">
        <f t="shared" si="65"/>
        <v>17.812000000000001</v>
      </c>
      <c r="D803">
        <f>[1]!XLSTAT_PDFGeneral(B803,14, 16, 1)</f>
        <v>0</v>
      </c>
      <c r="I803">
        <v>803</v>
      </c>
      <c r="J803">
        <f t="shared" si="66"/>
        <v>-123456789</v>
      </c>
      <c r="K803">
        <f t="shared" si="67"/>
        <v>7.3860000000000001</v>
      </c>
      <c r="L803">
        <f>[1]!XLSTAT_PDFGeneral(J803,17, 1)</f>
        <v>0</v>
      </c>
    </row>
    <row r="804" spans="1:12" x14ac:dyDescent="0.3">
      <c r="A804">
        <v>804</v>
      </c>
      <c r="B804">
        <f t="shared" si="64"/>
        <v>17.812000000000001</v>
      </c>
      <c r="C804">
        <f t="shared" si="65"/>
        <v>17.812000000000001</v>
      </c>
      <c r="D804">
        <f>[1]!XLSTAT_PDFGeneral(B804,14, 16, 1)</f>
        <v>7.7257557737150373E-2</v>
      </c>
      <c r="I804">
        <v>804</v>
      </c>
      <c r="J804">
        <f t="shared" si="66"/>
        <v>7.3860000000000001</v>
      </c>
      <c r="K804">
        <f t="shared" si="67"/>
        <v>7.3860000000000001</v>
      </c>
      <c r="L804">
        <f>[1]!XLSTAT_PDFGeneral(J804,17, 1)</f>
        <v>7.2991952613381413E-5</v>
      </c>
    </row>
    <row r="805" spans="1:12" x14ac:dyDescent="0.3">
      <c r="A805">
        <v>805</v>
      </c>
      <c r="B805">
        <f t="shared" si="64"/>
        <v>17.823999999999998</v>
      </c>
      <c r="C805">
        <f t="shared" si="65"/>
        <v>17.823999999999998</v>
      </c>
      <c r="D805">
        <f>[1]!XLSTAT_PDFGeneral(B805,14, 16, 1)</f>
        <v>7.5590358786774475E-2</v>
      </c>
      <c r="I805">
        <v>805</v>
      </c>
      <c r="J805">
        <f t="shared" si="66"/>
        <v>7.3719999999999999</v>
      </c>
      <c r="K805">
        <f t="shared" si="67"/>
        <v>7.3719999999999999</v>
      </c>
      <c r="L805">
        <f>[1]!XLSTAT_PDFGeneral(J805,17, 1)</f>
        <v>7.2991952613381413E-5</v>
      </c>
    </row>
    <row r="806" spans="1:12" x14ac:dyDescent="0.3">
      <c r="A806">
        <v>806</v>
      </c>
      <c r="B806">
        <f t="shared" si="64"/>
        <v>-123456789</v>
      </c>
      <c r="C806">
        <f t="shared" si="65"/>
        <v>17.823999999999998</v>
      </c>
      <c r="D806">
        <f>[1]!XLSTAT_PDFGeneral(B806,14, 16, 1)</f>
        <v>0</v>
      </c>
      <c r="I806">
        <v>806</v>
      </c>
      <c r="J806">
        <f t="shared" si="66"/>
        <v>-123456789</v>
      </c>
      <c r="K806">
        <f t="shared" si="67"/>
        <v>7.3719999999999999</v>
      </c>
      <c r="L806">
        <f>[1]!XLSTAT_PDFGeneral(J806,17, 1)</f>
        <v>0</v>
      </c>
    </row>
    <row r="807" spans="1:12" x14ac:dyDescent="0.3">
      <c r="A807">
        <v>807</v>
      </c>
      <c r="B807">
        <f t="shared" si="64"/>
        <v>-123456789</v>
      </c>
      <c r="C807">
        <f t="shared" si="65"/>
        <v>17.835999999999999</v>
      </c>
      <c r="D807">
        <f>[1]!XLSTAT_PDFGeneral(B807,14, 16, 1)</f>
        <v>0</v>
      </c>
      <c r="I807">
        <v>807</v>
      </c>
      <c r="J807">
        <f t="shared" si="66"/>
        <v>-123456789</v>
      </c>
      <c r="K807">
        <f t="shared" si="67"/>
        <v>7.3579999999999997</v>
      </c>
      <c r="L807">
        <f>[1]!XLSTAT_PDFGeneral(J807,17, 1)</f>
        <v>0</v>
      </c>
    </row>
    <row r="808" spans="1:12" x14ac:dyDescent="0.3">
      <c r="A808">
        <v>808</v>
      </c>
      <c r="B808">
        <f t="shared" si="64"/>
        <v>17.835999999999999</v>
      </c>
      <c r="C808">
        <f t="shared" si="65"/>
        <v>17.835999999999999</v>
      </c>
      <c r="D808">
        <f>[1]!XLSTAT_PDFGeneral(B808,14, 16, 1)</f>
        <v>7.3948488227550596E-2</v>
      </c>
      <c r="I808">
        <v>808</v>
      </c>
      <c r="J808">
        <f t="shared" si="66"/>
        <v>7.3579999999999997</v>
      </c>
      <c r="K808">
        <f t="shared" si="67"/>
        <v>7.3579999999999997</v>
      </c>
      <c r="L808">
        <f>[1]!XLSTAT_PDFGeneral(J808,17, 1)</f>
        <v>7.2991952613381413E-5</v>
      </c>
    </row>
    <row r="809" spans="1:12" x14ac:dyDescent="0.3">
      <c r="A809">
        <v>809</v>
      </c>
      <c r="B809">
        <f t="shared" si="64"/>
        <v>17.847999999999999</v>
      </c>
      <c r="C809">
        <f t="shared" si="65"/>
        <v>17.847999999999999</v>
      </c>
      <c r="D809">
        <f>[1]!XLSTAT_PDFGeneral(B809,14, 16, 1)</f>
        <v>7.2331863600401961E-2</v>
      </c>
      <c r="I809">
        <v>809</v>
      </c>
      <c r="J809">
        <f t="shared" si="66"/>
        <v>7.3440000000000003</v>
      </c>
      <c r="K809">
        <f t="shared" si="67"/>
        <v>7.3440000000000003</v>
      </c>
      <c r="L809">
        <f>[1]!XLSTAT_PDFGeneral(J809,17, 1)</f>
        <v>7.2991952613381413E-5</v>
      </c>
    </row>
    <row r="810" spans="1:12" x14ac:dyDescent="0.3">
      <c r="A810">
        <v>810</v>
      </c>
      <c r="B810">
        <f t="shared" si="64"/>
        <v>-123456789</v>
      </c>
      <c r="C810">
        <f t="shared" si="65"/>
        <v>17.847999999999999</v>
      </c>
      <c r="D810">
        <f>[1]!XLSTAT_PDFGeneral(B810,14, 16, 1)</f>
        <v>0</v>
      </c>
      <c r="I810">
        <v>810</v>
      </c>
      <c r="J810">
        <f t="shared" si="66"/>
        <v>-123456789</v>
      </c>
      <c r="K810">
        <f t="shared" si="67"/>
        <v>7.3440000000000003</v>
      </c>
      <c r="L810">
        <f>[1]!XLSTAT_PDFGeneral(J810,17, 1)</f>
        <v>0</v>
      </c>
    </row>
    <row r="811" spans="1:12" x14ac:dyDescent="0.3">
      <c r="A811">
        <v>811</v>
      </c>
      <c r="B811">
        <f t="shared" si="64"/>
        <v>-123456789</v>
      </c>
      <c r="C811">
        <f t="shared" si="65"/>
        <v>17.86</v>
      </c>
      <c r="D811">
        <f>[1]!XLSTAT_PDFGeneral(B811,14, 16, 1)</f>
        <v>0</v>
      </c>
      <c r="I811">
        <v>811</v>
      </c>
      <c r="J811">
        <f t="shared" si="66"/>
        <v>-123456789</v>
      </c>
      <c r="K811">
        <f t="shared" si="67"/>
        <v>7.33</v>
      </c>
      <c r="L811">
        <f>[1]!XLSTAT_PDFGeneral(J811,17, 1)</f>
        <v>0</v>
      </c>
    </row>
    <row r="812" spans="1:12" x14ac:dyDescent="0.3">
      <c r="A812">
        <v>812</v>
      </c>
      <c r="B812">
        <f t="shared" si="64"/>
        <v>17.86</v>
      </c>
      <c r="C812">
        <f t="shared" si="65"/>
        <v>17.86</v>
      </c>
      <c r="D812">
        <f>[1]!XLSTAT_PDFGeneral(B812,14, 16, 1)</f>
        <v>7.0740393456983464E-2</v>
      </c>
      <c r="I812">
        <v>812</v>
      </c>
      <c r="J812">
        <f t="shared" si="66"/>
        <v>7.33</v>
      </c>
      <c r="K812">
        <f t="shared" si="67"/>
        <v>7.33</v>
      </c>
      <c r="L812">
        <f>[1]!XLSTAT_PDFGeneral(J812,17, 1)</f>
        <v>7.2991952613381413E-5</v>
      </c>
    </row>
    <row r="813" spans="1:12" x14ac:dyDescent="0.3">
      <c r="A813">
        <v>813</v>
      </c>
      <c r="B813">
        <f t="shared" si="64"/>
        <v>17.872</v>
      </c>
      <c r="C813">
        <f t="shared" si="65"/>
        <v>17.872</v>
      </c>
      <c r="D813">
        <f>[1]!XLSTAT_PDFGeneral(B813,14, 16, 1)</f>
        <v>6.9173977608282505E-2</v>
      </c>
      <c r="I813">
        <v>813</v>
      </c>
      <c r="J813">
        <f t="shared" si="66"/>
        <v>7.3159999999999998</v>
      </c>
      <c r="K813">
        <f t="shared" si="67"/>
        <v>7.3159999999999998</v>
      </c>
      <c r="L813">
        <f>[1]!XLSTAT_PDFGeneral(J813,17, 1)</f>
        <v>7.2991952613381413E-5</v>
      </c>
    </row>
    <row r="814" spans="1:12" x14ac:dyDescent="0.3">
      <c r="A814">
        <v>814</v>
      </c>
      <c r="B814">
        <f t="shared" si="64"/>
        <v>-123456789</v>
      </c>
      <c r="C814">
        <f t="shared" si="65"/>
        <v>17.872</v>
      </c>
      <c r="D814">
        <f>[1]!XLSTAT_PDFGeneral(B814,14, 16, 1)</f>
        <v>0</v>
      </c>
      <c r="I814">
        <v>814</v>
      </c>
      <c r="J814">
        <f t="shared" si="66"/>
        <v>-123456789</v>
      </c>
      <c r="K814">
        <f t="shared" si="67"/>
        <v>7.3159999999999998</v>
      </c>
      <c r="L814">
        <f>[1]!XLSTAT_PDFGeneral(J814,17, 1)</f>
        <v>0</v>
      </c>
    </row>
    <row r="815" spans="1:12" x14ac:dyDescent="0.3">
      <c r="A815">
        <v>815</v>
      </c>
      <c r="B815">
        <f t="shared" si="64"/>
        <v>-123456789</v>
      </c>
      <c r="C815">
        <f t="shared" si="65"/>
        <v>17.884</v>
      </c>
      <c r="D815">
        <f>[1]!XLSTAT_PDFGeneral(B815,14, 16, 1)</f>
        <v>0</v>
      </c>
      <c r="I815">
        <v>815</v>
      </c>
      <c r="J815">
        <f t="shared" si="66"/>
        <v>-123456789</v>
      </c>
      <c r="K815">
        <f t="shared" si="67"/>
        <v>7.3019999999999996</v>
      </c>
      <c r="L815">
        <f>[1]!XLSTAT_PDFGeneral(J815,17, 1)</f>
        <v>0</v>
      </c>
    </row>
    <row r="816" spans="1:12" x14ac:dyDescent="0.3">
      <c r="A816">
        <v>816</v>
      </c>
      <c r="B816">
        <f t="shared" si="64"/>
        <v>17.884</v>
      </c>
      <c r="C816">
        <f t="shared" si="65"/>
        <v>17.884</v>
      </c>
      <c r="D816">
        <f>[1]!XLSTAT_PDFGeneral(B816,14, 16, 1)</f>
        <v>6.7632507373990444E-2</v>
      </c>
      <c r="I816">
        <v>816</v>
      </c>
      <c r="J816">
        <f t="shared" si="66"/>
        <v>7.3019999999999996</v>
      </c>
      <c r="K816">
        <f t="shared" si="67"/>
        <v>7.3019999999999996</v>
      </c>
      <c r="L816">
        <f>[1]!XLSTAT_PDFGeneral(J816,17, 1)</f>
        <v>7.2991952613381413E-5</v>
      </c>
    </row>
    <row r="817" spans="1:12" x14ac:dyDescent="0.3">
      <c r="A817">
        <v>817</v>
      </c>
      <c r="B817">
        <f t="shared" si="64"/>
        <v>17.896000000000001</v>
      </c>
      <c r="C817">
        <f t="shared" si="65"/>
        <v>17.896000000000001</v>
      </c>
      <c r="D817">
        <f>[1]!XLSTAT_PDFGeneral(B817,14, 16, 1)</f>
        <v>6.6115865832415424E-2</v>
      </c>
      <c r="I817">
        <v>817</v>
      </c>
      <c r="J817">
        <f t="shared" si="66"/>
        <v>7.2880000000000003</v>
      </c>
      <c r="K817">
        <f t="shared" si="67"/>
        <v>7.2880000000000003</v>
      </c>
      <c r="L817">
        <f>[1]!XLSTAT_PDFGeneral(J817,17, 1)</f>
        <v>7.2991952613381413E-5</v>
      </c>
    </row>
    <row r="818" spans="1:12" x14ac:dyDescent="0.3">
      <c r="A818">
        <v>818</v>
      </c>
      <c r="B818">
        <f t="shared" si="64"/>
        <v>-123456789</v>
      </c>
      <c r="C818">
        <f t="shared" si="65"/>
        <v>17.896000000000001</v>
      </c>
      <c r="D818">
        <f>[1]!XLSTAT_PDFGeneral(B818,14, 16, 1)</f>
        <v>0</v>
      </c>
      <c r="I818">
        <v>818</v>
      </c>
      <c r="J818">
        <f t="shared" si="66"/>
        <v>-123456789</v>
      </c>
      <c r="K818">
        <f t="shared" si="67"/>
        <v>7.2880000000000003</v>
      </c>
      <c r="L818">
        <f>[1]!XLSTAT_PDFGeneral(J818,17, 1)</f>
        <v>0</v>
      </c>
    </row>
    <row r="819" spans="1:12" x14ac:dyDescent="0.3">
      <c r="A819">
        <v>819</v>
      </c>
      <c r="B819">
        <f t="shared" si="64"/>
        <v>-123456789</v>
      </c>
      <c r="C819">
        <f t="shared" si="65"/>
        <v>17.908000000000001</v>
      </c>
      <c r="D819">
        <f>[1]!XLSTAT_PDFGeneral(B819,14, 16, 1)</f>
        <v>0</v>
      </c>
      <c r="I819">
        <v>819</v>
      </c>
      <c r="J819">
        <f t="shared" si="66"/>
        <v>-123456789</v>
      </c>
      <c r="K819">
        <f t="shared" si="67"/>
        <v>7.274</v>
      </c>
      <c r="L819">
        <f>[1]!XLSTAT_PDFGeneral(J819,17, 1)</f>
        <v>0</v>
      </c>
    </row>
    <row r="820" spans="1:12" x14ac:dyDescent="0.3">
      <c r="A820">
        <v>820</v>
      </c>
      <c r="B820">
        <f t="shared" si="64"/>
        <v>17.908000000000001</v>
      </c>
      <c r="C820">
        <f t="shared" si="65"/>
        <v>17.908000000000001</v>
      </c>
      <c r="D820">
        <f>[1]!XLSTAT_PDFGeneral(B820,14, 16, 1)</f>
        <v>6.4623928070710754E-2</v>
      </c>
      <c r="I820">
        <v>820</v>
      </c>
      <c r="J820">
        <f t="shared" si="66"/>
        <v>7.274</v>
      </c>
      <c r="K820">
        <f t="shared" si="67"/>
        <v>7.274</v>
      </c>
      <c r="L820">
        <f>[1]!XLSTAT_PDFGeneral(J820,17, 1)</f>
        <v>7.2991952613381413E-5</v>
      </c>
    </row>
    <row r="821" spans="1:12" x14ac:dyDescent="0.3">
      <c r="A821">
        <v>821</v>
      </c>
      <c r="B821">
        <f t="shared" si="64"/>
        <v>17.920000000000002</v>
      </c>
      <c r="C821">
        <f t="shared" si="65"/>
        <v>17.920000000000002</v>
      </c>
      <c r="D821">
        <f>[1]!XLSTAT_PDFGeneral(B821,14, 16, 1)</f>
        <v>6.3156561435198447E-2</v>
      </c>
      <c r="I821">
        <v>821</v>
      </c>
      <c r="J821">
        <f t="shared" si="66"/>
        <v>7.26</v>
      </c>
      <c r="K821">
        <f t="shared" si="67"/>
        <v>7.26</v>
      </c>
      <c r="L821">
        <f>[1]!XLSTAT_PDFGeneral(J821,17, 1)</f>
        <v>7.2991952613381413E-5</v>
      </c>
    </row>
    <row r="822" spans="1:12" x14ac:dyDescent="0.3">
      <c r="A822">
        <v>822</v>
      </c>
      <c r="B822">
        <f t="shared" si="64"/>
        <v>-123456789</v>
      </c>
      <c r="C822">
        <f t="shared" si="65"/>
        <v>17.920000000000002</v>
      </c>
      <c r="D822">
        <f>[1]!XLSTAT_PDFGeneral(B822,14, 16, 1)</f>
        <v>0</v>
      </c>
      <c r="I822">
        <v>822</v>
      </c>
      <c r="J822">
        <f t="shared" si="66"/>
        <v>-123456789</v>
      </c>
      <c r="K822">
        <f t="shared" si="67"/>
        <v>7.26</v>
      </c>
      <c r="L822">
        <f>[1]!XLSTAT_PDFGeneral(J822,17, 1)</f>
        <v>0</v>
      </c>
    </row>
    <row r="823" spans="1:12" x14ac:dyDescent="0.3">
      <c r="A823">
        <v>823</v>
      </c>
      <c r="B823">
        <f t="shared" si="64"/>
        <v>-123456789</v>
      </c>
      <c r="C823">
        <f t="shared" si="65"/>
        <v>17.932000000000002</v>
      </c>
      <c r="D823">
        <f>[1]!XLSTAT_PDFGeneral(B823,14, 16, 1)</f>
        <v>0</v>
      </c>
      <c r="I823">
        <v>823</v>
      </c>
      <c r="J823">
        <f t="shared" si="66"/>
        <v>-123456789</v>
      </c>
      <c r="K823">
        <f t="shared" si="67"/>
        <v>7.2459999999999996</v>
      </c>
      <c r="L823">
        <f>[1]!XLSTAT_PDFGeneral(J823,17, 1)</f>
        <v>0</v>
      </c>
    </row>
    <row r="824" spans="1:12" x14ac:dyDescent="0.3">
      <c r="A824">
        <v>824</v>
      </c>
      <c r="B824">
        <f t="shared" si="64"/>
        <v>17.932000000000002</v>
      </c>
      <c r="C824">
        <f t="shared" si="65"/>
        <v>17.932000000000002</v>
      </c>
      <c r="D824">
        <f>[1]!XLSTAT_PDFGeneral(B824,14, 16, 1)</f>
        <v>6.1713625781571683E-2</v>
      </c>
      <c r="I824">
        <v>824</v>
      </c>
      <c r="J824">
        <f t="shared" si="66"/>
        <v>7.2459999999999996</v>
      </c>
      <c r="K824">
        <f t="shared" si="67"/>
        <v>7.2459999999999996</v>
      </c>
      <c r="L824">
        <f>[1]!XLSTAT_PDFGeneral(J824,17, 1)</f>
        <v>7.2991952613381413E-5</v>
      </c>
    </row>
    <row r="825" spans="1:12" x14ac:dyDescent="0.3">
      <c r="A825">
        <v>825</v>
      </c>
      <c r="B825">
        <f t="shared" si="64"/>
        <v>17.943999999999999</v>
      </c>
      <c r="C825">
        <f t="shared" si="65"/>
        <v>17.943999999999999</v>
      </c>
      <c r="D825">
        <f>[1]!XLSTAT_PDFGeneral(B825,14, 16, 1)</f>
        <v>6.0294973724765812E-2</v>
      </c>
      <c r="I825">
        <v>825</v>
      </c>
      <c r="J825">
        <f t="shared" si="66"/>
        <v>7.2320000000000002</v>
      </c>
      <c r="K825">
        <f t="shared" si="67"/>
        <v>7.2320000000000002</v>
      </c>
      <c r="L825">
        <f>[1]!XLSTAT_PDFGeneral(J825,17, 1)</f>
        <v>7.2991952613381413E-5</v>
      </c>
    </row>
    <row r="826" spans="1:12" x14ac:dyDescent="0.3">
      <c r="A826">
        <v>826</v>
      </c>
      <c r="B826">
        <f t="shared" si="64"/>
        <v>-123456789</v>
      </c>
      <c r="C826">
        <f t="shared" si="65"/>
        <v>17.943999999999999</v>
      </c>
      <c r="D826">
        <f>[1]!XLSTAT_PDFGeneral(B826,14, 16, 1)</f>
        <v>0</v>
      </c>
      <c r="I826">
        <v>826</v>
      </c>
      <c r="J826">
        <f t="shared" si="66"/>
        <v>-123456789</v>
      </c>
      <c r="K826">
        <f t="shared" si="67"/>
        <v>7.2320000000000002</v>
      </c>
      <c r="L826">
        <f>[1]!XLSTAT_PDFGeneral(J826,17, 1)</f>
        <v>0</v>
      </c>
    </row>
    <row r="827" spans="1:12" x14ac:dyDescent="0.3">
      <c r="A827">
        <v>827</v>
      </c>
      <c r="B827">
        <f t="shared" si="64"/>
        <v>-123456789</v>
      </c>
      <c r="C827">
        <f t="shared" si="65"/>
        <v>17.956</v>
      </c>
      <c r="D827">
        <f>[1]!XLSTAT_PDFGeneral(B827,14, 16, 1)</f>
        <v>0</v>
      </c>
      <c r="I827">
        <v>827</v>
      </c>
      <c r="J827">
        <f t="shared" si="66"/>
        <v>-123456789</v>
      </c>
      <c r="K827">
        <f t="shared" si="67"/>
        <v>7.218</v>
      </c>
      <c r="L827">
        <f>[1]!XLSTAT_PDFGeneral(J827,17, 1)</f>
        <v>0</v>
      </c>
    </row>
    <row r="828" spans="1:12" x14ac:dyDescent="0.3">
      <c r="A828">
        <v>828</v>
      </c>
      <c r="B828">
        <f t="shared" si="64"/>
        <v>17.956</v>
      </c>
      <c r="C828">
        <f t="shared" si="65"/>
        <v>17.956</v>
      </c>
      <c r="D828">
        <f>[1]!XLSTAT_PDFGeneral(B828,14, 16, 1)</f>
        <v>5.8900450888289345E-2</v>
      </c>
      <c r="I828">
        <v>828</v>
      </c>
      <c r="J828">
        <f t="shared" si="66"/>
        <v>7.218</v>
      </c>
      <c r="K828">
        <f t="shared" si="67"/>
        <v>7.218</v>
      </c>
      <c r="L828">
        <f>[1]!XLSTAT_PDFGeneral(J828,17, 1)</f>
        <v>7.2991952613381413E-5</v>
      </c>
    </row>
    <row r="829" spans="1:12" x14ac:dyDescent="0.3">
      <c r="A829">
        <v>829</v>
      </c>
      <c r="B829">
        <f t="shared" si="64"/>
        <v>17.968</v>
      </c>
      <c r="C829">
        <f t="shared" si="65"/>
        <v>17.968</v>
      </c>
      <c r="D829">
        <f>[1]!XLSTAT_PDFGeneral(B829,14, 16, 1)</f>
        <v>5.7529896152820878E-2</v>
      </c>
      <c r="I829">
        <v>829</v>
      </c>
      <c r="J829">
        <f t="shared" si="66"/>
        <v>7.2039999999999997</v>
      </c>
      <c r="K829">
        <f t="shared" si="67"/>
        <v>7.2039999999999997</v>
      </c>
      <c r="L829">
        <f>[1]!XLSTAT_PDFGeneral(J829,17, 1)</f>
        <v>7.2991952613381413E-5</v>
      </c>
    </row>
    <row r="830" spans="1:12" x14ac:dyDescent="0.3">
      <c r="A830">
        <v>830</v>
      </c>
      <c r="B830">
        <f t="shared" si="64"/>
        <v>-123456789</v>
      </c>
      <c r="C830">
        <f t="shared" si="65"/>
        <v>17.968</v>
      </c>
      <c r="D830">
        <f>[1]!XLSTAT_PDFGeneral(B830,14, 16, 1)</f>
        <v>0</v>
      </c>
      <c r="I830">
        <v>830</v>
      </c>
      <c r="J830">
        <f t="shared" si="66"/>
        <v>-123456789</v>
      </c>
      <c r="K830">
        <f t="shared" si="67"/>
        <v>7.2039999999999997</v>
      </c>
      <c r="L830">
        <f>[1]!XLSTAT_PDFGeneral(J830,17, 1)</f>
        <v>0</v>
      </c>
    </row>
    <row r="831" spans="1:12" x14ac:dyDescent="0.3">
      <c r="A831">
        <v>831</v>
      </c>
      <c r="B831">
        <f t="shared" si="64"/>
        <v>-123456789</v>
      </c>
      <c r="C831">
        <f t="shared" si="65"/>
        <v>17.98</v>
      </c>
      <c r="D831">
        <f>[1]!XLSTAT_PDFGeneral(B831,14, 16, 1)</f>
        <v>0</v>
      </c>
      <c r="I831">
        <v>831</v>
      </c>
      <c r="J831">
        <f t="shared" si="66"/>
        <v>-123456789</v>
      </c>
      <c r="K831">
        <f t="shared" si="67"/>
        <v>7.1899999999999995</v>
      </c>
      <c r="L831">
        <f>[1]!XLSTAT_PDFGeneral(J831,17, 1)</f>
        <v>0</v>
      </c>
    </row>
    <row r="832" spans="1:12" x14ac:dyDescent="0.3">
      <c r="A832">
        <v>832</v>
      </c>
      <c r="B832">
        <f t="shared" si="64"/>
        <v>17.98</v>
      </c>
      <c r="C832">
        <f t="shared" si="65"/>
        <v>17.98</v>
      </c>
      <c r="D832">
        <f>[1]!XLSTAT_PDFGeneral(B832,14, 16, 1)</f>
        <v>5.6183141903867993E-2</v>
      </c>
      <c r="I832">
        <v>832</v>
      </c>
      <c r="J832">
        <f t="shared" si="66"/>
        <v>7.1899999999999995</v>
      </c>
      <c r="K832">
        <f t="shared" si="67"/>
        <v>7.1899999999999995</v>
      </c>
      <c r="L832">
        <f>[1]!XLSTAT_PDFGeneral(J832,17, 1)</f>
        <v>7.2991952613381413E-5</v>
      </c>
    </row>
    <row r="833" spans="1:12" x14ac:dyDescent="0.3">
      <c r="A833">
        <v>833</v>
      </c>
      <c r="B833">
        <f t="shared" ref="B833:B896" si="68">IF(-1^(INT(A833/2)+2)&gt;0,13+2*INT(A833/2-1/2)*0.006,-123456789)</f>
        <v>17.992000000000001</v>
      </c>
      <c r="C833">
        <f t="shared" ref="C833:C896" si="69">13+2*INT(A833/2-1/2)*0.006</f>
        <v>17.992000000000001</v>
      </c>
      <c r="D833">
        <f>[1]!XLSTAT_PDFGeneral(B833,14, 16, 1)</f>
        <v>5.4860014278304635E-2</v>
      </c>
      <c r="I833">
        <v>833</v>
      </c>
      <c r="J833">
        <f t="shared" ref="J833:J896" si="70">IF(-1^(INT(I833/2)+2)&gt;0,13+2*INT(I833/2-1/2)*-0.007,-123456789)</f>
        <v>7.1760000000000002</v>
      </c>
      <c r="K833">
        <f t="shared" ref="K833:K896" si="71">13+2*INT(I833/2-1/2)*-0.007</f>
        <v>7.1760000000000002</v>
      </c>
      <c r="L833">
        <f>[1]!XLSTAT_PDFGeneral(J833,17, 1)</f>
        <v>7.2991952613381413E-5</v>
      </c>
    </row>
    <row r="834" spans="1:12" x14ac:dyDescent="0.3">
      <c r="A834">
        <v>834</v>
      </c>
      <c r="B834">
        <f t="shared" si="68"/>
        <v>-123456789</v>
      </c>
      <c r="C834">
        <f t="shared" si="69"/>
        <v>17.992000000000001</v>
      </c>
      <c r="D834">
        <f>[1]!XLSTAT_PDFGeneral(B834,14, 16, 1)</f>
        <v>0</v>
      </c>
      <c r="I834">
        <v>834</v>
      </c>
      <c r="J834">
        <f t="shared" si="70"/>
        <v>-123456789</v>
      </c>
      <c r="K834">
        <f t="shared" si="71"/>
        <v>7.1760000000000002</v>
      </c>
      <c r="L834">
        <f>[1]!XLSTAT_PDFGeneral(J834,17, 1)</f>
        <v>0</v>
      </c>
    </row>
    <row r="835" spans="1:12" x14ac:dyDescent="0.3">
      <c r="A835">
        <v>835</v>
      </c>
      <c r="B835">
        <f t="shared" si="68"/>
        <v>-123456789</v>
      </c>
      <c r="C835">
        <f t="shared" si="69"/>
        <v>18.004000000000001</v>
      </c>
      <c r="D835">
        <f>[1]!XLSTAT_PDFGeneral(B835,14, 16, 1)</f>
        <v>0</v>
      </c>
      <c r="I835">
        <v>835</v>
      </c>
      <c r="J835">
        <f t="shared" si="70"/>
        <v>-123456789</v>
      </c>
      <c r="K835">
        <f t="shared" si="71"/>
        <v>7.1619999999999999</v>
      </c>
      <c r="L835">
        <f>[1]!XLSTAT_PDFGeneral(J835,17, 1)</f>
        <v>0</v>
      </c>
    </row>
    <row r="836" spans="1:12" x14ac:dyDescent="0.3">
      <c r="A836">
        <v>836</v>
      </c>
      <c r="B836">
        <f t="shared" si="68"/>
        <v>18.004000000000001</v>
      </c>
      <c r="C836">
        <f t="shared" si="69"/>
        <v>18.004000000000001</v>
      </c>
      <c r="D836">
        <f>[1]!XLSTAT_PDFGeneral(B836,14, 16, 1)</f>
        <v>5.3560333409600223E-2</v>
      </c>
      <c r="I836">
        <v>836</v>
      </c>
      <c r="J836">
        <f t="shared" si="70"/>
        <v>7.1619999999999999</v>
      </c>
      <c r="K836">
        <f t="shared" si="71"/>
        <v>7.1619999999999999</v>
      </c>
      <c r="L836">
        <f>[1]!XLSTAT_PDFGeneral(J836,17, 1)</f>
        <v>7.2991952613381413E-5</v>
      </c>
    </row>
    <row r="837" spans="1:12" x14ac:dyDescent="0.3">
      <c r="A837">
        <v>837</v>
      </c>
      <c r="B837">
        <f t="shared" si="68"/>
        <v>18.015999999999998</v>
      </c>
      <c r="C837">
        <f t="shared" si="69"/>
        <v>18.015999999999998</v>
      </c>
      <c r="D837">
        <f>[1]!XLSTAT_PDFGeneral(B837,14, 16, 1)</f>
        <v>5.22839136715623E-2</v>
      </c>
      <c r="I837">
        <v>837</v>
      </c>
      <c r="J837">
        <f t="shared" si="70"/>
        <v>7.1479999999999997</v>
      </c>
      <c r="K837">
        <f t="shared" si="71"/>
        <v>7.1479999999999997</v>
      </c>
      <c r="L837">
        <f>[1]!XLSTAT_PDFGeneral(J837,17, 1)</f>
        <v>7.2991952613381413E-5</v>
      </c>
    </row>
    <row r="838" spans="1:12" x14ac:dyDescent="0.3">
      <c r="A838">
        <v>838</v>
      </c>
      <c r="B838">
        <f t="shared" si="68"/>
        <v>-123456789</v>
      </c>
      <c r="C838">
        <f t="shared" si="69"/>
        <v>18.015999999999998</v>
      </c>
      <c r="D838">
        <f>[1]!XLSTAT_PDFGeneral(B838,14, 16, 1)</f>
        <v>0</v>
      </c>
      <c r="I838">
        <v>838</v>
      </c>
      <c r="J838">
        <f t="shared" si="70"/>
        <v>-123456789</v>
      </c>
      <c r="K838">
        <f t="shared" si="71"/>
        <v>7.1479999999999997</v>
      </c>
      <c r="L838">
        <f>[1]!XLSTAT_PDFGeneral(J838,17, 1)</f>
        <v>0</v>
      </c>
    </row>
    <row r="839" spans="1:12" x14ac:dyDescent="0.3">
      <c r="A839">
        <v>839</v>
      </c>
      <c r="B839">
        <f t="shared" si="68"/>
        <v>-123456789</v>
      </c>
      <c r="C839">
        <f t="shared" si="69"/>
        <v>18.027999999999999</v>
      </c>
      <c r="D839">
        <f>[1]!XLSTAT_PDFGeneral(B839,14, 16, 1)</f>
        <v>0</v>
      </c>
      <c r="I839">
        <v>839</v>
      </c>
      <c r="J839">
        <f t="shared" si="70"/>
        <v>-123456789</v>
      </c>
      <c r="K839">
        <f t="shared" si="71"/>
        <v>7.1339999999999995</v>
      </c>
      <c r="L839">
        <f>[1]!XLSTAT_PDFGeneral(J839,17, 1)</f>
        <v>0</v>
      </c>
    </row>
    <row r="840" spans="1:12" x14ac:dyDescent="0.3">
      <c r="A840">
        <v>840</v>
      </c>
      <c r="B840">
        <f t="shared" si="68"/>
        <v>18.027999999999999</v>
      </c>
      <c r="C840">
        <f t="shared" si="69"/>
        <v>18.027999999999999</v>
      </c>
      <c r="D840">
        <f>[1]!XLSTAT_PDFGeneral(B840,14, 16, 1)</f>
        <v>5.1030563920417819E-2</v>
      </c>
      <c r="I840">
        <v>840</v>
      </c>
      <c r="J840">
        <f t="shared" si="70"/>
        <v>7.1339999999999995</v>
      </c>
      <c r="K840">
        <f t="shared" si="71"/>
        <v>7.1339999999999995</v>
      </c>
      <c r="L840">
        <f>[1]!XLSTAT_PDFGeneral(J840,17, 1)</f>
        <v>7.2991952613381413E-5</v>
      </c>
    </row>
    <row r="841" spans="1:12" x14ac:dyDescent="0.3">
      <c r="A841">
        <v>841</v>
      </c>
      <c r="B841">
        <f t="shared" si="68"/>
        <v>18.04</v>
      </c>
      <c r="C841">
        <f t="shared" si="69"/>
        <v>18.04</v>
      </c>
      <c r="D841">
        <f>[1]!XLSTAT_PDFGeneral(B841,14, 16, 1)</f>
        <v>4.9800087735070865E-2</v>
      </c>
      <c r="I841">
        <v>841</v>
      </c>
      <c r="J841">
        <f t="shared" si="70"/>
        <v>7.12</v>
      </c>
      <c r="K841">
        <f t="shared" si="71"/>
        <v>7.12</v>
      </c>
      <c r="L841">
        <f>[1]!XLSTAT_PDFGeneral(J841,17, 1)</f>
        <v>7.2991952613381413E-5</v>
      </c>
    </row>
    <row r="842" spans="1:12" x14ac:dyDescent="0.3">
      <c r="A842">
        <v>842</v>
      </c>
      <c r="B842">
        <f t="shared" si="68"/>
        <v>-123456789</v>
      </c>
      <c r="C842">
        <f t="shared" si="69"/>
        <v>18.04</v>
      </c>
      <c r="D842">
        <f>[1]!XLSTAT_PDFGeneral(B842,14, 16, 1)</f>
        <v>0</v>
      </c>
      <c r="I842">
        <v>842</v>
      </c>
      <c r="J842">
        <f t="shared" si="70"/>
        <v>-123456789</v>
      </c>
      <c r="K842">
        <f t="shared" si="71"/>
        <v>7.12</v>
      </c>
      <c r="L842">
        <f>[1]!XLSTAT_PDFGeneral(J842,17, 1)</f>
        <v>0</v>
      </c>
    </row>
    <row r="843" spans="1:12" x14ac:dyDescent="0.3">
      <c r="A843">
        <v>843</v>
      </c>
      <c r="B843">
        <f t="shared" si="68"/>
        <v>-123456789</v>
      </c>
      <c r="C843">
        <f t="shared" si="69"/>
        <v>18.052</v>
      </c>
      <c r="D843">
        <f>[1]!XLSTAT_PDFGeneral(B843,14, 16, 1)</f>
        <v>0</v>
      </c>
      <c r="I843">
        <v>843</v>
      </c>
      <c r="J843">
        <f t="shared" si="70"/>
        <v>-123456789</v>
      </c>
      <c r="K843">
        <f t="shared" si="71"/>
        <v>7.1059999999999999</v>
      </c>
      <c r="L843">
        <f>[1]!XLSTAT_PDFGeneral(J843,17, 1)</f>
        <v>0</v>
      </c>
    </row>
    <row r="844" spans="1:12" x14ac:dyDescent="0.3">
      <c r="A844">
        <v>844</v>
      </c>
      <c r="B844">
        <f t="shared" si="68"/>
        <v>18.052</v>
      </c>
      <c r="C844">
        <f t="shared" si="69"/>
        <v>18.052</v>
      </c>
      <c r="D844">
        <f>[1]!XLSTAT_PDFGeneral(B844,14, 16, 1)</f>
        <v>4.8592283655368045E-2</v>
      </c>
      <c r="I844">
        <v>844</v>
      </c>
      <c r="J844">
        <f t="shared" si="70"/>
        <v>7.1059999999999999</v>
      </c>
      <c r="K844">
        <f t="shared" si="71"/>
        <v>7.1059999999999999</v>
      </c>
      <c r="L844">
        <f>[1]!XLSTAT_PDFGeneral(J844,17, 1)</f>
        <v>7.2991952613381413E-5</v>
      </c>
    </row>
    <row r="845" spans="1:12" x14ac:dyDescent="0.3">
      <c r="A845">
        <v>845</v>
      </c>
      <c r="B845">
        <f t="shared" si="68"/>
        <v>18.064</v>
      </c>
      <c r="C845">
        <f t="shared" si="69"/>
        <v>18.064</v>
      </c>
      <c r="D845">
        <f>[1]!XLSTAT_PDFGeneral(B845,14, 16, 1)</f>
        <v>4.740694541822172E-2</v>
      </c>
      <c r="I845">
        <v>845</v>
      </c>
      <c r="J845">
        <f t="shared" si="70"/>
        <v>7.0919999999999996</v>
      </c>
      <c r="K845">
        <f t="shared" si="71"/>
        <v>7.0919999999999996</v>
      </c>
      <c r="L845">
        <f>[1]!XLSTAT_PDFGeneral(J845,17, 1)</f>
        <v>7.2991952613381413E-5</v>
      </c>
    </row>
    <row r="846" spans="1:12" x14ac:dyDescent="0.3">
      <c r="A846">
        <v>846</v>
      </c>
      <c r="B846">
        <f t="shared" si="68"/>
        <v>-123456789</v>
      </c>
      <c r="C846">
        <f t="shared" si="69"/>
        <v>18.064</v>
      </c>
      <c r="D846">
        <f>[1]!XLSTAT_PDFGeneral(B846,14, 16, 1)</f>
        <v>0</v>
      </c>
      <c r="I846">
        <v>846</v>
      </c>
      <c r="J846">
        <f t="shared" si="70"/>
        <v>-123456789</v>
      </c>
      <c r="K846">
        <f t="shared" si="71"/>
        <v>7.0919999999999996</v>
      </c>
      <c r="L846">
        <f>[1]!XLSTAT_PDFGeneral(J846,17, 1)</f>
        <v>0</v>
      </c>
    </row>
    <row r="847" spans="1:12" x14ac:dyDescent="0.3">
      <c r="A847">
        <v>847</v>
      </c>
      <c r="B847">
        <f t="shared" si="68"/>
        <v>-123456789</v>
      </c>
      <c r="C847">
        <f t="shared" si="69"/>
        <v>18.076000000000001</v>
      </c>
      <c r="D847">
        <f>[1]!XLSTAT_PDFGeneral(B847,14, 16, 1)</f>
        <v>0</v>
      </c>
      <c r="I847">
        <v>847</v>
      </c>
      <c r="J847">
        <f t="shared" si="70"/>
        <v>-123456789</v>
      </c>
      <c r="K847">
        <f t="shared" si="71"/>
        <v>7.0780000000000003</v>
      </c>
      <c r="L847">
        <f>[1]!XLSTAT_PDFGeneral(J847,17, 1)</f>
        <v>0</v>
      </c>
    </row>
    <row r="848" spans="1:12" x14ac:dyDescent="0.3">
      <c r="A848">
        <v>848</v>
      </c>
      <c r="B848">
        <f t="shared" si="68"/>
        <v>18.076000000000001</v>
      </c>
      <c r="C848">
        <f t="shared" si="69"/>
        <v>18.076000000000001</v>
      </c>
      <c r="D848">
        <f>[1]!XLSTAT_PDFGeneral(B848,14, 16, 1)</f>
        <v>4.6243862191438501E-2</v>
      </c>
      <c r="I848">
        <v>848</v>
      </c>
      <c r="J848">
        <f t="shared" si="70"/>
        <v>7.0780000000000003</v>
      </c>
      <c r="K848">
        <f t="shared" si="71"/>
        <v>7.0780000000000003</v>
      </c>
      <c r="L848">
        <f>[1]!XLSTAT_PDFGeneral(J848,17, 1)</f>
        <v>7.2991952613381413E-5</v>
      </c>
    </row>
    <row r="849" spans="1:12" x14ac:dyDescent="0.3">
      <c r="A849">
        <v>849</v>
      </c>
      <c r="B849">
        <f t="shared" si="68"/>
        <v>18.088000000000001</v>
      </c>
      <c r="C849">
        <f t="shared" si="69"/>
        <v>18.088000000000001</v>
      </c>
      <c r="D849">
        <f>[1]!XLSTAT_PDFGeneral(B849,14, 16, 1)</f>
        <v>4.510281880510994E-2</v>
      </c>
      <c r="I849">
        <v>849</v>
      </c>
      <c r="J849">
        <f t="shared" si="70"/>
        <v>7.0640000000000001</v>
      </c>
      <c r="K849">
        <f t="shared" si="71"/>
        <v>7.0640000000000001</v>
      </c>
      <c r="L849">
        <f>[1]!XLSTAT_PDFGeneral(J849,17, 1)</f>
        <v>7.2991952613381413E-5</v>
      </c>
    </row>
    <row r="850" spans="1:12" x14ac:dyDescent="0.3">
      <c r="A850">
        <v>850</v>
      </c>
      <c r="B850">
        <f t="shared" si="68"/>
        <v>-123456789</v>
      </c>
      <c r="C850">
        <f t="shared" si="69"/>
        <v>18.088000000000001</v>
      </c>
      <c r="D850">
        <f>[1]!XLSTAT_PDFGeneral(B850,14, 16, 1)</f>
        <v>0</v>
      </c>
      <c r="I850">
        <v>850</v>
      </c>
      <c r="J850">
        <f t="shared" si="70"/>
        <v>-123456789</v>
      </c>
      <c r="K850">
        <f t="shared" si="71"/>
        <v>7.0640000000000001</v>
      </c>
      <c r="L850">
        <f>[1]!XLSTAT_PDFGeneral(J850,17, 1)</f>
        <v>0</v>
      </c>
    </row>
    <row r="851" spans="1:12" x14ac:dyDescent="0.3">
      <c r="A851">
        <v>851</v>
      </c>
      <c r="B851">
        <f t="shared" si="68"/>
        <v>-123456789</v>
      </c>
      <c r="C851">
        <f t="shared" si="69"/>
        <v>18.100000000000001</v>
      </c>
      <c r="D851">
        <f>[1]!XLSTAT_PDFGeneral(B851,14, 16, 1)</f>
        <v>0</v>
      </c>
      <c r="I851">
        <v>851</v>
      </c>
      <c r="J851">
        <f t="shared" si="70"/>
        <v>-123456789</v>
      </c>
      <c r="K851">
        <f t="shared" si="71"/>
        <v>7.05</v>
      </c>
      <c r="L851">
        <f>[1]!XLSTAT_PDFGeneral(J851,17, 1)</f>
        <v>0</v>
      </c>
    </row>
    <row r="852" spans="1:12" x14ac:dyDescent="0.3">
      <c r="A852">
        <v>852</v>
      </c>
      <c r="B852">
        <f t="shared" si="68"/>
        <v>18.100000000000001</v>
      </c>
      <c r="C852">
        <f t="shared" si="69"/>
        <v>18.100000000000001</v>
      </c>
      <c r="D852">
        <f>[1]!XLSTAT_PDFGeneral(B852,14, 16, 1)</f>
        <v>4.3983595980427059E-2</v>
      </c>
      <c r="I852">
        <v>852</v>
      </c>
      <c r="J852">
        <f t="shared" si="70"/>
        <v>7.05</v>
      </c>
      <c r="K852">
        <f t="shared" si="71"/>
        <v>7.05</v>
      </c>
      <c r="L852">
        <f>[1]!XLSTAT_PDFGeneral(J852,17, 1)</f>
        <v>7.2991952613381413E-5</v>
      </c>
    </row>
    <row r="853" spans="1:12" x14ac:dyDescent="0.3">
      <c r="A853">
        <v>853</v>
      </c>
      <c r="B853">
        <f t="shared" si="68"/>
        <v>18.112000000000002</v>
      </c>
      <c r="C853">
        <f t="shared" si="69"/>
        <v>18.112000000000002</v>
      </c>
      <c r="D853">
        <f>[1]!XLSTAT_PDFGeneral(B853,14, 16, 1)</f>
        <v>4.2885970555787169E-2</v>
      </c>
      <c r="I853">
        <v>853</v>
      </c>
      <c r="J853">
        <f t="shared" si="70"/>
        <v>7.0359999999999996</v>
      </c>
      <c r="K853">
        <f t="shared" si="71"/>
        <v>7.0359999999999996</v>
      </c>
      <c r="L853">
        <f>[1]!XLSTAT_PDFGeneral(J853,17, 1)</f>
        <v>7.2991952613381413E-5</v>
      </c>
    </row>
    <row r="854" spans="1:12" x14ac:dyDescent="0.3">
      <c r="A854">
        <v>854</v>
      </c>
      <c r="B854">
        <f t="shared" si="68"/>
        <v>-123456789</v>
      </c>
      <c r="C854">
        <f t="shared" si="69"/>
        <v>18.112000000000002</v>
      </c>
      <c r="D854">
        <f>[1]!XLSTAT_PDFGeneral(B854,14, 16, 1)</f>
        <v>0</v>
      </c>
      <c r="I854">
        <v>854</v>
      </c>
      <c r="J854">
        <f t="shared" si="70"/>
        <v>-123456789</v>
      </c>
      <c r="K854">
        <f t="shared" si="71"/>
        <v>7.0359999999999996</v>
      </c>
      <c r="L854">
        <f>[1]!XLSTAT_PDFGeneral(J854,17, 1)</f>
        <v>0</v>
      </c>
    </row>
    <row r="855" spans="1:12" x14ac:dyDescent="0.3">
      <c r="A855">
        <v>855</v>
      </c>
      <c r="B855">
        <f t="shared" si="68"/>
        <v>-123456789</v>
      </c>
      <c r="C855">
        <f t="shared" si="69"/>
        <v>18.123999999999999</v>
      </c>
      <c r="D855">
        <f>[1]!XLSTAT_PDFGeneral(B855,14, 16, 1)</f>
        <v>0</v>
      </c>
      <c r="I855">
        <v>855</v>
      </c>
      <c r="J855">
        <f t="shared" si="70"/>
        <v>-123456789</v>
      </c>
      <c r="K855">
        <f t="shared" si="71"/>
        <v>7.0220000000000002</v>
      </c>
      <c r="L855">
        <f>[1]!XLSTAT_PDFGeneral(J855,17, 1)</f>
        <v>0</v>
      </c>
    </row>
    <row r="856" spans="1:12" x14ac:dyDescent="0.3">
      <c r="A856">
        <v>856</v>
      </c>
      <c r="B856">
        <f t="shared" si="68"/>
        <v>18.123999999999999</v>
      </c>
      <c r="C856">
        <f t="shared" si="69"/>
        <v>18.123999999999999</v>
      </c>
      <c r="D856">
        <f>[1]!XLSTAT_PDFGeneral(B856,14, 16, 1)</f>
        <v>4.1809715710066538E-2</v>
      </c>
      <c r="I856">
        <v>856</v>
      </c>
      <c r="J856">
        <f t="shared" si="70"/>
        <v>7.0220000000000002</v>
      </c>
      <c r="K856">
        <f t="shared" si="71"/>
        <v>7.0220000000000002</v>
      </c>
      <c r="L856">
        <f>[1]!XLSTAT_PDFGeneral(J856,17, 1)</f>
        <v>7.2991952613381413E-5</v>
      </c>
    </row>
    <row r="857" spans="1:12" x14ac:dyDescent="0.3">
      <c r="A857">
        <v>857</v>
      </c>
      <c r="B857">
        <f t="shared" si="68"/>
        <v>18.135999999999999</v>
      </c>
      <c r="C857">
        <f t="shared" si="69"/>
        <v>18.135999999999999</v>
      </c>
      <c r="D857">
        <f>[1]!XLSTAT_PDFGeneral(B857,14, 16, 1)</f>
        <v>4.0754601182937618E-2</v>
      </c>
      <c r="I857">
        <v>857</v>
      </c>
      <c r="J857">
        <f t="shared" si="70"/>
        <v>7.008</v>
      </c>
      <c r="K857">
        <f t="shared" si="71"/>
        <v>7.008</v>
      </c>
      <c r="L857">
        <f>[1]!XLSTAT_PDFGeneral(J857,17, 1)</f>
        <v>7.2991952613381413E-5</v>
      </c>
    </row>
    <row r="858" spans="1:12" x14ac:dyDescent="0.3">
      <c r="A858">
        <v>858</v>
      </c>
      <c r="B858">
        <f t="shared" si="68"/>
        <v>-123456789</v>
      </c>
      <c r="C858">
        <f t="shared" si="69"/>
        <v>18.135999999999999</v>
      </c>
      <c r="D858">
        <f>[1]!XLSTAT_PDFGeneral(B858,14, 16, 1)</f>
        <v>0</v>
      </c>
      <c r="I858">
        <v>858</v>
      </c>
      <c r="J858">
        <f t="shared" si="70"/>
        <v>-123456789</v>
      </c>
      <c r="K858">
        <f t="shared" si="71"/>
        <v>7.008</v>
      </c>
      <c r="L858">
        <f>[1]!XLSTAT_PDFGeneral(J858,17, 1)</f>
        <v>0</v>
      </c>
    </row>
    <row r="859" spans="1:12" x14ac:dyDescent="0.3">
      <c r="A859">
        <v>859</v>
      </c>
      <c r="B859">
        <f t="shared" si="68"/>
        <v>-123456789</v>
      </c>
      <c r="C859">
        <f t="shared" si="69"/>
        <v>18.148</v>
      </c>
      <c r="D859">
        <f>[1]!XLSTAT_PDFGeneral(B859,14, 16, 1)</f>
        <v>0</v>
      </c>
      <c r="I859">
        <v>859</v>
      </c>
      <c r="J859">
        <f t="shared" si="70"/>
        <v>-123456789</v>
      </c>
      <c r="K859">
        <f t="shared" si="71"/>
        <v>6.9939999999999998</v>
      </c>
      <c r="L859">
        <f>[1]!XLSTAT_PDFGeneral(J859,17, 1)</f>
        <v>0</v>
      </c>
    </row>
    <row r="860" spans="1:12" x14ac:dyDescent="0.3">
      <c r="A860">
        <v>860</v>
      </c>
      <c r="B860">
        <f t="shared" si="68"/>
        <v>18.148</v>
      </c>
      <c r="C860">
        <f t="shared" si="69"/>
        <v>18.148</v>
      </c>
      <c r="D860">
        <f>[1]!XLSTAT_PDFGeneral(B860,14, 16, 1)</f>
        <v>3.972039349212067E-2</v>
      </c>
      <c r="I860">
        <v>860</v>
      </c>
      <c r="J860">
        <f t="shared" si="70"/>
        <v>6.9939999999999998</v>
      </c>
      <c r="K860">
        <f t="shared" si="71"/>
        <v>6.9939999999999998</v>
      </c>
      <c r="L860">
        <f>[1]!XLSTAT_PDFGeneral(J860,17, 1)</f>
        <v>5.1094366829366989E-4</v>
      </c>
    </row>
    <row r="861" spans="1:12" x14ac:dyDescent="0.3">
      <c r="A861">
        <v>861</v>
      </c>
      <c r="B861">
        <f t="shared" si="68"/>
        <v>18.16</v>
      </c>
      <c r="C861">
        <f t="shared" si="69"/>
        <v>18.16</v>
      </c>
      <c r="D861">
        <f>[1]!XLSTAT_PDFGeneral(B861,14, 16, 1)</f>
        <v>3.8706856147455608E-2</v>
      </c>
      <c r="I861">
        <v>861</v>
      </c>
      <c r="J861">
        <f t="shared" si="70"/>
        <v>6.9799999999999995</v>
      </c>
      <c r="K861">
        <f t="shared" si="71"/>
        <v>6.9799999999999995</v>
      </c>
      <c r="L861">
        <f>[1]!XLSTAT_PDFGeneral(J861,17, 1)</f>
        <v>5.1094366829366989E-4</v>
      </c>
    </row>
    <row r="862" spans="1:12" x14ac:dyDescent="0.3">
      <c r="A862">
        <v>862</v>
      </c>
      <c r="B862">
        <f t="shared" si="68"/>
        <v>-123456789</v>
      </c>
      <c r="C862">
        <f t="shared" si="69"/>
        <v>18.16</v>
      </c>
      <c r="D862">
        <f>[1]!XLSTAT_PDFGeneral(B862,14, 16, 1)</f>
        <v>0</v>
      </c>
      <c r="I862">
        <v>862</v>
      </c>
      <c r="J862">
        <f t="shared" si="70"/>
        <v>-123456789</v>
      </c>
      <c r="K862">
        <f t="shared" si="71"/>
        <v>6.9799999999999995</v>
      </c>
      <c r="L862">
        <f>[1]!XLSTAT_PDFGeneral(J862,17, 1)</f>
        <v>0</v>
      </c>
    </row>
    <row r="863" spans="1:12" x14ac:dyDescent="0.3">
      <c r="A863">
        <v>863</v>
      </c>
      <c r="B863">
        <f t="shared" si="68"/>
        <v>-123456789</v>
      </c>
      <c r="C863">
        <f t="shared" si="69"/>
        <v>18.172000000000001</v>
      </c>
      <c r="D863">
        <f>[1]!XLSTAT_PDFGeneral(B863,14, 16, 1)</f>
        <v>0</v>
      </c>
      <c r="I863">
        <v>863</v>
      </c>
      <c r="J863">
        <f t="shared" si="70"/>
        <v>-123456789</v>
      </c>
      <c r="K863">
        <f t="shared" si="71"/>
        <v>6.9660000000000002</v>
      </c>
      <c r="L863">
        <f>[1]!XLSTAT_PDFGeneral(J863,17, 1)</f>
        <v>0</v>
      </c>
    </row>
    <row r="864" spans="1:12" x14ac:dyDescent="0.3">
      <c r="A864">
        <v>864</v>
      </c>
      <c r="B864">
        <f t="shared" si="68"/>
        <v>18.172000000000001</v>
      </c>
      <c r="C864">
        <f t="shared" si="69"/>
        <v>18.172000000000001</v>
      </c>
      <c r="D864">
        <f>[1]!XLSTAT_PDFGeneral(B864,14, 16, 1)</f>
        <v>3.7713749861696157E-2</v>
      </c>
      <c r="I864">
        <v>864</v>
      </c>
      <c r="J864">
        <f t="shared" si="70"/>
        <v>6.9660000000000002</v>
      </c>
      <c r="K864">
        <f t="shared" si="71"/>
        <v>6.9660000000000002</v>
      </c>
      <c r="L864">
        <f>[1]!XLSTAT_PDFGeneral(J864,17, 1)</f>
        <v>5.1094366829366989E-4</v>
      </c>
    </row>
    <row r="865" spans="1:12" x14ac:dyDescent="0.3">
      <c r="A865">
        <v>865</v>
      </c>
      <c r="B865">
        <f t="shared" si="68"/>
        <v>18.184000000000001</v>
      </c>
      <c r="C865">
        <f t="shared" si="69"/>
        <v>18.184000000000001</v>
      </c>
      <c r="D865">
        <f>[1]!XLSTAT_PDFGeneral(B865,14, 16, 1)</f>
        <v>3.6740832757927937E-2</v>
      </c>
      <c r="I865">
        <v>865</v>
      </c>
      <c r="J865">
        <f t="shared" si="70"/>
        <v>6.952</v>
      </c>
      <c r="K865">
        <f t="shared" si="71"/>
        <v>6.952</v>
      </c>
      <c r="L865">
        <f>[1]!XLSTAT_PDFGeneral(J865,17, 1)</f>
        <v>5.1094366829366989E-4</v>
      </c>
    </row>
    <row r="866" spans="1:12" x14ac:dyDescent="0.3">
      <c r="A866">
        <v>866</v>
      </c>
      <c r="B866">
        <f t="shared" si="68"/>
        <v>-123456789</v>
      </c>
      <c r="C866">
        <f t="shared" si="69"/>
        <v>18.184000000000001</v>
      </c>
      <c r="D866">
        <f>[1]!XLSTAT_PDFGeneral(B866,14, 16, 1)</f>
        <v>0</v>
      </c>
      <c r="I866">
        <v>866</v>
      </c>
      <c r="J866">
        <f t="shared" si="70"/>
        <v>-123456789</v>
      </c>
      <c r="K866">
        <f t="shared" si="71"/>
        <v>6.952</v>
      </c>
      <c r="L866">
        <f>[1]!XLSTAT_PDFGeneral(J866,17, 1)</f>
        <v>0</v>
      </c>
    </row>
    <row r="867" spans="1:12" x14ac:dyDescent="0.3">
      <c r="A867">
        <v>867</v>
      </c>
      <c r="B867">
        <f t="shared" si="68"/>
        <v>-123456789</v>
      </c>
      <c r="C867">
        <f t="shared" si="69"/>
        <v>18.195999999999998</v>
      </c>
      <c r="D867">
        <f>[1]!XLSTAT_PDFGeneral(B867,14, 16, 1)</f>
        <v>0</v>
      </c>
      <c r="I867">
        <v>867</v>
      </c>
      <c r="J867">
        <f t="shared" si="70"/>
        <v>-123456789</v>
      </c>
      <c r="K867">
        <f t="shared" si="71"/>
        <v>6.9379999999999997</v>
      </c>
      <c r="L867">
        <f>[1]!XLSTAT_PDFGeneral(J867,17, 1)</f>
        <v>0</v>
      </c>
    </row>
    <row r="868" spans="1:12" x14ac:dyDescent="0.3">
      <c r="A868">
        <v>868</v>
      </c>
      <c r="B868">
        <f t="shared" si="68"/>
        <v>18.195999999999998</v>
      </c>
      <c r="C868">
        <f t="shared" si="69"/>
        <v>18.195999999999998</v>
      </c>
      <c r="D868">
        <f>[1]!XLSTAT_PDFGeneral(B868,14, 16, 1)</f>
        <v>3.5787860573520368E-2</v>
      </c>
      <c r="I868">
        <v>868</v>
      </c>
      <c r="J868">
        <f t="shared" si="70"/>
        <v>6.9379999999999997</v>
      </c>
      <c r="K868">
        <f t="shared" si="71"/>
        <v>6.9379999999999997</v>
      </c>
      <c r="L868">
        <f>[1]!XLSTAT_PDFGeneral(J868,17, 1)</f>
        <v>5.1094366829366989E-4</v>
      </c>
    </row>
    <row r="869" spans="1:12" x14ac:dyDescent="0.3">
      <c r="A869">
        <v>869</v>
      </c>
      <c r="B869">
        <f t="shared" si="68"/>
        <v>18.207999999999998</v>
      </c>
      <c r="C869">
        <f t="shared" si="69"/>
        <v>18.207999999999998</v>
      </c>
      <c r="D869">
        <f>[1]!XLSTAT_PDFGeneral(B869,14, 16, 1)</f>
        <v>3.4854586860525533E-2</v>
      </c>
      <c r="I869">
        <v>869</v>
      </c>
      <c r="J869">
        <f t="shared" si="70"/>
        <v>6.9239999999999995</v>
      </c>
      <c r="K869">
        <f t="shared" si="71"/>
        <v>6.9239999999999995</v>
      </c>
      <c r="L869">
        <f>[1]!XLSTAT_PDFGeneral(J869,17, 1)</f>
        <v>5.1094366829366989E-4</v>
      </c>
    </row>
    <row r="870" spans="1:12" x14ac:dyDescent="0.3">
      <c r="A870">
        <v>870</v>
      </c>
      <c r="B870">
        <f t="shared" si="68"/>
        <v>-123456789</v>
      </c>
      <c r="C870">
        <f t="shared" si="69"/>
        <v>18.207999999999998</v>
      </c>
      <c r="D870">
        <f>[1]!XLSTAT_PDFGeneral(B870,14, 16, 1)</f>
        <v>0</v>
      </c>
      <c r="I870">
        <v>870</v>
      </c>
      <c r="J870">
        <f t="shared" si="70"/>
        <v>-123456789</v>
      </c>
      <c r="K870">
        <f t="shared" si="71"/>
        <v>6.9239999999999995</v>
      </c>
      <c r="L870">
        <f>[1]!XLSTAT_PDFGeneral(J870,17, 1)</f>
        <v>0</v>
      </c>
    </row>
    <row r="871" spans="1:12" x14ac:dyDescent="0.3">
      <c r="A871">
        <v>871</v>
      </c>
      <c r="B871">
        <f t="shared" si="68"/>
        <v>-123456789</v>
      </c>
      <c r="C871">
        <f t="shared" si="69"/>
        <v>18.22</v>
      </c>
      <c r="D871">
        <f>[1]!XLSTAT_PDFGeneral(B871,14, 16, 1)</f>
        <v>0</v>
      </c>
      <c r="I871">
        <v>871</v>
      </c>
      <c r="J871">
        <f t="shared" si="70"/>
        <v>-123456789</v>
      </c>
      <c r="K871">
        <f t="shared" si="71"/>
        <v>6.91</v>
      </c>
      <c r="L871">
        <f>[1]!XLSTAT_PDFGeneral(J871,17, 1)</f>
        <v>0</v>
      </c>
    </row>
    <row r="872" spans="1:12" x14ac:dyDescent="0.3">
      <c r="A872">
        <v>872</v>
      </c>
      <c r="B872">
        <f t="shared" si="68"/>
        <v>18.22</v>
      </c>
      <c r="C872">
        <f t="shared" si="69"/>
        <v>18.22</v>
      </c>
      <c r="D872">
        <f>[1]!XLSTAT_PDFGeneral(B872,14, 16, 1)</f>
        <v>3.3940763182449291E-2</v>
      </c>
      <c r="I872">
        <v>872</v>
      </c>
      <c r="J872">
        <f t="shared" si="70"/>
        <v>6.91</v>
      </c>
      <c r="K872">
        <f t="shared" si="71"/>
        <v>6.91</v>
      </c>
      <c r="L872">
        <f>[1]!XLSTAT_PDFGeneral(J872,17, 1)</f>
        <v>5.1094366829366989E-4</v>
      </c>
    </row>
    <row r="873" spans="1:12" x14ac:dyDescent="0.3">
      <c r="A873">
        <v>873</v>
      </c>
      <c r="B873">
        <f t="shared" si="68"/>
        <v>18.231999999999999</v>
      </c>
      <c r="C873">
        <f t="shared" si="69"/>
        <v>18.231999999999999</v>
      </c>
      <c r="D873">
        <f>[1]!XLSTAT_PDFGeneral(B873,14, 16, 1)</f>
        <v>3.3046139307314877E-2</v>
      </c>
      <c r="I873">
        <v>873</v>
      </c>
      <c r="J873">
        <f t="shared" si="70"/>
        <v>6.8959999999999999</v>
      </c>
      <c r="K873">
        <f t="shared" si="71"/>
        <v>6.8959999999999999</v>
      </c>
      <c r="L873">
        <f>[1]!XLSTAT_PDFGeneral(J873,17, 1)</f>
        <v>5.1094366829366989E-4</v>
      </c>
    </row>
    <row r="874" spans="1:12" x14ac:dyDescent="0.3">
      <c r="A874">
        <v>874</v>
      </c>
      <c r="B874">
        <f t="shared" si="68"/>
        <v>-123456789</v>
      </c>
      <c r="C874">
        <f t="shared" si="69"/>
        <v>18.231999999999999</v>
      </c>
      <c r="D874">
        <f>[1]!XLSTAT_PDFGeneral(B874,14, 16, 1)</f>
        <v>0</v>
      </c>
      <c r="I874">
        <v>874</v>
      </c>
      <c r="J874">
        <f t="shared" si="70"/>
        <v>-123456789</v>
      </c>
      <c r="K874">
        <f t="shared" si="71"/>
        <v>6.8959999999999999</v>
      </c>
      <c r="L874">
        <f>[1]!XLSTAT_PDFGeneral(J874,17, 1)</f>
        <v>0</v>
      </c>
    </row>
    <row r="875" spans="1:12" x14ac:dyDescent="0.3">
      <c r="A875">
        <v>875</v>
      </c>
      <c r="B875">
        <f t="shared" si="68"/>
        <v>-123456789</v>
      </c>
      <c r="C875">
        <f t="shared" si="69"/>
        <v>18.244</v>
      </c>
      <c r="D875">
        <f>[1]!XLSTAT_PDFGeneral(B875,14, 16, 1)</f>
        <v>0</v>
      </c>
      <c r="I875">
        <v>875</v>
      </c>
      <c r="J875">
        <f t="shared" si="70"/>
        <v>-123456789</v>
      </c>
      <c r="K875">
        <f t="shared" si="71"/>
        <v>6.8819999999999997</v>
      </c>
      <c r="L875">
        <f>[1]!XLSTAT_PDFGeneral(J875,17, 1)</f>
        <v>0</v>
      </c>
    </row>
    <row r="876" spans="1:12" x14ac:dyDescent="0.3">
      <c r="A876">
        <v>876</v>
      </c>
      <c r="B876">
        <f t="shared" si="68"/>
        <v>18.244</v>
      </c>
      <c r="C876">
        <f t="shared" si="69"/>
        <v>18.244</v>
      </c>
      <c r="D876">
        <f>[1]!XLSTAT_PDFGeneral(B876,14, 16, 1)</f>
        <v>3.2170463396955971E-2</v>
      </c>
      <c r="I876">
        <v>876</v>
      </c>
      <c r="J876">
        <f t="shared" si="70"/>
        <v>6.8819999999999997</v>
      </c>
      <c r="K876">
        <f t="shared" si="71"/>
        <v>6.8819999999999997</v>
      </c>
      <c r="L876">
        <f>[1]!XLSTAT_PDFGeneral(J876,17, 1)</f>
        <v>5.1094366829366989E-4</v>
      </c>
    </row>
    <row r="877" spans="1:12" x14ac:dyDescent="0.3">
      <c r="A877">
        <v>877</v>
      </c>
      <c r="B877">
        <f t="shared" si="68"/>
        <v>18.256</v>
      </c>
      <c r="C877">
        <f t="shared" si="69"/>
        <v>18.256</v>
      </c>
      <c r="D877">
        <f>[1]!XLSTAT_PDFGeneral(B877,14, 16, 1)</f>
        <v>3.1313482192474262E-2</v>
      </c>
      <c r="I877">
        <v>877</v>
      </c>
      <c r="J877">
        <f t="shared" si="70"/>
        <v>6.8679999999999994</v>
      </c>
      <c r="K877">
        <f t="shared" si="71"/>
        <v>6.8679999999999994</v>
      </c>
      <c r="L877">
        <f>[1]!XLSTAT_PDFGeneral(J877,17, 1)</f>
        <v>5.1094366829366989E-4</v>
      </c>
    </row>
    <row r="878" spans="1:12" x14ac:dyDescent="0.3">
      <c r="A878">
        <v>878</v>
      </c>
      <c r="B878">
        <f t="shared" si="68"/>
        <v>-123456789</v>
      </c>
      <c r="C878">
        <f t="shared" si="69"/>
        <v>18.256</v>
      </c>
      <c r="D878">
        <f>[1]!XLSTAT_PDFGeneral(B878,14, 16, 1)</f>
        <v>0</v>
      </c>
      <c r="I878">
        <v>878</v>
      </c>
      <c r="J878">
        <f t="shared" si="70"/>
        <v>-123456789</v>
      </c>
      <c r="K878">
        <f t="shared" si="71"/>
        <v>6.8679999999999994</v>
      </c>
      <c r="L878">
        <f>[1]!XLSTAT_PDFGeneral(J878,17, 1)</f>
        <v>0</v>
      </c>
    </row>
    <row r="879" spans="1:12" x14ac:dyDescent="0.3">
      <c r="A879">
        <v>879</v>
      </c>
      <c r="B879">
        <f t="shared" si="68"/>
        <v>-123456789</v>
      </c>
      <c r="C879">
        <f t="shared" si="69"/>
        <v>18.268000000000001</v>
      </c>
      <c r="D879">
        <f>[1]!XLSTAT_PDFGeneral(B879,14, 16, 1)</f>
        <v>0</v>
      </c>
      <c r="I879">
        <v>879</v>
      </c>
      <c r="J879">
        <f t="shared" si="70"/>
        <v>-123456789</v>
      </c>
      <c r="K879">
        <f t="shared" si="71"/>
        <v>6.8540000000000001</v>
      </c>
      <c r="L879">
        <f>[1]!XLSTAT_PDFGeneral(J879,17, 1)</f>
        <v>0</v>
      </c>
    </row>
    <row r="880" spans="1:12" x14ac:dyDescent="0.3">
      <c r="A880">
        <v>880</v>
      </c>
      <c r="B880">
        <f t="shared" si="68"/>
        <v>18.268000000000001</v>
      </c>
      <c r="C880">
        <f t="shared" si="69"/>
        <v>18.268000000000001</v>
      </c>
      <c r="D880">
        <f>[1]!XLSTAT_PDFGeneral(B880,14, 16, 1)</f>
        <v>3.0474941195805374E-2</v>
      </c>
      <c r="I880">
        <v>880</v>
      </c>
      <c r="J880">
        <f t="shared" si="70"/>
        <v>6.8540000000000001</v>
      </c>
      <c r="K880">
        <f t="shared" si="71"/>
        <v>6.8540000000000001</v>
      </c>
      <c r="L880">
        <f>[1]!XLSTAT_PDFGeneral(J880,17, 1)</f>
        <v>5.1094366829366989E-4</v>
      </c>
    </row>
    <row r="881" spans="1:12" x14ac:dyDescent="0.3">
      <c r="A881">
        <v>881</v>
      </c>
      <c r="B881">
        <f t="shared" si="68"/>
        <v>18.28</v>
      </c>
      <c r="C881">
        <f t="shared" si="69"/>
        <v>18.28</v>
      </c>
      <c r="D881">
        <f>[1]!XLSTAT_PDFGeneral(B881,14, 16, 1)</f>
        <v>2.9654584847341202E-2</v>
      </c>
      <c r="I881">
        <v>881</v>
      </c>
      <c r="J881">
        <f t="shared" si="70"/>
        <v>6.84</v>
      </c>
      <c r="K881">
        <f t="shared" si="71"/>
        <v>6.84</v>
      </c>
      <c r="L881">
        <f>[1]!XLSTAT_PDFGeneral(J881,17, 1)</f>
        <v>5.1094366829366989E-4</v>
      </c>
    </row>
    <row r="882" spans="1:12" x14ac:dyDescent="0.3">
      <c r="A882">
        <v>882</v>
      </c>
      <c r="B882">
        <f t="shared" si="68"/>
        <v>-123456789</v>
      </c>
      <c r="C882">
        <f t="shared" si="69"/>
        <v>18.28</v>
      </c>
      <c r="D882">
        <f>[1]!XLSTAT_PDFGeneral(B882,14, 16, 1)</f>
        <v>0</v>
      </c>
      <c r="I882">
        <v>882</v>
      </c>
      <c r="J882">
        <f t="shared" si="70"/>
        <v>-123456789</v>
      </c>
      <c r="K882">
        <f t="shared" si="71"/>
        <v>6.84</v>
      </c>
      <c r="L882">
        <f>[1]!XLSTAT_PDFGeneral(J882,17, 1)</f>
        <v>0</v>
      </c>
    </row>
    <row r="883" spans="1:12" x14ac:dyDescent="0.3">
      <c r="A883">
        <v>883</v>
      </c>
      <c r="B883">
        <f t="shared" si="68"/>
        <v>-123456789</v>
      </c>
      <c r="C883">
        <f t="shared" si="69"/>
        <v>18.292000000000002</v>
      </c>
      <c r="D883">
        <f>[1]!XLSTAT_PDFGeneral(B883,14, 16, 1)</f>
        <v>0</v>
      </c>
      <c r="I883">
        <v>883</v>
      </c>
      <c r="J883">
        <f t="shared" si="70"/>
        <v>-123456789</v>
      </c>
      <c r="K883">
        <f t="shared" si="71"/>
        <v>6.8259999999999996</v>
      </c>
      <c r="L883">
        <f>[1]!XLSTAT_PDFGeneral(J883,17, 1)</f>
        <v>0</v>
      </c>
    </row>
    <row r="884" spans="1:12" x14ac:dyDescent="0.3">
      <c r="A884">
        <v>884</v>
      </c>
      <c r="B884">
        <f t="shared" si="68"/>
        <v>18.292000000000002</v>
      </c>
      <c r="C884">
        <f t="shared" si="69"/>
        <v>18.292000000000002</v>
      </c>
      <c r="D884">
        <f>[1]!XLSTAT_PDFGeneral(B884,14, 16, 1)</f>
        <v>2.8852156699562394E-2</v>
      </c>
      <c r="I884">
        <v>884</v>
      </c>
      <c r="J884">
        <f t="shared" si="70"/>
        <v>6.8259999999999996</v>
      </c>
      <c r="K884">
        <f t="shared" si="71"/>
        <v>6.8259999999999996</v>
      </c>
      <c r="L884">
        <f>[1]!XLSTAT_PDFGeneral(J884,17, 1)</f>
        <v>5.1094366829366989E-4</v>
      </c>
    </row>
    <row r="885" spans="1:12" x14ac:dyDescent="0.3">
      <c r="A885">
        <v>885</v>
      </c>
      <c r="B885">
        <f t="shared" si="68"/>
        <v>18.304000000000002</v>
      </c>
      <c r="C885">
        <f t="shared" si="69"/>
        <v>18.304000000000002</v>
      </c>
      <c r="D885">
        <f>[1]!XLSTAT_PDFGeneral(B885,14, 16, 1)</f>
        <v>2.8067399586639962E-2</v>
      </c>
      <c r="I885">
        <v>885</v>
      </c>
      <c r="J885">
        <f t="shared" si="70"/>
        <v>6.8120000000000003</v>
      </c>
      <c r="K885">
        <f t="shared" si="71"/>
        <v>6.8120000000000003</v>
      </c>
      <c r="L885">
        <f>[1]!XLSTAT_PDFGeneral(J885,17, 1)</f>
        <v>5.1094366829366989E-4</v>
      </c>
    </row>
    <row r="886" spans="1:12" x14ac:dyDescent="0.3">
      <c r="A886">
        <v>886</v>
      </c>
      <c r="B886">
        <f t="shared" si="68"/>
        <v>-123456789</v>
      </c>
      <c r="C886">
        <f t="shared" si="69"/>
        <v>18.304000000000002</v>
      </c>
      <c r="D886">
        <f>[1]!XLSTAT_PDFGeneral(B886,14, 16, 1)</f>
        <v>0</v>
      </c>
      <c r="I886">
        <v>886</v>
      </c>
      <c r="J886">
        <f t="shared" si="70"/>
        <v>-123456789</v>
      </c>
      <c r="K886">
        <f t="shared" si="71"/>
        <v>6.8120000000000003</v>
      </c>
      <c r="L886">
        <f>[1]!XLSTAT_PDFGeneral(J886,17, 1)</f>
        <v>0</v>
      </c>
    </row>
    <row r="887" spans="1:12" x14ac:dyDescent="0.3">
      <c r="A887">
        <v>887</v>
      </c>
      <c r="B887">
        <f t="shared" si="68"/>
        <v>-123456789</v>
      </c>
      <c r="C887">
        <f t="shared" si="69"/>
        <v>18.315999999999999</v>
      </c>
      <c r="D887">
        <f>[1]!XLSTAT_PDFGeneral(B887,14, 16, 1)</f>
        <v>0</v>
      </c>
      <c r="I887">
        <v>887</v>
      </c>
      <c r="J887">
        <f t="shared" si="70"/>
        <v>-123456789</v>
      </c>
      <c r="K887">
        <f t="shared" si="71"/>
        <v>6.798</v>
      </c>
      <c r="L887">
        <f>[1]!XLSTAT_PDFGeneral(J887,17, 1)</f>
        <v>0</v>
      </c>
    </row>
    <row r="888" spans="1:12" x14ac:dyDescent="0.3">
      <c r="A888">
        <v>888</v>
      </c>
      <c r="B888">
        <f t="shared" si="68"/>
        <v>18.315999999999999</v>
      </c>
      <c r="C888">
        <f t="shared" si="69"/>
        <v>18.315999999999999</v>
      </c>
      <c r="D888">
        <f>[1]!XLSTAT_PDFGeneral(B888,14, 16, 1)</f>
        <v>2.7300055789969902E-2</v>
      </c>
      <c r="I888">
        <v>888</v>
      </c>
      <c r="J888">
        <f t="shared" si="70"/>
        <v>6.798</v>
      </c>
      <c r="K888">
        <f t="shared" si="71"/>
        <v>6.798</v>
      </c>
      <c r="L888">
        <f>[1]!XLSTAT_PDFGeneral(J888,17, 1)</f>
        <v>5.1094366829366989E-4</v>
      </c>
    </row>
    <row r="889" spans="1:12" x14ac:dyDescent="0.3">
      <c r="A889">
        <v>889</v>
      </c>
      <c r="B889">
        <f t="shared" si="68"/>
        <v>18.327999999999999</v>
      </c>
      <c r="C889">
        <f t="shared" si="69"/>
        <v>18.327999999999999</v>
      </c>
      <c r="D889">
        <f>[1]!XLSTAT_PDFGeneral(B889,14, 16, 1)</f>
        <v>2.6549867199608838E-2</v>
      </c>
      <c r="I889">
        <v>889</v>
      </c>
      <c r="J889">
        <f t="shared" si="70"/>
        <v>6.7839999999999998</v>
      </c>
      <c r="K889">
        <f t="shared" si="71"/>
        <v>6.7839999999999998</v>
      </c>
      <c r="L889">
        <f>[1]!XLSTAT_PDFGeneral(J889,17, 1)</f>
        <v>5.1094366829366989E-4</v>
      </c>
    </row>
    <row r="890" spans="1:12" x14ac:dyDescent="0.3">
      <c r="A890">
        <v>890</v>
      </c>
      <c r="B890">
        <f t="shared" si="68"/>
        <v>-123456789</v>
      </c>
      <c r="C890">
        <f t="shared" si="69"/>
        <v>18.327999999999999</v>
      </c>
      <c r="D890">
        <f>[1]!XLSTAT_PDFGeneral(B890,14, 16, 1)</f>
        <v>0</v>
      </c>
      <c r="I890">
        <v>890</v>
      </c>
      <c r="J890">
        <f t="shared" si="70"/>
        <v>-123456789</v>
      </c>
      <c r="K890">
        <f t="shared" si="71"/>
        <v>6.7839999999999998</v>
      </c>
      <c r="L890">
        <f>[1]!XLSTAT_PDFGeneral(J890,17, 1)</f>
        <v>0</v>
      </c>
    </row>
    <row r="891" spans="1:12" x14ac:dyDescent="0.3">
      <c r="A891">
        <v>891</v>
      </c>
      <c r="B891">
        <f t="shared" si="68"/>
        <v>-123456789</v>
      </c>
      <c r="C891">
        <f t="shared" si="69"/>
        <v>18.34</v>
      </c>
      <c r="D891">
        <f>[1]!XLSTAT_PDFGeneral(B891,14, 16, 1)</f>
        <v>0</v>
      </c>
      <c r="I891">
        <v>891</v>
      </c>
      <c r="J891">
        <f t="shared" si="70"/>
        <v>-123456789</v>
      </c>
      <c r="K891">
        <f t="shared" si="71"/>
        <v>6.77</v>
      </c>
      <c r="L891">
        <f>[1]!XLSTAT_PDFGeneral(J891,17, 1)</f>
        <v>0</v>
      </c>
    </row>
    <row r="892" spans="1:12" x14ac:dyDescent="0.3">
      <c r="A892">
        <v>892</v>
      </c>
      <c r="B892">
        <f t="shared" si="68"/>
        <v>18.34</v>
      </c>
      <c r="C892">
        <f t="shared" si="69"/>
        <v>18.34</v>
      </c>
      <c r="D892">
        <f>[1]!XLSTAT_PDFGeneral(B892,14, 16, 1)</f>
        <v>2.581657547158769E-2</v>
      </c>
      <c r="I892">
        <v>892</v>
      </c>
      <c r="J892">
        <f t="shared" si="70"/>
        <v>6.77</v>
      </c>
      <c r="K892">
        <f t="shared" si="71"/>
        <v>6.77</v>
      </c>
      <c r="L892">
        <f>[1]!XLSTAT_PDFGeneral(J892,17, 1)</f>
        <v>5.1094366829366989E-4</v>
      </c>
    </row>
    <row r="893" spans="1:12" x14ac:dyDescent="0.3">
      <c r="A893">
        <v>893</v>
      </c>
      <c r="B893">
        <f t="shared" si="68"/>
        <v>18.352</v>
      </c>
      <c r="C893">
        <f t="shared" si="69"/>
        <v>18.352</v>
      </c>
      <c r="D893">
        <f>[1]!XLSTAT_PDFGeneral(B893,14, 16, 1)</f>
        <v>2.5099922181077736E-2</v>
      </c>
      <c r="I893">
        <v>893</v>
      </c>
      <c r="J893">
        <f t="shared" si="70"/>
        <v>6.7560000000000002</v>
      </c>
      <c r="K893">
        <f t="shared" si="71"/>
        <v>6.7560000000000002</v>
      </c>
      <c r="L893">
        <f>[1]!XLSTAT_PDFGeneral(J893,17, 1)</f>
        <v>5.1094366829366989E-4</v>
      </c>
    </row>
    <row r="894" spans="1:12" x14ac:dyDescent="0.3">
      <c r="A894">
        <v>894</v>
      </c>
      <c r="B894">
        <f t="shared" si="68"/>
        <v>-123456789</v>
      </c>
      <c r="C894">
        <f t="shared" si="69"/>
        <v>18.352</v>
      </c>
      <c r="D894">
        <f>[1]!XLSTAT_PDFGeneral(B894,14, 16, 1)</f>
        <v>0</v>
      </c>
      <c r="I894">
        <v>894</v>
      </c>
      <c r="J894">
        <f t="shared" si="70"/>
        <v>-123456789</v>
      </c>
      <c r="K894">
        <f t="shared" si="71"/>
        <v>6.7560000000000002</v>
      </c>
      <c r="L894">
        <f>[1]!XLSTAT_PDFGeneral(J894,17, 1)</f>
        <v>0</v>
      </c>
    </row>
    <row r="895" spans="1:12" x14ac:dyDescent="0.3">
      <c r="A895">
        <v>895</v>
      </c>
      <c r="B895">
        <f t="shared" si="68"/>
        <v>-123456789</v>
      </c>
      <c r="C895">
        <f t="shared" si="69"/>
        <v>18.364000000000001</v>
      </c>
      <c r="D895">
        <f>[1]!XLSTAT_PDFGeneral(B895,14, 16, 1)</f>
        <v>0</v>
      </c>
      <c r="I895">
        <v>895</v>
      </c>
      <c r="J895">
        <f t="shared" si="70"/>
        <v>-123456789</v>
      </c>
      <c r="K895">
        <f t="shared" si="71"/>
        <v>6.742</v>
      </c>
      <c r="L895">
        <f>[1]!XLSTAT_PDFGeneral(J895,17, 1)</f>
        <v>0</v>
      </c>
    </row>
    <row r="896" spans="1:12" x14ac:dyDescent="0.3">
      <c r="A896">
        <v>896</v>
      </c>
      <c r="B896">
        <f t="shared" si="68"/>
        <v>18.364000000000001</v>
      </c>
      <c r="C896">
        <f t="shared" si="69"/>
        <v>18.364000000000001</v>
      </c>
      <c r="D896">
        <f>[1]!XLSTAT_PDFGeneral(B896,14, 16, 1)</f>
        <v>2.439964897139572E-2</v>
      </c>
      <c r="I896">
        <v>896</v>
      </c>
      <c r="J896">
        <f t="shared" si="70"/>
        <v>6.742</v>
      </c>
      <c r="K896">
        <f t="shared" si="71"/>
        <v>6.742</v>
      </c>
      <c r="L896">
        <f>[1]!XLSTAT_PDFGeneral(J896,17, 1)</f>
        <v>5.1094366829366989E-4</v>
      </c>
    </row>
    <row r="897" spans="1:12" x14ac:dyDescent="0.3">
      <c r="A897">
        <v>897</v>
      </c>
      <c r="B897">
        <f t="shared" ref="B897:B960" si="72">IF(-1^(INT(A897/2)+2)&gt;0,13+2*INT(A897/2-1/2)*0.006,-123456789)</f>
        <v>18.376000000000001</v>
      </c>
      <c r="C897">
        <f t="shared" ref="C897:C960" si="73">13+2*INT(A897/2-1/2)*0.006</f>
        <v>18.376000000000001</v>
      </c>
      <c r="D897">
        <f>[1]!XLSTAT_PDFGeneral(B897,14, 16, 1)</f>
        <v>2.3715497698834784E-2</v>
      </c>
      <c r="I897">
        <v>897</v>
      </c>
      <c r="J897">
        <f t="shared" ref="J897:J960" si="74">IF(-1^(INT(I897/2)+2)&gt;0,13+2*INT(I897/2-1/2)*-0.007,-123456789)</f>
        <v>6.7279999999999998</v>
      </c>
      <c r="K897">
        <f t="shared" ref="K897:K960" si="75">13+2*INT(I897/2-1/2)*-0.007</f>
        <v>6.7279999999999998</v>
      </c>
      <c r="L897">
        <f>[1]!XLSTAT_PDFGeneral(J897,17, 1)</f>
        <v>5.1094366829366989E-4</v>
      </c>
    </row>
    <row r="898" spans="1:12" x14ac:dyDescent="0.3">
      <c r="A898">
        <v>898</v>
      </c>
      <c r="B898">
        <f t="shared" si="72"/>
        <v>-123456789</v>
      </c>
      <c r="C898">
        <f t="shared" si="73"/>
        <v>18.376000000000001</v>
      </c>
      <c r="D898">
        <f>[1]!XLSTAT_PDFGeneral(B898,14, 16, 1)</f>
        <v>0</v>
      </c>
      <c r="I898">
        <v>898</v>
      </c>
      <c r="J898">
        <f t="shared" si="74"/>
        <v>-123456789</v>
      </c>
      <c r="K898">
        <f t="shared" si="75"/>
        <v>6.7279999999999998</v>
      </c>
      <c r="L898">
        <f>[1]!XLSTAT_PDFGeneral(J898,17, 1)</f>
        <v>0</v>
      </c>
    </row>
    <row r="899" spans="1:12" x14ac:dyDescent="0.3">
      <c r="A899">
        <v>899</v>
      </c>
      <c r="B899">
        <f t="shared" si="72"/>
        <v>-123456789</v>
      </c>
      <c r="C899">
        <f t="shared" si="73"/>
        <v>18.387999999999998</v>
      </c>
      <c r="D899">
        <f>[1]!XLSTAT_PDFGeneral(B899,14, 16, 1)</f>
        <v>0</v>
      </c>
      <c r="I899">
        <v>899</v>
      </c>
      <c r="J899">
        <f t="shared" si="74"/>
        <v>-123456789</v>
      </c>
      <c r="K899">
        <f t="shared" si="75"/>
        <v>6.7139999999999995</v>
      </c>
      <c r="L899">
        <f>[1]!XLSTAT_PDFGeneral(J899,17, 1)</f>
        <v>0</v>
      </c>
    </row>
    <row r="900" spans="1:12" x14ac:dyDescent="0.3">
      <c r="A900">
        <v>900</v>
      </c>
      <c r="B900">
        <f t="shared" si="72"/>
        <v>18.387999999999998</v>
      </c>
      <c r="C900">
        <f t="shared" si="73"/>
        <v>18.387999999999998</v>
      </c>
      <c r="D900">
        <f>[1]!XLSTAT_PDFGeneral(B900,14, 16, 1)</f>
        <v>2.3047210573314131E-2</v>
      </c>
      <c r="I900">
        <v>900</v>
      </c>
      <c r="J900">
        <f t="shared" si="74"/>
        <v>6.7139999999999995</v>
      </c>
      <c r="K900">
        <f t="shared" si="75"/>
        <v>6.7139999999999995</v>
      </c>
      <c r="L900">
        <f>[1]!XLSTAT_PDFGeneral(J900,17, 1)</f>
        <v>5.1094366829366989E-4</v>
      </c>
    </row>
    <row r="901" spans="1:12" x14ac:dyDescent="0.3">
      <c r="A901">
        <v>901</v>
      </c>
      <c r="B901">
        <f t="shared" si="72"/>
        <v>18.399999999999999</v>
      </c>
      <c r="C901">
        <f t="shared" si="73"/>
        <v>18.399999999999999</v>
      </c>
      <c r="D901">
        <f>[1]!XLSTAT_PDFGeneral(B901,14, 16, 1)</f>
        <v>2.2394530294842969E-2</v>
      </c>
      <c r="I901">
        <v>901</v>
      </c>
      <c r="J901">
        <f t="shared" si="74"/>
        <v>6.7</v>
      </c>
      <c r="K901">
        <f t="shared" si="75"/>
        <v>6.7</v>
      </c>
      <c r="L901">
        <f>[1]!XLSTAT_PDFGeneral(J901,17, 1)</f>
        <v>5.1094366829366989E-4</v>
      </c>
    </row>
    <row r="902" spans="1:12" x14ac:dyDescent="0.3">
      <c r="A902">
        <v>902</v>
      </c>
      <c r="B902">
        <f t="shared" si="72"/>
        <v>-123456789</v>
      </c>
      <c r="C902">
        <f t="shared" si="73"/>
        <v>18.399999999999999</v>
      </c>
      <c r="D902">
        <f>[1]!XLSTAT_PDFGeneral(B902,14, 16, 1)</f>
        <v>0</v>
      </c>
      <c r="I902">
        <v>902</v>
      </c>
      <c r="J902">
        <f t="shared" si="74"/>
        <v>-123456789</v>
      </c>
      <c r="K902">
        <f t="shared" si="75"/>
        <v>6.7</v>
      </c>
      <c r="L902">
        <f>[1]!XLSTAT_PDFGeneral(J902,17, 1)</f>
        <v>0</v>
      </c>
    </row>
    <row r="903" spans="1:12" x14ac:dyDescent="0.3">
      <c r="A903">
        <v>903</v>
      </c>
      <c r="B903">
        <f t="shared" si="72"/>
        <v>-123456789</v>
      </c>
      <c r="C903">
        <f t="shared" si="73"/>
        <v>18.411999999999999</v>
      </c>
      <c r="D903">
        <f>[1]!XLSTAT_PDFGeneral(B903,14, 16, 1)</f>
        <v>0</v>
      </c>
      <c r="I903">
        <v>903</v>
      </c>
      <c r="J903">
        <f t="shared" si="74"/>
        <v>-123456789</v>
      </c>
      <c r="K903">
        <f t="shared" si="75"/>
        <v>6.6859999999999999</v>
      </c>
      <c r="L903">
        <f>[1]!XLSTAT_PDFGeneral(J903,17, 1)</f>
        <v>0</v>
      </c>
    </row>
    <row r="904" spans="1:12" x14ac:dyDescent="0.3">
      <c r="A904">
        <v>904</v>
      </c>
      <c r="B904">
        <f t="shared" si="72"/>
        <v>18.411999999999999</v>
      </c>
      <c r="C904">
        <f t="shared" si="73"/>
        <v>18.411999999999999</v>
      </c>
      <c r="D904">
        <f>[1]!XLSTAT_PDFGeneral(B904,14, 16, 1)</f>
        <v>2.175720018580302E-2</v>
      </c>
      <c r="I904">
        <v>904</v>
      </c>
      <c r="J904">
        <f t="shared" si="74"/>
        <v>6.6859999999999999</v>
      </c>
      <c r="K904">
        <f t="shared" si="75"/>
        <v>6.6859999999999999</v>
      </c>
      <c r="L904">
        <f>[1]!XLSTAT_PDFGeneral(J904,17, 1)</f>
        <v>5.1094366829366989E-4</v>
      </c>
    </row>
    <row r="905" spans="1:12" x14ac:dyDescent="0.3">
      <c r="A905">
        <v>905</v>
      </c>
      <c r="B905">
        <f t="shared" si="72"/>
        <v>18.423999999999999</v>
      </c>
      <c r="C905">
        <f t="shared" si="73"/>
        <v>18.423999999999999</v>
      </c>
      <c r="D905">
        <f>[1]!XLSTAT_PDFGeneral(B905,14, 16, 1)</f>
        <v>2.1134964319050507E-2</v>
      </c>
      <c r="I905">
        <v>905</v>
      </c>
      <c r="J905">
        <f t="shared" si="74"/>
        <v>6.6719999999999997</v>
      </c>
      <c r="K905">
        <f t="shared" si="75"/>
        <v>6.6719999999999997</v>
      </c>
      <c r="L905">
        <f>[1]!XLSTAT_PDFGeneral(J905,17, 1)</f>
        <v>5.1094366829366989E-4</v>
      </c>
    </row>
    <row r="906" spans="1:12" x14ac:dyDescent="0.3">
      <c r="A906">
        <v>906</v>
      </c>
      <c r="B906">
        <f t="shared" si="72"/>
        <v>-123456789</v>
      </c>
      <c r="C906">
        <f t="shared" si="73"/>
        <v>18.423999999999999</v>
      </c>
      <c r="D906">
        <f>[1]!XLSTAT_PDFGeneral(B906,14, 16, 1)</f>
        <v>0</v>
      </c>
      <c r="I906">
        <v>906</v>
      </c>
      <c r="J906">
        <f t="shared" si="74"/>
        <v>-123456789</v>
      </c>
      <c r="K906">
        <f t="shared" si="75"/>
        <v>6.6719999999999997</v>
      </c>
      <c r="L906">
        <f>[1]!XLSTAT_PDFGeneral(J906,17, 1)</f>
        <v>0</v>
      </c>
    </row>
    <row r="907" spans="1:12" x14ac:dyDescent="0.3">
      <c r="A907">
        <v>907</v>
      </c>
      <c r="B907">
        <f t="shared" si="72"/>
        <v>-123456789</v>
      </c>
      <c r="C907">
        <f t="shared" si="73"/>
        <v>18.436</v>
      </c>
      <c r="D907">
        <f>[1]!XLSTAT_PDFGeneral(B907,14, 16, 1)</f>
        <v>0</v>
      </c>
      <c r="I907">
        <v>907</v>
      </c>
      <c r="J907">
        <f t="shared" si="74"/>
        <v>-123456789</v>
      </c>
      <c r="K907">
        <f t="shared" si="75"/>
        <v>6.6579999999999995</v>
      </c>
      <c r="L907">
        <f>[1]!XLSTAT_PDFGeneral(J907,17, 1)</f>
        <v>0</v>
      </c>
    </row>
    <row r="908" spans="1:12" x14ac:dyDescent="0.3">
      <c r="A908">
        <v>908</v>
      </c>
      <c r="B908">
        <f t="shared" si="72"/>
        <v>18.436</v>
      </c>
      <c r="C908">
        <f t="shared" si="73"/>
        <v>18.436</v>
      </c>
      <c r="D908">
        <f>[1]!XLSTAT_PDFGeneral(B908,14, 16, 1)</f>
        <v>2.0527567641850292E-2</v>
      </c>
      <c r="I908">
        <v>908</v>
      </c>
      <c r="J908">
        <f t="shared" si="74"/>
        <v>6.6579999999999995</v>
      </c>
      <c r="K908">
        <f t="shared" si="75"/>
        <v>6.6579999999999995</v>
      </c>
      <c r="L908">
        <f>[1]!XLSTAT_PDFGeneral(J908,17, 1)</f>
        <v>5.1094366829366989E-4</v>
      </c>
    </row>
    <row r="909" spans="1:12" x14ac:dyDescent="0.3">
      <c r="A909">
        <v>909</v>
      </c>
      <c r="B909">
        <f t="shared" si="72"/>
        <v>18.448</v>
      </c>
      <c r="C909">
        <f t="shared" si="73"/>
        <v>18.448</v>
      </c>
      <c r="D909">
        <f>[1]!XLSTAT_PDFGeneral(B909,14, 16, 1)</f>
        <v>1.9934756095653629E-2</v>
      </c>
      <c r="I909">
        <v>909</v>
      </c>
      <c r="J909">
        <f t="shared" si="74"/>
        <v>6.6440000000000001</v>
      </c>
      <c r="K909">
        <f t="shared" si="75"/>
        <v>6.6440000000000001</v>
      </c>
      <c r="L909">
        <f>[1]!XLSTAT_PDFGeneral(J909,17, 1)</f>
        <v>5.1094366829366989E-4</v>
      </c>
    </row>
    <row r="910" spans="1:12" x14ac:dyDescent="0.3">
      <c r="A910">
        <v>910</v>
      </c>
      <c r="B910">
        <f t="shared" si="72"/>
        <v>-123456789</v>
      </c>
      <c r="C910">
        <f t="shared" si="73"/>
        <v>18.448</v>
      </c>
      <c r="D910">
        <f>[1]!XLSTAT_PDFGeneral(B910,14, 16, 1)</f>
        <v>0</v>
      </c>
      <c r="I910">
        <v>910</v>
      </c>
      <c r="J910">
        <f t="shared" si="74"/>
        <v>-123456789</v>
      </c>
      <c r="K910">
        <f t="shared" si="75"/>
        <v>6.6440000000000001</v>
      </c>
      <c r="L910">
        <f>[1]!XLSTAT_PDFGeneral(J910,17, 1)</f>
        <v>0</v>
      </c>
    </row>
    <row r="911" spans="1:12" x14ac:dyDescent="0.3">
      <c r="A911">
        <v>911</v>
      </c>
      <c r="B911">
        <f t="shared" si="72"/>
        <v>-123456789</v>
      </c>
      <c r="C911">
        <f t="shared" si="73"/>
        <v>18.46</v>
      </c>
      <c r="D911">
        <f>[1]!XLSTAT_PDFGeneral(B911,14, 16, 1)</f>
        <v>0</v>
      </c>
      <c r="I911">
        <v>911</v>
      </c>
      <c r="J911">
        <f t="shared" si="74"/>
        <v>-123456789</v>
      </c>
      <c r="K911">
        <f t="shared" si="75"/>
        <v>6.63</v>
      </c>
      <c r="L911">
        <f>[1]!XLSTAT_PDFGeneral(J911,17, 1)</f>
        <v>0</v>
      </c>
    </row>
    <row r="912" spans="1:12" x14ac:dyDescent="0.3">
      <c r="A912">
        <v>912</v>
      </c>
      <c r="B912">
        <f t="shared" si="72"/>
        <v>18.46</v>
      </c>
      <c r="C912">
        <f t="shared" si="73"/>
        <v>18.46</v>
      </c>
      <c r="D912">
        <f>[1]!XLSTAT_PDFGeneral(B912,14, 16, 1)</f>
        <v>1.9356276731736923E-2</v>
      </c>
      <c r="I912">
        <v>912</v>
      </c>
      <c r="J912">
        <f t="shared" si="74"/>
        <v>6.63</v>
      </c>
      <c r="K912">
        <f t="shared" si="75"/>
        <v>6.63</v>
      </c>
      <c r="L912">
        <f>[1]!XLSTAT_PDFGeneral(J912,17, 1)</f>
        <v>5.1094366829366989E-4</v>
      </c>
    </row>
    <row r="913" spans="1:12" x14ac:dyDescent="0.3">
      <c r="A913">
        <v>913</v>
      </c>
      <c r="B913">
        <f t="shared" si="72"/>
        <v>18.472000000000001</v>
      </c>
      <c r="C913">
        <f t="shared" si="73"/>
        <v>18.472000000000001</v>
      </c>
      <c r="D913">
        <f>[1]!XLSTAT_PDFGeneral(B913,14, 16, 1)</f>
        <v>1.8791877822721771E-2</v>
      </c>
      <c r="I913">
        <v>913</v>
      </c>
      <c r="J913">
        <f t="shared" si="74"/>
        <v>6.6159999999999997</v>
      </c>
      <c r="K913">
        <f t="shared" si="75"/>
        <v>6.6159999999999997</v>
      </c>
      <c r="L913">
        <f>[1]!XLSTAT_PDFGeneral(J913,17, 1)</f>
        <v>5.1094366829366989E-4</v>
      </c>
    </row>
    <row r="914" spans="1:12" x14ac:dyDescent="0.3">
      <c r="A914">
        <v>914</v>
      </c>
      <c r="B914">
        <f t="shared" si="72"/>
        <v>-123456789</v>
      </c>
      <c r="C914">
        <f t="shared" si="73"/>
        <v>18.472000000000001</v>
      </c>
      <c r="D914">
        <f>[1]!XLSTAT_PDFGeneral(B914,14, 16, 1)</f>
        <v>0</v>
      </c>
      <c r="I914">
        <v>914</v>
      </c>
      <c r="J914">
        <f t="shared" si="74"/>
        <v>-123456789</v>
      </c>
      <c r="K914">
        <f t="shared" si="75"/>
        <v>6.6159999999999997</v>
      </c>
      <c r="L914">
        <f>[1]!XLSTAT_PDFGeneral(J914,17, 1)</f>
        <v>0</v>
      </c>
    </row>
    <row r="915" spans="1:12" x14ac:dyDescent="0.3">
      <c r="A915">
        <v>915</v>
      </c>
      <c r="B915">
        <f t="shared" si="72"/>
        <v>-123456789</v>
      </c>
      <c r="C915">
        <f t="shared" si="73"/>
        <v>18.484000000000002</v>
      </c>
      <c r="D915">
        <f>[1]!XLSTAT_PDFGeneral(B915,14, 16, 1)</f>
        <v>0</v>
      </c>
      <c r="I915">
        <v>915</v>
      </c>
      <c r="J915">
        <f t="shared" si="74"/>
        <v>-123456789</v>
      </c>
      <c r="K915">
        <f t="shared" si="75"/>
        <v>6.6019999999999994</v>
      </c>
      <c r="L915">
        <f>[1]!XLSTAT_PDFGeneral(J915,17, 1)</f>
        <v>0</v>
      </c>
    </row>
    <row r="916" spans="1:12" x14ac:dyDescent="0.3">
      <c r="A916">
        <v>916</v>
      </c>
      <c r="B916">
        <f t="shared" si="72"/>
        <v>18.484000000000002</v>
      </c>
      <c r="C916">
        <f t="shared" si="73"/>
        <v>18.484000000000002</v>
      </c>
      <c r="D916">
        <f>[1]!XLSTAT_PDFGeneral(B916,14, 16, 1)</f>
        <v>1.824130897000047E-2</v>
      </c>
      <c r="I916">
        <v>916</v>
      </c>
      <c r="J916">
        <f t="shared" si="74"/>
        <v>6.6019999999999994</v>
      </c>
      <c r="K916">
        <f t="shared" si="75"/>
        <v>6.6019999999999994</v>
      </c>
      <c r="L916">
        <f>[1]!XLSTAT_PDFGeneral(J916,17, 1)</f>
        <v>5.1094366829366989E-4</v>
      </c>
    </row>
    <row r="917" spans="1:12" x14ac:dyDescent="0.3">
      <c r="A917">
        <v>917</v>
      </c>
      <c r="B917">
        <f t="shared" si="72"/>
        <v>18.496000000000002</v>
      </c>
      <c r="C917">
        <f t="shared" si="73"/>
        <v>18.496000000000002</v>
      </c>
      <c r="D917">
        <f>[1]!XLSTAT_PDFGeneral(B917,14, 16, 1)</f>
        <v>1.7704321207094118E-2</v>
      </c>
      <c r="I917">
        <v>917</v>
      </c>
      <c r="J917">
        <f t="shared" si="74"/>
        <v>6.5880000000000001</v>
      </c>
      <c r="K917">
        <f t="shared" si="75"/>
        <v>6.5880000000000001</v>
      </c>
      <c r="L917">
        <f>[1]!XLSTAT_PDFGeneral(J917,17, 1)</f>
        <v>5.1094366829366989E-4</v>
      </c>
    </row>
    <row r="918" spans="1:12" x14ac:dyDescent="0.3">
      <c r="A918">
        <v>918</v>
      </c>
      <c r="B918">
        <f t="shared" si="72"/>
        <v>-123456789</v>
      </c>
      <c r="C918">
        <f t="shared" si="73"/>
        <v>18.496000000000002</v>
      </c>
      <c r="D918">
        <f>[1]!XLSTAT_PDFGeneral(B918,14, 16, 1)</f>
        <v>0</v>
      </c>
      <c r="I918">
        <v>918</v>
      </c>
      <c r="J918">
        <f t="shared" si="74"/>
        <v>-123456789</v>
      </c>
      <c r="K918">
        <f t="shared" si="75"/>
        <v>6.5880000000000001</v>
      </c>
      <c r="L918">
        <f>[1]!XLSTAT_PDFGeneral(J918,17, 1)</f>
        <v>0</v>
      </c>
    </row>
    <row r="919" spans="1:12" x14ac:dyDescent="0.3">
      <c r="A919">
        <v>919</v>
      </c>
      <c r="B919">
        <f t="shared" si="72"/>
        <v>-123456789</v>
      </c>
      <c r="C919">
        <f t="shared" si="73"/>
        <v>18.507999999999999</v>
      </c>
      <c r="D919">
        <f>[1]!XLSTAT_PDFGeneral(B919,14, 16, 1)</f>
        <v>0</v>
      </c>
      <c r="I919">
        <v>919</v>
      </c>
      <c r="J919">
        <f t="shared" si="74"/>
        <v>-123456789</v>
      </c>
      <c r="K919">
        <f t="shared" si="75"/>
        <v>6.5739999999999998</v>
      </c>
      <c r="L919">
        <f>[1]!XLSTAT_PDFGeneral(J919,17, 1)</f>
        <v>0</v>
      </c>
    </row>
    <row r="920" spans="1:12" x14ac:dyDescent="0.3">
      <c r="A920">
        <v>920</v>
      </c>
      <c r="B920">
        <f t="shared" si="72"/>
        <v>18.507999999999999</v>
      </c>
      <c r="C920">
        <f t="shared" si="73"/>
        <v>18.507999999999999</v>
      </c>
      <c r="D920">
        <f>[1]!XLSTAT_PDFGeneral(B920,14, 16, 1)</f>
        <v>1.7180667098974301E-2</v>
      </c>
      <c r="I920">
        <v>920</v>
      </c>
      <c r="J920">
        <f t="shared" si="74"/>
        <v>6.5739999999999998</v>
      </c>
      <c r="K920">
        <f t="shared" si="75"/>
        <v>6.5739999999999998</v>
      </c>
      <c r="L920">
        <f>[1]!XLSTAT_PDFGeneral(J920,17, 1)</f>
        <v>5.1094366829366989E-4</v>
      </c>
    </row>
    <row r="921" spans="1:12" x14ac:dyDescent="0.3">
      <c r="A921">
        <v>921</v>
      </c>
      <c r="B921">
        <f t="shared" si="72"/>
        <v>18.52</v>
      </c>
      <c r="C921">
        <f t="shared" si="73"/>
        <v>18.52</v>
      </c>
      <c r="D921">
        <f>[1]!XLSTAT_PDFGeneral(B921,14, 16, 1)</f>
        <v>1.6670100837381078E-2</v>
      </c>
      <c r="I921">
        <v>921</v>
      </c>
      <c r="J921">
        <f t="shared" si="74"/>
        <v>6.56</v>
      </c>
      <c r="K921">
        <f t="shared" si="75"/>
        <v>6.56</v>
      </c>
      <c r="L921">
        <f>[1]!XLSTAT_PDFGeneral(J921,17, 1)</f>
        <v>5.1094366829366989E-4</v>
      </c>
    </row>
    <row r="922" spans="1:12" x14ac:dyDescent="0.3">
      <c r="A922">
        <v>922</v>
      </c>
      <c r="B922">
        <f t="shared" si="72"/>
        <v>-123456789</v>
      </c>
      <c r="C922">
        <f t="shared" si="73"/>
        <v>18.52</v>
      </c>
      <c r="D922">
        <f>[1]!XLSTAT_PDFGeneral(B922,14, 16, 1)</f>
        <v>0</v>
      </c>
      <c r="I922">
        <v>922</v>
      </c>
      <c r="J922">
        <f t="shared" si="74"/>
        <v>-123456789</v>
      </c>
      <c r="K922">
        <f t="shared" si="75"/>
        <v>6.56</v>
      </c>
      <c r="L922">
        <f>[1]!XLSTAT_PDFGeneral(J922,17, 1)</f>
        <v>0</v>
      </c>
    </row>
    <row r="923" spans="1:12" x14ac:dyDescent="0.3">
      <c r="A923">
        <v>923</v>
      </c>
      <c r="B923">
        <f t="shared" si="72"/>
        <v>-123456789</v>
      </c>
      <c r="C923">
        <f t="shared" si="73"/>
        <v>18.532</v>
      </c>
      <c r="D923">
        <f>[1]!XLSTAT_PDFGeneral(B923,14, 16, 1)</f>
        <v>0</v>
      </c>
      <c r="I923">
        <v>923</v>
      </c>
      <c r="J923">
        <f t="shared" si="74"/>
        <v>-123456789</v>
      </c>
      <c r="K923">
        <f t="shared" si="75"/>
        <v>6.5460000000000003</v>
      </c>
      <c r="L923">
        <f>[1]!XLSTAT_PDFGeneral(J923,17, 1)</f>
        <v>0</v>
      </c>
    </row>
    <row r="924" spans="1:12" x14ac:dyDescent="0.3">
      <c r="A924">
        <v>924</v>
      </c>
      <c r="B924">
        <f t="shared" si="72"/>
        <v>18.532</v>
      </c>
      <c r="C924">
        <f t="shared" si="73"/>
        <v>18.532</v>
      </c>
      <c r="D924">
        <f>[1]!XLSTAT_PDFGeneral(B924,14, 16, 1)</f>
        <v>1.6172378332176187E-2</v>
      </c>
      <c r="I924">
        <v>924</v>
      </c>
      <c r="J924">
        <f t="shared" si="74"/>
        <v>6.5460000000000003</v>
      </c>
      <c r="K924">
        <f t="shared" si="75"/>
        <v>6.5460000000000003</v>
      </c>
      <c r="L924">
        <f>[1]!XLSTAT_PDFGeneral(J924,17, 1)</f>
        <v>5.1094366829366989E-4</v>
      </c>
    </row>
    <row r="925" spans="1:12" x14ac:dyDescent="0.3">
      <c r="A925">
        <v>925</v>
      </c>
      <c r="B925">
        <f t="shared" si="72"/>
        <v>18.544</v>
      </c>
      <c r="C925">
        <f t="shared" si="73"/>
        <v>18.544</v>
      </c>
      <c r="D925">
        <f>[1]!XLSTAT_PDFGeneral(B925,14, 16, 1)</f>
        <v>1.56872572987681E-2</v>
      </c>
      <c r="I925">
        <v>925</v>
      </c>
      <c r="J925">
        <f t="shared" si="74"/>
        <v>6.532</v>
      </c>
      <c r="K925">
        <f t="shared" si="75"/>
        <v>6.532</v>
      </c>
      <c r="L925">
        <f>[1]!XLSTAT_PDFGeneral(J925,17, 1)</f>
        <v>5.1094366829366989E-4</v>
      </c>
    </row>
    <row r="926" spans="1:12" x14ac:dyDescent="0.3">
      <c r="A926">
        <v>926</v>
      </c>
      <c r="B926">
        <f t="shared" si="72"/>
        <v>-123456789</v>
      </c>
      <c r="C926">
        <f t="shared" si="73"/>
        <v>18.544</v>
      </c>
      <c r="D926">
        <f>[1]!XLSTAT_PDFGeneral(B926,14, 16, 1)</f>
        <v>0</v>
      </c>
      <c r="I926">
        <v>926</v>
      </c>
      <c r="J926">
        <f t="shared" si="74"/>
        <v>-123456789</v>
      </c>
      <c r="K926">
        <f t="shared" si="75"/>
        <v>6.532</v>
      </c>
      <c r="L926">
        <f>[1]!XLSTAT_PDFGeneral(J926,17, 1)</f>
        <v>0</v>
      </c>
    </row>
    <row r="927" spans="1:12" x14ac:dyDescent="0.3">
      <c r="A927">
        <v>927</v>
      </c>
      <c r="B927">
        <f t="shared" si="72"/>
        <v>-123456789</v>
      </c>
      <c r="C927">
        <f t="shared" si="73"/>
        <v>18.556000000000001</v>
      </c>
      <c r="D927">
        <f>[1]!XLSTAT_PDFGeneral(B927,14, 16, 1)</f>
        <v>0</v>
      </c>
      <c r="I927">
        <v>927</v>
      </c>
      <c r="J927">
        <f t="shared" si="74"/>
        <v>-123456789</v>
      </c>
      <c r="K927">
        <f t="shared" si="75"/>
        <v>6.5179999999999998</v>
      </c>
      <c r="L927">
        <f>[1]!XLSTAT_PDFGeneral(J927,17, 1)</f>
        <v>0</v>
      </c>
    </row>
    <row r="928" spans="1:12" x14ac:dyDescent="0.3">
      <c r="A928">
        <v>928</v>
      </c>
      <c r="B928">
        <f t="shared" si="72"/>
        <v>18.556000000000001</v>
      </c>
      <c r="C928">
        <f t="shared" si="73"/>
        <v>18.556000000000001</v>
      </c>
      <c r="D928">
        <f>[1]!XLSTAT_PDFGeneral(B928,14, 16, 1)</f>
        <v>1.5214497341653397E-2</v>
      </c>
      <c r="I928">
        <v>928</v>
      </c>
      <c r="J928">
        <f t="shared" si="74"/>
        <v>6.5179999999999998</v>
      </c>
      <c r="K928">
        <f t="shared" si="75"/>
        <v>6.5179999999999998</v>
      </c>
      <c r="L928">
        <f>[1]!XLSTAT_PDFGeneral(J928,17, 1)</f>
        <v>5.1094366829366989E-4</v>
      </c>
    </row>
    <row r="929" spans="1:12" x14ac:dyDescent="0.3">
      <c r="A929">
        <v>929</v>
      </c>
      <c r="B929">
        <f t="shared" si="72"/>
        <v>18.568000000000001</v>
      </c>
      <c r="C929">
        <f t="shared" si="73"/>
        <v>18.568000000000001</v>
      </c>
      <c r="D929">
        <f>[1]!XLSTAT_PDFGeneral(B929,14, 16, 1)</f>
        <v>1.4753860034118582E-2</v>
      </c>
      <c r="I929">
        <v>929</v>
      </c>
      <c r="J929">
        <f t="shared" si="74"/>
        <v>6.5039999999999996</v>
      </c>
      <c r="K929">
        <f t="shared" si="75"/>
        <v>6.5039999999999996</v>
      </c>
      <c r="L929">
        <f>[1]!XLSTAT_PDFGeneral(J929,17, 1)</f>
        <v>5.1094366829366989E-4</v>
      </c>
    </row>
    <row r="930" spans="1:12" x14ac:dyDescent="0.3">
      <c r="A930">
        <v>930</v>
      </c>
      <c r="B930">
        <f t="shared" si="72"/>
        <v>-123456789</v>
      </c>
      <c r="C930">
        <f t="shared" si="73"/>
        <v>18.568000000000001</v>
      </c>
      <c r="D930">
        <f>[1]!XLSTAT_PDFGeneral(B930,14, 16, 1)</f>
        <v>0</v>
      </c>
      <c r="I930">
        <v>930</v>
      </c>
      <c r="J930">
        <f t="shared" si="74"/>
        <v>-123456789</v>
      </c>
      <c r="K930">
        <f t="shared" si="75"/>
        <v>6.5039999999999996</v>
      </c>
      <c r="L930">
        <f>[1]!XLSTAT_PDFGeneral(J930,17, 1)</f>
        <v>0</v>
      </c>
    </row>
    <row r="931" spans="1:12" x14ac:dyDescent="0.3">
      <c r="A931">
        <v>931</v>
      </c>
      <c r="B931">
        <f t="shared" si="72"/>
        <v>-123456789</v>
      </c>
      <c r="C931">
        <f t="shared" si="73"/>
        <v>18.579999999999998</v>
      </c>
      <c r="D931">
        <f>[1]!XLSTAT_PDFGeneral(B931,14, 16, 1)</f>
        <v>0</v>
      </c>
      <c r="I931">
        <v>931</v>
      </c>
      <c r="J931">
        <f t="shared" si="74"/>
        <v>-123456789</v>
      </c>
      <c r="K931">
        <f t="shared" si="75"/>
        <v>6.49</v>
      </c>
      <c r="L931">
        <f>[1]!XLSTAT_PDFGeneral(J931,17, 1)</f>
        <v>0</v>
      </c>
    </row>
    <row r="932" spans="1:12" x14ac:dyDescent="0.3">
      <c r="A932">
        <v>932</v>
      </c>
      <c r="B932">
        <f t="shared" si="72"/>
        <v>18.579999999999998</v>
      </c>
      <c r="C932">
        <f t="shared" si="73"/>
        <v>18.579999999999998</v>
      </c>
      <c r="D932">
        <f>[1]!XLSTAT_PDFGeneral(B932,14, 16, 1)</f>
        <v>1.4305108994149759E-2</v>
      </c>
      <c r="I932">
        <v>932</v>
      </c>
      <c r="J932">
        <f t="shared" si="74"/>
        <v>6.49</v>
      </c>
      <c r="K932">
        <f t="shared" si="75"/>
        <v>6.49</v>
      </c>
      <c r="L932">
        <f>[1]!XLSTAT_PDFGeneral(J932,17, 1)</f>
        <v>5.1094366829366989E-4</v>
      </c>
    </row>
    <row r="933" spans="1:12" x14ac:dyDescent="0.3">
      <c r="A933">
        <v>933</v>
      </c>
      <c r="B933">
        <f t="shared" si="72"/>
        <v>18.591999999999999</v>
      </c>
      <c r="C933">
        <f t="shared" si="73"/>
        <v>18.591999999999999</v>
      </c>
      <c r="D933">
        <f>[1]!XLSTAT_PDFGeneral(B933,14, 16, 1)</f>
        <v>1.3868009956599222E-2</v>
      </c>
      <c r="I933">
        <v>933</v>
      </c>
      <c r="J933">
        <f t="shared" si="74"/>
        <v>6.476</v>
      </c>
      <c r="K933">
        <f t="shared" si="75"/>
        <v>6.476</v>
      </c>
      <c r="L933">
        <f>[1]!XLSTAT_PDFGeneral(J933,17, 1)</f>
        <v>5.1094366829366989E-4</v>
      </c>
    </row>
    <row r="934" spans="1:12" x14ac:dyDescent="0.3">
      <c r="A934">
        <v>934</v>
      </c>
      <c r="B934">
        <f t="shared" si="72"/>
        <v>-123456789</v>
      </c>
      <c r="C934">
        <f t="shared" si="73"/>
        <v>18.591999999999999</v>
      </c>
      <c r="D934">
        <f>[1]!XLSTAT_PDFGeneral(B934,14, 16, 1)</f>
        <v>0</v>
      </c>
      <c r="I934">
        <v>934</v>
      </c>
      <c r="J934">
        <f t="shared" si="74"/>
        <v>-123456789</v>
      </c>
      <c r="K934">
        <f t="shared" si="75"/>
        <v>6.476</v>
      </c>
      <c r="L934">
        <f>[1]!XLSTAT_PDFGeneral(J934,17, 1)</f>
        <v>0</v>
      </c>
    </row>
    <row r="935" spans="1:12" x14ac:dyDescent="0.3">
      <c r="A935">
        <v>935</v>
      </c>
      <c r="B935">
        <f t="shared" si="72"/>
        <v>-123456789</v>
      </c>
      <c r="C935">
        <f t="shared" si="73"/>
        <v>18.603999999999999</v>
      </c>
      <c r="D935">
        <f>[1]!XLSTAT_PDFGeneral(B935,14, 16, 1)</f>
        <v>0</v>
      </c>
      <c r="I935">
        <v>935</v>
      </c>
      <c r="J935">
        <f t="shared" si="74"/>
        <v>-123456789</v>
      </c>
      <c r="K935">
        <f t="shared" si="75"/>
        <v>6.4619999999999997</v>
      </c>
      <c r="L935">
        <f>[1]!XLSTAT_PDFGeneral(J935,17, 1)</f>
        <v>0</v>
      </c>
    </row>
    <row r="936" spans="1:12" x14ac:dyDescent="0.3">
      <c r="A936">
        <v>936</v>
      </c>
      <c r="B936">
        <f t="shared" si="72"/>
        <v>18.603999999999999</v>
      </c>
      <c r="C936">
        <f t="shared" si="73"/>
        <v>18.603999999999999</v>
      </c>
      <c r="D936">
        <f>[1]!XLSTAT_PDFGeneral(B936,14, 16, 1)</f>
        <v>1.3442330841662881E-2</v>
      </c>
      <c r="I936">
        <v>936</v>
      </c>
      <c r="J936">
        <f t="shared" si="74"/>
        <v>6.4619999999999997</v>
      </c>
      <c r="K936">
        <f t="shared" si="75"/>
        <v>6.4619999999999997</v>
      </c>
      <c r="L936">
        <f>[1]!XLSTAT_PDFGeneral(J936,17, 1)</f>
        <v>5.1094366829366989E-4</v>
      </c>
    </row>
    <row r="937" spans="1:12" x14ac:dyDescent="0.3">
      <c r="A937">
        <v>937</v>
      </c>
      <c r="B937">
        <f t="shared" si="72"/>
        <v>18.616</v>
      </c>
      <c r="C937">
        <f t="shared" si="73"/>
        <v>18.616</v>
      </c>
      <c r="D937">
        <f>[1]!XLSTAT_PDFGeneral(B937,14, 16, 1)</f>
        <v>1.3027841819719683E-2</v>
      </c>
      <c r="I937">
        <v>937</v>
      </c>
      <c r="J937">
        <f t="shared" si="74"/>
        <v>6.4479999999999995</v>
      </c>
      <c r="K937">
        <f t="shared" si="75"/>
        <v>6.4479999999999995</v>
      </c>
      <c r="L937">
        <f>[1]!XLSTAT_PDFGeneral(J937,17, 1)</f>
        <v>5.1094366829366989E-4</v>
      </c>
    </row>
    <row r="938" spans="1:12" x14ac:dyDescent="0.3">
      <c r="A938">
        <v>938</v>
      </c>
      <c r="B938">
        <f t="shared" si="72"/>
        <v>-123456789</v>
      </c>
      <c r="C938">
        <f t="shared" si="73"/>
        <v>18.616</v>
      </c>
      <c r="D938">
        <f>[1]!XLSTAT_PDFGeneral(B938,14, 16, 1)</f>
        <v>0</v>
      </c>
      <c r="I938">
        <v>938</v>
      </c>
      <c r="J938">
        <f t="shared" si="74"/>
        <v>-123456789</v>
      </c>
      <c r="K938">
        <f t="shared" si="75"/>
        <v>6.4479999999999995</v>
      </c>
      <c r="L938">
        <f>[1]!XLSTAT_PDFGeneral(J938,17, 1)</f>
        <v>0</v>
      </c>
    </row>
    <row r="939" spans="1:12" x14ac:dyDescent="0.3">
      <c r="A939">
        <v>939</v>
      </c>
      <c r="B939">
        <f t="shared" si="72"/>
        <v>-123456789</v>
      </c>
      <c r="C939">
        <f t="shared" si="73"/>
        <v>18.628</v>
      </c>
      <c r="D939">
        <f>[1]!XLSTAT_PDFGeneral(B939,14, 16, 1)</f>
        <v>0</v>
      </c>
      <c r="I939">
        <v>939</v>
      </c>
      <c r="J939">
        <f t="shared" si="74"/>
        <v>-123456789</v>
      </c>
      <c r="K939">
        <f t="shared" si="75"/>
        <v>6.4340000000000002</v>
      </c>
      <c r="L939">
        <f>[1]!XLSTAT_PDFGeneral(J939,17, 1)</f>
        <v>0</v>
      </c>
    </row>
    <row r="940" spans="1:12" x14ac:dyDescent="0.3">
      <c r="A940">
        <v>940</v>
      </c>
      <c r="B940">
        <f t="shared" si="72"/>
        <v>18.628</v>
      </c>
      <c r="C940">
        <f t="shared" si="73"/>
        <v>18.628</v>
      </c>
      <c r="D940">
        <f>[1]!XLSTAT_PDFGeneral(B940,14, 16, 1)</f>
        <v>1.2624315372591137E-2</v>
      </c>
      <c r="I940">
        <v>940</v>
      </c>
      <c r="J940">
        <f t="shared" si="74"/>
        <v>6.4340000000000002</v>
      </c>
      <c r="K940">
        <f t="shared" si="75"/>
        <v>6.4340000000000002</v>
      </c>
      <c r="L940">
        <f>[1]!XLSTAT_PDFGeneral(J940,17, 1)</f>
        <v>5.1094366829366989E-4</v>
      </c>
    </row>
    <row r="941" spans="1:12" x14ac:dyDescent="0.3">
      <c r="A941">
        <v>941</v>
      </c>
      <c r="B941">
        <f t="shared" si="72"/>
        <v>18.64</v>
      </c>
      <c r="C941">
        <f t="shared" si="73"/>
        <v>18.64</v>
      </c>
      <c r="D941">
        <f>[1]!XLSTAT_PDFGeneral(B941,14, 16, 1)</f>
        <v>1.2231526351277954E-2</v>
      </c>
      <c r="I941">
        <v>941</v>
      </c>
      <c r="J941">
        <f t="shared" si="74"/>
        <v>6.42</v>
      </c>
      <c r="K941">
        <f t="shared" si="75"/>
        <v>6.42</v>
      </c>
      <c r="L941">
        <f>[1]!XLSTAT_PDFGeneral(J941,17, 1)</f>
        <v>5.1094366829366989E-4</v>
      </c>
    </row>
    <row r="942" spans="1:12" x14ac:dyDescent="0.3">
      <c r="A942">
        <v>942</v>
      </c>
      <c r="B942">
        <f t="shared" si="72"/>
        <v>-123456789</v>
      </c>
      <c r="C942">
        <f t="shared" si="73"/>
        <v>18.64</v>
      </c>
      <c r="D942">
        <f>[1]!XLSTAT_PDFGeneral(B942,14, 16, 1)</f>
        <v>0</v>
      </c>
      <c r="I942">
        <v>942</v>
      </c>
      <c r="J942">
        <f t="shared" si="74"/>
        <v>-123456789</v>
      </c>
      <c r="K942">
        <f t="shared" si="75"/>
        <v>6.42</v>
      </c>
      <c r="L942">
        <f>[1]!XLSTAT_PDFGeneral(J942,17, 1)</f>
        <v>0</v>
      </c>
    </row>
    <row r="943" spans="1:12" x14ac:dyDescent="0.3">
      <c r="A943">
        <v>943</v>
      </c>
      <c r="B943">
        <f t="shared" si="72"/>
        <v>-123456789</v>
      </c>
      <c r="C943">
        <f t="shared" si="73"/>
        <v>18.652000000000001</v>
      </c>
      <c r="D943">
        <f>[1]!XLSTAT_PDFGeneral(B943,14, 16, 1)</f>
        <v>0</v>
      </c>
      <c r="I943">
        <v>943</v>
      </c>
      <c r="J943">
        <f t="shared" si="74"/>
        <v>-123456789</v>
      </c>
      <c r="K943">
        <f t="shared" si="75"/>
        <v>6.4059999999999997</v>
      </c>
      <c r="L943">
        <f>[1]!XLSTAT_PDFGeneral(J943,17, 1)</f>
        <v>0</v>
      </c>
    </row>
    <row r="944" spans="1:12" x14ac:dyDescent="0.3">
      <c r="A944">
        <v>944</v>
      </c>
      <c r="B944">
        <f t="shared" si="72"/>
        <v>18.652000000000001</v>
      </c>
      <c r="C944">
        <f t="shared" si="73"/>
        <v>18.652000000000001</v>
      </c>
      <c r="D944">
        <f>[1]!XLSTAT_PDFGeneral(B944,14, 16, 1)</f>
        <v>1.184925203023326E-2</v>
      </c>
      <c r="I944">
        <v>944</v>
      </c>
      <c r="J944">
        <f t="shared" si="74"/>
        <v>6.4059999999999997</v>
      </c>
      <c r="K944">
        <f t="shared" si="75"/>
        <v>6.4059999999999997</v>
      </c>
      <c r="L944">
        <f>[1]!XLSTAT_PDFGeneral(J944,17, 1)</f>
        <v>5.1094366829366989E-4</v>
      </c>
    </row>
    <row r="945" spans="1:12" x14ac:dyDescent="0.3">
      <c r="A945">
        <v>945</v>
      </c>
      <c r="B945">
        <f t="shared" si="72"/>
        <v>18.664000000000001</v>
      </c>
      <c r="C945">
        <f t="shared" si="73"/>
        <v>18.664000000000001</v>
      </c>
      <c r="D945">
        <f>[1]!XLSTAT_PDFGeneral(B945,14, 16, 1)</f>
        <v>1.1477272158233711E-2</v>
      </c>
      <c r="I945">
        <v>945</v>
      </c>
      <c r="J945">
        <f t="shared" si="74"/>
        <v>6.3919999999999995</v>
      </c>
      <c r="K945">
        <f t="shared" si="75"/>
        <v>6.3919999999999995</v>
      </c>
      <c r="L945">
        <f>[1]!XLSTAT_PDFGeneral(J945,17, 1)</f>
        <v>5.1094366829366989E-4</v>
      </c>
    </row>
    <row r="946" spans="1:12" x14ac:dyDescent="0.3">
      <c r="A946">
        <v>946</v>
      </c>
      <c r="B946">
        <f t="shared" si="72"/>
        <v>-123456789</v>
      </c>
      <c r="C946">
        <f t="shared" si="73"/>
        <v>18.664000000000001</v>
      </c>
      <c r="D946">
        <f>[1]!XLSTAT_PDFGeneral(B946,14, 16, 1)</f>
        <v>0</v>
      </c>
      <c r="I946">
        <v>946</v>
      </c>
      <c r="J946">
        <f t="shared" si="74"/>
        <v>-123456789</v>
      </c>
      <c r="K946">
        <f t="shared" si="75"/>
        <v>6.3919999999999995</v>
      </c>
      <c r="L946">
        <f>[1]!XLSTAT_PDFGeneral(J946,17, 1)</f>
        <v>0</v>
      </c>
    </row>
    <row r="947" spans="1:12" x14ac:dyDescent="0.3">
      <c r="A947">
        <v>947</v>
      </c>
      <c r="B947">
        <f t="shared" si="72"/>
        <v>-123456789</v>
      </c>
      <c r="C947">
        <f t="shared" si="73"/>
        <v>18.676000000000002</v>
      </c>
      <c r="D947">
        <f>[1]!XLSTAT_PDFGeneral(B947,14, 16, 1)</f>
        <v>0</v>
      </c>
      <c r="I947">
        <v>947</v>
      </c>
      <c r="J947">
        <f t="shared" si="74"/>
        <v>-123456789</v>
      </c>
      <c r="K947">
        <f t="shared" si="75"/>
        <v>6.3780000000000001</v>
      </c>
      <c r="L947">
        <f>[1]!XLSTAT_PDFGeneral(J947,17, 1)</f>
        <v>0</v>
      </c>
    </row>
    <row r="948" spans="1:12" x14ac:dyDescent="0.3">
      <c r="A948">
        <v>948</v>
      </c>
      <c r="B948">
        <f t="shared" si="72"/>
        <v>18.676000000000002</v>
      </c>
      <c r="C948">
        <f t="shared" si="73"/>
        <v>18.676000000000002</v>
      </c>
      <c r="D948">
        <f>[1]!XLSTAT_PDFGeneral(B948,14, 16, 1)</f>
        <v>1.1115369005911003E-2</v>
      </c>
      <c r="I948">
        <v>948</v>
      </c>
      <c r="J948">
        <f t="shared" si="74"/>
        <v>6.3780000000000001</v>
      </c>
      <c r="K948">
        <f t="shared" si="75"/>
        <v>6.3780000000000001</v>
      </c>
      <c r="L948">
        <f>[1]!XLSTAT_PDFGeneral(J948,17, 1)</f>
        <v>5.1094366829366989E-4</v>
      </c>
    </row>
    <row r="949" spans="1:12" x14ac:dyDescent="0.3">
      <c r="A949">
        <v>949</v>
      </c>
      <c r="B949">
        <f t="shared" si="72"/>
        <v>18.687999999999999</v>
      </c>
      <c r="C949">
        <f t="shared" si="73"/>
        <v>18.687999999999999</v>
      </c>
      <c r="D949">
        <f>[1]!XLSTAT_PDFGeneral(B949,14, 16, 1)</f>
        <v>1.0763327410007781E-2</v>
      </c>
      <c r="I949">
        <v>949</v>
      </c>
      <c r="J949">
        <f t="shared" si="74"/>
        <v>6.3639999999999999</v>
      </c>
      <c r="K949">
        <f t="shared" si="75"/>
        <v>6.3639999999999999</v>
      </c>
      <c r="L949">
        <f>[1]!XLSTAT_PDFGeneral(J949,17, 1)</f>
        <v>5.1094366829366989E-4</v>
      </c>
    </row>
    <row r="950" spans="1:12" x14ac:dyDescent="0.3">
      <c r="A950">
        <v>950</v>
      </c>
      <c r="B950">
        <f t="shared" si="72"/>
        <v>-123456789</v>
      </c>
      <c r="C950">
        <f t="shared" si="73"/>
        <v>18.687999999999999</v>
      </c>
      <c r="D950">
        <f>[1]!XLSTAT_PDFGeneral(B950,14, 16, 1)</f>
        <v>0</v>
      </c>
      <c r="I950">
        <v>950</v>
      </c>
      <c r="J950">
        <f t="shared" si="74"/>
        <v>-123456789</v>
      </c>
      <c r="K950">
        <f t="shared" si="75"/>
        <v>6.3639999999999999</v>
      </c>
      <c r="L950">
        <f>[1]!XLSTAT_PDFGeneral(J950,17, 1)</f>
        <v>0</v>
      </c>
    </row>
    <row r="951" spans="1:12" x14ac:dyDescent="0.3">
      <c r="A951">
        <v>951</v>
      </c>
      <c r="B951">
        <f t="shared" si="72"/>
        <v>-123456789</v>
      </c>
      <c r="C951">
        <f t="shared" si="73"/>
        <v>18.7</v>
      </c>
      <c r="D951">
        <f>[1]!XLSTAT_PDFGeneral(B951,14, 16, 1)</f>
        <v>0</v>
      </c>
      <c r="I951">
        <v>951</v>
      </c>
      <c r="J951">
        <f t="shared" si="74"/>
        <v>-123456789</v>
      </c>
      <c r="K951">
        <f t="shared" si="75"/>
        <v>6.35</v>
      </c>
      <c r="L951">
        <f>[1]!XLSTAT_PDFGeneral(J951,17, 1)</f>
        <v>0</v>
      </c>
    </row>
    <row r="952" spans="1:12" x14ac:dyDescent="0.3">
      <c r="A952">
        <v>952</v>
      </c>
      <c r="B952">
        <f t="shared" si="72"/>
        <v>18.7</v>
      </c>
      <c r="C952">
        <f t="shared" si="73"/>
        <v>18.7</v>
      </c>
      <c r="D952">
        <f>[1]!XLSTAT_PDFGeneral(B952,14, 16, 1)</f>
        <v>1.0420934814422614E-2</v>
      </c>
      <c r="I952">
        <v>952</v>
      </c>
      <c r="J952">
        <f t="shared" si="74"/>
        <v>6.35</v>
      </c>
      <c r="K952">
        <f t="shared" si="75"/>
        <v>6.35</v>
      </c>
      <c r="L952">
        <f>[1]!XLSTAT_PDFGeneral(J952,17, 1)</f>
        <v>5.1094366829366989E-4</v>
      </c>
    </row>
    <row r="953" spans="1:12" x14ac:dyDescent="0.3">
      <c r="A953">
        <v>953</v>
      </c>
      <c r="B953">
        <f t="shared" si="72"/>
        <v>18.712</v>
      </c>
      <c r="C953">
        <f t="shared" si="73"/>
        <v>18.712</v>
      </c>
      <c r="D953">
        <f>[1]!XLSTAT_PDFGeneral(B953,14, 16, 1)</f>
        <v>1.008798130811189E-2</v>
      </c>
      <c r="I953">
        <v>953</v>
      </c>
      <c r="J953">
        <f t="shared" si="74"/>
        <v>6.3360000000000003</v>
      </c>
      <c r="K953">
        <f t="shared" si="75"/>
        <v>6.3360000000000003</v>
      </c>
      <c r="L953">
        <f>[1]!XLSTAT_PDFGeneral(J953,17, 1)</f>
        <v>5.1094366829366989E-4</v>
      </c>
    </row>
    <row r="954" spans="1:12" x14ac:dyDescent="0.3">
      <c r="A954">
        <v>954</v>
      </c>
      <c r="B954">
        <f t="shared" si="72"/>
        <v>-123456789</v>
      </c>
      <c r="C954">
        <f t="shared" si="73"/>
        <v>18.712</v>
      </c>
      <c r="D954">
        <f>[1]!XLSTAT_PDFGeneral(B954,14, 16, 1)</f>
        <v>0</v>
      </c>
      <c r="I954">
        <v>954</v>
      </c>
      <c r="J954">
        <f t="shared" si="74"/>
        <v>-123456789</v>
      </c>
      <c r="K954">
        <f t="shared" si="75"/>
        <v>6.3360000000000003</v>
      </c>
      <c r="L954">
        <f>[1]!XLSTAT_PDFGeneral(J954,17, 1)</f>
        <v>0</v>
      </c>
    </row>
    <row r="955" spans="1:12" x14ac:dyDescent="0.3">
      <c r="A955">
        <v>955</v>
      </c>
      <c r="B955">
        <f t="shared" si="72"/>
        <v>-123456789</v>
      </c>
      <c r="C955">
        <f t="shared" si="73"/>
        <v>18.724</v>
      </c>
      <c r="D955">
        <f>[1]!XLSTAT_PDFGeneral(B955,14, 16, 1)</f>
        <v>0</v>
      </c>
      <c r="I955">
        <v>955</v>
      </c>
      <c r="J955">
        <f t="shared" si="74"/>
        <v>-123456789</v>
      </c>
      <c r="K955">
        <f t="shared" si="75"/>
        <v>6.3220000000000001</v>
      </c>
      <c r="L955">
        <f>[1]!XLSTAT_PDFGeneral(J955,17, 1)</f>
        <v>0</v>
      </c>
    </row>
    <row r="956" spans="1:12" x14ac:dyDescent="0.3">
      <c r="A956">
        <v>956</v>
      </c>
      <c r="B956">
        <f t="shared" si="72"/>
        <v>18.724</v>
      </c>
      <c r="C956">
        <f t="shared" si="73"/>
        <v>18.724</v>
      </c>
      <c r="D956">
        <f>[1]!XLSTAT_PDFGeneral(B956,14, 16, 1)</f>
        <v>9.7642596599138518E-3</v>
      </c>
      <c r="I956">
        <v>956</v>
      </c>
      <c r="J956">
        <f t="shared" si="74"/>
        <v>6.3220000000000001</v>
      </c>
      <c r="K956">
        <f t="shared" si="75"/>
        <v>6.3220000000000001</v>
      </c>
      <c r="L956">
        <f>[1]!XLSTAT_PDFGeneral(J956,17, 1)</f>
        <v>5.1094366829366989E-4</v>
      </c>
    </row>
    <row r="957" spans="1:12" x14ac:dyDescent="0.3">
      <c r="A957">
        <v>957</v>
      </c>
      <c r="B957">
        <f t="shared" si="72"/>
        <v>18.736000000000001</v>
      </c>
      <c r="C957">
        <f t="shared" si="73"/>
        <v>18.736000000000001</v>
      </c>
      <c r="D957">
        <f>[1]!XLSTAT_PDFGeneral(B957,14, 16, 1)</f>
        <v>9.449565350364706E-3</v>
      </c>
      <c r="I957">
        <v>957</v>
      </c>
      <c r="J957">
        <f t="shared" si="74"/>
        <v>6.3079999999999998</v>
      </c>
      <c r="K957">
        <f t="shared" si="75"/>
        <v>6.3079999999999998</v>
      </c>
      <c r="L957">
        <f>[1]!XLSTAT_PDFGeneral(J957,17, 1)</f>
        <v>5.1094366829366989E-4</v>
      </c>
    </row>
    <row r="958" spans="1:12" x14ac:dyDescent="0.3">
      <c r="A958">
        <v>958</v>
      </c>
      <c r="B958">
        <f t="shared" si="72"/>
        <v>-123456789</v>
      </c>
      <c r="C958">
        <f t="shared" si="73"/>
        <v>18.736000000000001</v>
      </c>
      <c r="D958">
        <f>[1]!XLSTAT_PDFGeneral(B958,14, 16, 1)</f>
        <v>0</v>
      </c>
      <c r="I958">
        <v>958</v>
      </c>
      <c r="J958">
        <f t="shared" si="74"/>
        <v>-123456789</v>
      </c>
      <c r="K958">
        <f t="shared" si="75"/>
        <v>6.3079999999999998</v>
      </c>
      <c r="L958">
        <f>[1]!XLSTAT_PDFGeneral(J958,17, 1)</f>
        <v>0</v>
      </c>
    </row>
    <row r="959" spans="1:12" x14ac:dyDescent="0.3">
      <c r="A959">
        <v>959</v>
      </c>
      <c r="B959">
        <f t="shared" si="72"/>
        <v>-123456789</v>
      </c>
      <c r="C959">
        <f t="shared" si="73"/>
        <v>18.748000000000001</v>
      </c>
      <c r="D959">
        <f>[1]!XLSTAT_PDFGeneral(B959,14, 16, 1)</f>
        <v>0</v>
      </c>
      <c r="I959">
        <v>959</v>
      </c>
      <c r="J959">
        <f t="shared" si="74"/>
        <v>-123456789</v>
      </c>
      <c r="K959">
        <f t="shared" si="75"/>
        <v>6.2939999999999996</v>
      </c>
      <c r="L959">
        <f>[1]!XLSTAT_PDFGeneral(J959,17, 1)</f>
        <v>0</v>
      </c>
    </row>
    <row r="960" spans="1:12" x14ac:dyDescent="0.3">
      <c r="A960">
        <v>960</v>
      </c>
      <c r="B960">
        <f t="shared" si="72"/>
        <v>18.748000000000001</v>
      </c>
      <c r="C960">
        <f t="shared" si="73"/>
        <v>18.748000000000001</v>
      </c>
      <c r="D960">
        <f>[1]!XLSTAT_PDFGeneral(B960,14, 16, 1)</f>
        <v>9.1436966005751345E-3</v>
      </c>
      <c r="I960">
        <v>960</v>
      </c>
      <c r="J960">
        <f t="shared" si="74"/>
        <v>6.2939999999999996</v>
      </c>
      <c r="K960">
        <f t="shared" si="75"/>
        <v>6.2939999999999996</v>
      </c>
      <c r="L960">
        <f>[1]!XLSTAT_PDFGeneral(J960,17, 1)</f>
        <v>5.1094366829366989E-4</v>
      </c>
    </row>
    <row r="961" spans="1:12" x14ac:dyDescent="0.3">
      <c r="A961">
        <v>961</v>
      </c>
      <c r="B961">
        <f t="shared" ref="B961:B1000" si="76">IF(-1^(INT(A961/2)+2)&gt;0,13+2*INT(A961/2-1/2)*0.006,-123456789)</f>
        <v>18.759999999999998</v>
      </c>
      <c r="C961">
        <f t="shared" ref="C961:C1000" si="77">13+2*INT(A961/2-1/2)*0.006</f>
        <v>18.759999999999998</v>
      </c>
      <c r="D961">
        <f>[1]!XLSTAT_PDFGeneral(B961,14, 16, 1)</f>
        <v>8.8464543982372749E-3</v>
      </c>
      <c r="I961">
        <v>961</v>
      </c>
      <c r="J961">
        <f t="shared" ref="J961:J1000" si="78">IF(-1^(INT(I961/2)+2)&gt;0,13+2*INT(I961/2-1/2)*-0.007,-123456789)</f>
        <v>6.28</v>
      </c>
      <c r="K961">
        <f t="shared" ref="K961:K1000" si="79">13+2*INT(I961/2-1/2)*-0.007</f>
        <v>6.28</v>
      </c>
      <c r="L961">
        <f>[1]!XLSTAT_PDFGeneral(J961,17, 1)</f>
        <v>5.1094366829366989E-4</v>
      </c>
    </row>
    <row r="962" spans="1:12" x14ac:dyDescent="0.3">
      <c r="A962">
        <v>962</v>
      </c>
      <c r="B962">
        <f t="shared" si="76"/>
        <v>-123456789</v>
      </c>
      <c r="C962">
        <f t="shared" si="77"/>
        <v>18.759999999999998</v>
      </c>
      <c r="D962">
        <f>[1]!XLSTAT_PDFGeneral(B962,14, 16, 1)</f>
        <v>0</v>
      </c>
      <c r="I962">
        <v>962</v>
      </c>
      <c r="J962">
        <f t="shared" si="78"/>
        <v>-123456789</v>
      </c>
      <c r="K962">
        <f t="shared" si="79"/>
        <v>6.28</v>
      </c>
      <c r="L962">
        <f>[1]!XLSTAT_PDFGeneral(J962,17, 1)</f>
        <v>0</v>
      </c>
    </row>
    <row r="963" spans="1:12" x14ac:dyDescent="0.3">
      <c r="A963">
        <v>963</v>
      </c>
      <c r="B963">
        <f t="shared" si="76"/>
        <v>-123456789</v>
      </c>
      <c r="C963">
        <f t="shared" si="77"/>
        <v>18.771999999999998</v>
      </c>
      <c r="D963">
        <f>[1]!XLSTAT_PDFGeneral(B963,14, 16, 1)</f>
        <v>0</v>
      </c>
      <c r="I963">
        <v>963</v>
      </c>
      <c r="J963">
        <f t="shared" si="78"/>
        <v>-123456789</v>
      </c>
      <c r="K963">
        <f t="shared" si="79"/>
        <v>6.266</v>
      </c>
      <c r="L963">
        <f>[1]!XLSTAT_PDFGeneral(J963,17, 1)</f>
        <v>0</v>
      </c>
    </row>
    <row r="964" spans="1:12" x14ac:dyDescent="0.3">
      <c r="A964">
        <v>964</v>
      </c>
      <c r="B964">
        <f t="shared" si="76"/>
        <v>18.771999999999998</v>
      </c>
      <c r="C964">
        <f t="shared" si="77"/>
        <v>18.771999999999998</v>
      </c>
      <c r="D964">
        <f>[1]!XLSTAT_PDFGeneral(B964,14, 16, 1)</f>
        <v>8.5576425208319755E-3</v>
      </c>
      <c r="I964">
        <v>964</v>
      </c>
      <c r="J964">
        <f t="shared" si="78"/>
        <v>6.266</v>
      </c>
      <c r="K964">
        <f t="shared" si="79"/>
        <v>6.266</v>
      </c>
      <c r="L964">
        <f>[1]!XLSTAT_PDFGeneral(J964,17, 1)</f>
        <v>5.1094366829366989E-4</v>
      </c>
    </row>
    <row r="965" spans="1:12" x14ac:dyDescent="0.3">
      <c r="A965">
        <v>965</v>
      </c>
      <c r="B965">
        <f t="shared" si="76"/>
        <v>18.783999999999999</v>
      </c>
      <c r="C965">
        <f t="shared" si="77"/>
        <v>18.783999999999999</v>
      </c>
      <c r="D965">
        <f>[1]!XLSTAT_PDFGeneral(B965,14, 16, 1)</f>
        <v>8.2770675561085177E-3</v>
      </c>
      <c r="I965">
        <v>965</v>
      </c>
      <c r="J965">
        <f t="shared" si="78"/>
        <v>6.2519999999999998</v>
      </c>
      <c r="K965">
        <f t="shared" si="79"/>
        <v>6.2519999999999998</v>
      </c>
      <c r="L965">
        <f>[1]!XLSTAT_PDFGeneral(J965,17, 1)</f>
        <v>5.1094366829366989E-4</v>
      </c>
    </row>
    <row r="966" spans="1:12" x14ac:dyDescent="0.3">
      <c r="A966">
        <v>966</v>
      </c>
      <c r="B966">
        <f t="shared" si="76"/>
        <v>-123456789</v>
      </c>
      <c r="C966">
        <f t="shared" si="77"/>
        <v>18.783999999999999</v>
      </c>
      <c r="D966">
        <f>[1]!XLSTAT_PDFGeneral(B966,14, 16, 1)</f>
        <v>0</v>
      </c>
      <c r="I966">
        <v>966</v>
      </c>
      <c r="J966">
        <f t="shared" si="78"/>
        <v>-123456789</v>
      </c>
      <c r="K966">
        <f t="shared" si="79"/>
        <v>6.2519999999999998</v>
      </c>
      <c r="L966">
        <f>[1]!XLSTAT_PDFGeneral(J966,17, 1)</f>
        <v>0</v>
      </c>
    </row>
    <row r="967" spans="1:12" x14ac:dyDescent="0.3">
      <c r="A967">
        <v>967</v>
      </c>
      <c r="B967">
        <f t="shared" si="76"/>
        <v>-123456789</v>
      </c>
      <c r="C967">
        <f t="shared" si="77"/>
        <v>18.795999999999999</v>
      </c>
      <c r="D967">
        <f>[1]!XLSTAT_PDFGeneral(B967,14, 16, 1)</f>
        <v>0</v>
      </c>
      <c r="I967">
        <v>967</v>
      </c>
      <c r="J967">
        <f t="shared" si="78"/>
        <v>-123456789</v>
      </c>
      <c r="K967">
        <f t="shared" si="79"/>
        <v>6.2379999999999995</v>
      </c>
      <c r="L967">
        <f>[1]!XLSTAT_PDFGeneral(J967,17, 1)</f>
        <v>0</v>
      </c>
    </row>
    <row r="968" spans="1:12" x14ac:dyDescent="0.3">
      <c r="A968">
        <v>968</v>
      </c>
      <c r="B968">
        <f t="shared" si="76"/>
        <v>18.795999999999999</v>
      </c>
      <c r="C968">
        <f t="shared" si="77"/>
        <v>18.795999999999999</v>
      </c>
      <c r="D968">
        <f>[1]!XLSTAT_PDFGeneral(B968,14, 16, 1)</f>
        <v>8.0045389199063371E-3</v>
      </c>
      <c r="I968">
        <v>968</v>
      </c>
      <c r="J968">
        <f t="shared" si="78"/>
        <v>6.2379999999999995</v>
      </c>
      <c r="K968">
        <f t="shared" si="79"/>
        <v>6.2379999999999995</v>
      </c>
      <c r="L968">
        <f>[1]!XLSTAT_PDFGeneral(J968,17, 1)</f>
        <v>5.1094366829366989E-4</v>
      </c>
    </row>
    <row r="969" spans="1:12" x14ac:dyDescent="0.3">
      <c r="A969">
        <v>969</v>
      </c>
      <c r="B969">
        <f t="shared" si="76"/>
        <v>18.808</v>
      </c>
      <c r="C969">
        <f t="shared" si="77"/>
        <v>18.808</v>
      </c>
      <c r="D969">
        <f>[1]!XLSTAT_PDFGeneral(B969,14, 16, 1)</f>
        <v>7.739868871391698E-3</v>
      </c>
      <c r="I969">
        <v>969</v>
      </c>
      <c r="J969">
        <f t="shared" si="78"/>
        <v>6.2240000000000002</v>
      </c>
      <c r="K969">
        <f t="shared" si="79"/>
        <v>6.2240000000000002</v>
      </c>
      <c r="L969">
        <f>[1]!XLSTAT_PDFGeneral(J969,17, 1)</f>
        <v>5.1094366829366989E-4</v>
      </c>
    </row>
    <row r="970" spans="1:12" x14ac:dyDescent="0.3">
      <c r="A970">
        <v>970</v>
      </c>
      <c r="B970">
        <f t="shared" si="76"/>
        <v>-123456789</v>
      </c>
      <c r="C970">
        <f t="shared" si="77"/>
        <v>18.808</v>
      </c>
      <c r="D970">
        <f>[1]!XLSTAT_PDFGeneral(B970,14, 16, 1)</f>
        <v>0</v>
      </c>
      <c r="I970">
        <v>970</v>
      </c>
      <c r="J970">
        <f t="shared" si="78"/>
        <v>-123456789</v>
      </c>
      <c r="K970">
        <f t="shared" si="79"/>
        <v>6.2240000000000002</v>
      </c>
      <c r="L970">
        <f>[1]!XLSTAT_PDFGeneral(J970,17, 1)</f>
        <v>0</v>
      </c>
    </row>
    <row r="971" spans="1:12" x14ac:dyDescent="0.3">
      <c r="A971">
        <v>971</v>
      </c>
      <c r="B971">
        <f t="shared" si="76"/>
        <v>-123456789</v>
      </c>
      <c r="C971">
        <f t="shared" si="77"/>
        <v>18.82</v>
      </c>
      <c r="D971">
        <f>[1]!XLSTAT_PDFGeneral(B971,14, 16, 1)</f>
        <v>0</v>
      </c>
      <c r="I971">
        <v>971</v>
      </c>
      <c r="J971">
        <f t="shared" si="78"/>
        <v>-123456789</v>
      </c>
      <c r="K971">
        <f t="shared" si="79"/>
        <v>6.21</v>
      </c>
      <c r="L971">
        <f>[1]!XLSTAT_PDFGeneral(J971,17, 1)</f>
        <v>0</v>
      </c>
    </row>
    <row r="972" spans="1:12" x14ac:dyDescent="0.3">
      <c r="A972">
        <v>972</v>
      </c>
      <c r="B972">
        <f t="shared" si="76"/>
        <v>18.82</v>
      </c>
      <c r="C972">
        <f t="shared" si="77"/>
        <v>18.82</v>
      </c>
      <c r="D972">
        <f>[1]!XLSTAT_PDFGeneral(B972,14, 16, 1)</f>
        <v>7.4828725257805534E-3</v>
      </c>
      <c r="I972">
        <v>972</v>
      </c>
      <c r="J972">
        <f t="shared" si="78"/>
        <v>6.21</v>
      </c>
      <c r="K972">
        <f t="shared" si="79"/>
        <v>6.21</v>
      </c>
      <c r="L972">
        <f>[1]!XLSTAT_PDFGeneral(J972,17, 1)</f>
        <v>5.1094366829366989E-4</v>
      </c>
    </row>
    <row r="973" spans="1:12" x14ac:dyDescent="0.3">
      <c r="A973">
        <v>973</v>
      </c>
      <c r="B973">
        <f t="shared" si="76"/>
        <v>18.832000000000001</v>
      </c>
      <c r="C973">
        <f t="shared" si="77"/>
        <v>18.832000000000001</v>
      </c>
      <c r="D973">
        <f>[1]!XLSTAT_PDFGeneral(B973,14, 16, 1)</f>
        <v>7.2333678646196685E-3</v>
      </c>
      <c r="I973">
        <v>973</v>
      </c>
      <c r="J973">
        <f t="shared" si="78"/>
        <v>6.1959999999999997</v>
      </c>
      <c r="K973">
        <f t="shared" si="79"/>
        <v>6.1959999999999997</v>
      </c>
      <c r="L973">
        <f>[1]!XLSTAT_PDFGeneral(J973,17, 1)</f>
        <v>5.1094366829366989E-4</v>
      </c>
    </row>
    <row r="974" spans="1:12" x14ac:dyDescent="0.3">
      <c r="A974">
        <v>974</v>
      </c>
      <c r="B974">
        <f t="shared" si="76"/>
        <v>-123456789</v>
      </c>
      <c r="C974">
        <f t="shared" si="77"/>
        <v>18.832000000000001</v>
      </c>
      <c r="D974">
        <f>[1]!XLSTAT_PDFGeneral(B974,14, 16, 1)</f>
        <v>0</v>
      </c>
      <c r="I974">
        <v>974</v>
      </c>
      <c r="J974">
        <f t="shared" si="78"/>
        <v>-123456789</v>
      </c>
      <c r="K974">
        <f t="shared" si="79"/>
        <v>6.1959999999999997</v>
      </c>
      <c r="L974">
        <f>[1]!XLSTAT_PDFGeneral(J974,17, 1)</f>
        <v>0</v>
      </c>
    </row>
    <row r="975" spans="1:12" x14ac:dyDescent="0.3">
      <c r="A975">
        <v>975</v>
      </c>
      <c r="B975">
        <f t="shared" si="76"/>
        <v>-123456789</v>
      </c>
      <c r="C975">
        <f t="shared" si="77"/>
        <v>18.844000000000001</v>
      </c>
      <c r="D975">
        <f>[1]!XLSTAT_PDFGeneral(B975,14, 16, 1)</f>
        <v>0</v>
      </c>
      <c r="I975">
        <v>975</v>
      </c>
      <c r="J975">
        <f t="shared" si="78"/>
        <v>-123456789</v>
      </c>
      <c r="K975">
        <f t="shared" si="79"/>
        <v>6.1819999999999995</v>
      </c>
      <c r="L975">
        <f>[1]!XLSTAT_PDFGeneral(J975,17, 1)</f>
        <v>0</v>
      </c>
    </row>
    <row r="976" spans="1:12" x14ac:dyDescent="0.3">
      <c r="A976">
        <v>976</v>
      </c>
      <c r="B976">
        <f t="shared" si="76"/>
        <v>18.844000000000001</v>
      </c>
      <c r="C976">
        <f t="shared" si="77"/>
        <v>18.844000000000001</v>
      </c>
      <c r="D976">
        <f>[1]!XLSTAT_PDFGeneral(B976,14, 16, 1)</f>
        <v>6.9911757436979961E-3</v>
      </c>
      <c r="I976">
        <v>976</v>
      </c>
      <c r="J976">
        <f t="shared" si="78"/>
        <v>6.1819999999999995</v>
      </c>
      <c r="K976">
        <f t="shared" si="79"/>
        <v>6.1819999999999995</v>
      </c>
      <c r="L976">
        <f>[1]!XLSTAT_PDFGeneral(J976,17, 1)</f>
        <v>5.1094366829366989E-4</v>
      </c>
    </row>
    <row r="977" spans="1:12" x14ac:dyDescent="0.3">
      <c r="A977">
        <v>977</v>
      </c>
      <c r="B977">
        <f t="shared" si="76"/>
        <v>18.856000000000002</v>
      </c>
      <c r="C977">
        <f t="shared" si="77"/>
        <v>18.856000000000002</v>
      </c>
      <c r="D977">
        <f>[1]!XLSTAT_PDFGeneral(B977,14, 16, 1)</f>
        <v>6.7561198986602648E-3</v>
      </c>
      <c r="I977">
        <v>977</v>
      </c>
      <c r="J977">
        <f t="shared" si="78"/>
        <v>6.1680000000000001</v>
      </c>
      <c r="K977">
        <f t="shared" si="79"/>
        <v>6.1680000000000001</v>
      </c>
      <c r="L977">
        <f>[1]!XLSTAT_PDFGeneral(J977,17, 1)</f>
        <v>5.1094366829366989E-4</v>
      </c>
    </row>
    <row r="978" spans="1:12" x14ac:dyDescent="0.3">
      <c r="A978">
        <v>978</v>
      </c>
      <c r="B978">
        <f t="shared" si="76"/>
        <v>-123456789</v>
      </c>
      <c r="C978">
        <f t="shared" si="77"/>
        <v>18.856000000000002</v>
      </c>
      <c r="D978">
        <f>[1]!XLSTAT_PDFGeneral(B978,14, 16, 1)</f>
        <v>0</v>
      </c>
      <c r="I978">
        <v>978</v>
      </c>
      <c r="J978">
        <f t="shared" si="78"/>
        <v>-123456789</v>
      </c>
      <c r="K978">
        <f t="shared" si="79"/>
        <v>6.1680000000000001</v>
      </c>
      <c r="L978">
        <f>[1]!XLSTAT_PDFGeneral(J978,17, 1)</f>
        <v>0</v>
      </c>
    </row>
    <row r="979" spans="1:12" x14ac:dyDescent="0.3">
      <c r="A979">
        <v>979</v>
      </c>
      <c r="B979">
        <f t="shared" si="76"/>
        <v>-123456789</v>
      </c>
      <c r="C979">
        <f t="shared" si="77"/>
        <v>18.868000000000002</v>
      </c>
      <c r="D979">
        <f>[1]!XLSTAT_PDFGeneral(B979,14, 16, 1)</f>
        <v>0</v>
      </c>
      <c r="I979">
        <v>979</v>
      </c>
      <c r="J979">
        <f t="shared" si="78"/>
        <v>-123456789</v>
      </c>
      <c r="K979">
        <f t="shared" si="79"/>
        <v>6.1539999999999999</v>
      </c>
      <c r="L979">
        <f>[1]!XLSTAT_PDFGeneral(J979,17, 1)</f>
        <v>0</v>
      </c>
    </row>
    <row r="980" spans="1:12" x14ac:dyDescent="0.3">
      <c r="A980">
        <v>980</v>
      </c>
      <c r="B980">
        <f t="shared" si="76"/>
        <v>18.868000000000002</v>
      </c>
      <c r="C980">
        <f t="shared" si="77"/>
        <v>18.868000000000002</v>
      </c>
      <c r="D980">
        <f>[1]!XLSTAT_PDFGeneral(B980,14, 16, 1)</f>
        <v>6.5280269483946E-3</v>
      </c>
      <c r="I980">
        <v>980</v>
      </c>
      <c r="J980">
        <f t="shared" si="78"/>
        <v>6.1539999999999999</v>
      </c>
      <c r="K980">
        <f t="shared" si="79"/>
        <v>6.1539999999999999</v>
      </c>
      <c r="L980">
        <f>[1]!XLSTAT_PDFGeneral(J980,17, 1)</f>
        <v>5.1094366829366989E-4</v>
      </c>
    </row>
    <row r="981" spans="1:12" x14ac:dyDescent="0.3">
      <c r="A981">
        <v>981</v>
      </c>
      <c r="B981">
        <f t="shared" si="76"/>
        <v>18.88</v>
      </c>
      <c r="C981">
        <f t="shared" si="77"/>
        <v>18.88</v>
      </c>
      <c r="D981">
        <f>[1]!XLSTAT_PDFGeneral(B981,14, 16, 1)</f>
        <v>6.3067263962659457E-3</v>
      </c>
      <c r="I981">
        <v>981</v>
      </c>
      <c r="J981">
        <f t="shared" si="78"/>
        <v>6.14</v>
      </c>
      <c r="K981">
        <f t="shared" si="79"/>
        <v>6.14</v>
      </c>
      <c r="L981">
        <f>[1]!XLSTAT_PDFGeneral(J981,17, 1)</f>
        <v>5.1094366829366989E-4</v>
      </c>
    </row>
    <row r="982" spans="1:12" x14ac:dyDescent="0.3">
      <c r="A982">
        <v>982</v>
      </c>
      <c r="B982">
        <f t="shared" si="76"/>
        <v>-123456789</v>
      </c>
      <c r="C982">
        <f t="shared" si="77"/>
        <v>18.88</v>
      </c>
      <c r="D982">
        <f>[1]!XLSTAT_PDFGeneral(B982,14, 16, 1)</f>
        <v>0</v>
      </c>
      <c r="I982">
        <v>982</v>
      </c>
      <c r="J982">
        <f t="shared" si="78"/>
        <v>-123456789</v>
      </c>
      <c r="K982">
        <f t="shared" si="79"/>
        <v>6.14</v>
      </c>
      <c r="L982">
        <f>[1]!XLSTAT_PDFGeneral(J982,17, 1)</f>
        <v>0</v>
      </c>
    </row>
    <row r="983" spans="1:12" x14ac:dyDescent="0.3">
      <c r="A983">
        <v>983</v>
      </c>
      <c r="B983">
        <f t="shared" si="76"/>
        <v>-123456789</v>
      </c>
      <c r="C983">
        <f t="shared" si="77"/>
        <v>18.891999999999999</v>
      </c>
      <c r="D983">
        <f>[1]!XLSTAT_PDFGeneral(B983,14, 16, 1)</f>
        <v>0</v>
      </c>
      <c r="I983">
        <v>983</v>
      </c>
      <c r="J983">
        <f t="shared" si="78"/>
        <v>-123456789</v>
      </c>
      <c r="K983">
        <f t="shared" si="79"/>
        <v>6.1259999999999994</v>
      </c>
      <c r="L983">
        <f>[1]!XLSTAT_PDFGeneral(J983,17, 1)</f>
        <v>0</v>
      </c>
    </row>
    <row r="984" spans="1:12" x14ac:dyDescent="0.3">
      <c r="A984">
        <v>984</v>
      </c>
      <c r="B984">
        <f t="shared" si="76"/>
        <v>18.891999999999999</v>
      </c>
      <c r="C984">
        <f t="shared" si="77"/>
        <v>18.891999999999999</v>
      </c>
      <c r="D984">
        <f>[1]!XLSTAT_PDFGeneral(B984,14, 16, 1)</f>
        <v>6.0920506292661868E-3</v>
      </c>
      <c r="I984">
        <v>984</v>
      </c>
      <c r="J984">
        <f t="shared" si="78"/>
        <v>6.1259999999999994</v>
      </c>
      <c r="K984">
        <f t="shared" si="79"/>
        <v>6.1259999999999994</v>
      </c>
      <c r="L984">
        <f>[1]!XLSTAT_PDFGeneral(J984,17, 1)</f>
        <v>5.1094366829366989E-4</v>
      </c>
    </row>
    <row r="985" spans="1:12" x14ac:dyDescent="0.3">
      <c r="A985">
        <v>985</v>
      </c>
      <c r="B985">
        <f t="shared" si="76"/>
        <v>18.904</v>
      </c>
      <c r="C985">
        <f t="shared" si="77"/>
        <v>18.904</v>
      </c>
      <c r="D985">
        <f>[1]!XLSTAT_PDFGeneral(B985,14, 16, 1)</f>
        <v>5.883834915153101E-3</v>
      </c>
      <c r="I985">
        <v>985</v>
      </c>
      <c r="J985">
        <f t="shared" si="78"/>
        <v>6.1120000000000001</v>
      </c>
      <c r="K985">
        <f t="shared" si="79"/>
        <v>6.1120000000000001</v>
      </c>
      <c r="L985">
        <f>[1]!XLSTAT_PDFGeneral(J985,17, 1)</f>
        <v>5.1094366829366989E-4</v>
      </c>
    </row>
    <row r="986" spans="1:12" x14ac:dyDescent="0.3">
      <c r="A986">
        <v>986</v>
      </c>
      <c r="B986">
        <f t="shared" si="76"/>
        <v>-123456789</v>
      </c>
      <c r="C986">
        <f t="shared" si="77"/>
        <v>18.904</v>
      </c>
      <c r="D986">
        <f>[1]!XLSTAT_PDFGeneral(B986,14, 16, 1)</f>
        <v>0</v>
      </c>
      <c r="I986">
        <v>986</v>
      </c>
      <c r="J986">
        <f t="shared" si="78"/>
        <v>-123456789</v>
      </c>
      <c r="K986">
        <f t="shared" si="79"/>
        <v>6.1120000000000001</v>
      </c>
      <c r="L986">
        <f>[1]!XLSTAT_PDFGeneral(J986,17, 1)</f>
        <v>0</v>
      </c>
    </row>
    <row r="987" spans="1:12" x14ac:dyDescent="0.3">
      <c r="A987">
        <v>987</v>
      </c>
      <c r="B987">
        <f t="shared" si="76"/>
        <v>-123456789</v>
      </c>
      <c r="C987">
        <f t="shared" si="77"/>
        <v>18.916</v>
      </c>
      <c r="D987">
        <f>[1]!XLSTAT_PDFGeneral(B987,14, 16, 1)</f>
        <v>0</v>
      </c>
      <c r="I987">
        <v>987</v>
      </c>
      <c r="J987">
        <f t="shared" si="78"/>
        <v>-123456789</v>
      </c>
      <c r="K987">
        <f t="shared" si="79"/>
        <v>6.0979999999999999</v>
      </c>
      <c r="L987">
        <f>[1]!XLSTAT_PDFGeneral(J987,17, 1)</f>
        <v>0</v>
      </c>
    </row>
    <row r="988" spans="1:12" x14ac:dyDescent="0.3">
      <c r="A988">
        <v>988</v>
      </c>
      <c r="B988">
        <f t="shared" si="76"/>
        <v>18.916</v>
      </c>
      <c r="C988">
        <f t="shared" si="77"/>
        <v>18.916</v>
      </c>
      <c r="D988">
        <f>[1]!XLSTAT_PDFGeneral(B988,14, 16, 1)</f>
        <v>5.6819173976473672E-3</v>
      </c>
      <c r="I988">
        <v>988</v>
      </c>
      <c r="J988">
        <f t="shared" si="78"/>
        <v>6.0979999999999999</v>
      </c>
      <c r="K988">
        <f t="shared" si="79"/>
        <v>6.0979999999999999</v>
      </c>
      <c r="L988">
        <f>[1]!XLSTAT_PDFGeneral(J988,17, 1)</f>
        <v>5.1094366829366989E-4</v>
      </c>
    </row>
    <row r="989" spans="1:12" x14ac:dyDescent="0.3">
      <c r="A989">
        <v>989</v>
      </c>
      <c r="B989">
        <f t="shared" si="76"/>
        <v>18.928000000000001</v>
      </c>
      <c r="C989">
        <f t="shared" si="77"/>
        <v>18.928000000000001</v>
      </c>
      <c r="D989">
        <f>[1]!XLSTAT_PDFGeneral(B989,14, 16, 1)</f>
        <v>5.4861390897587908E-3</v>
      </c>
      <c r="I989">
        <v>989</v>
      </c>
      <c r="J989">
        <f t="shared" si="78"/>
        <v>6.0839999999999996</v>
      </c>
      <c r="K989">
        <f t="shared" si="79"/>
        <v>6.0839999999999996</v>
      </c>
      <c r="L989">
        <f>[1]!XLSTAT_PDFGeneral(J989,17, 1)</f>
        <v>5.1094366829366989E-4</v>
      </c>
    </row>
    <row r="990" spans="1:12" x14ac:dyDescent="0.3">
      <c r="A990">
        <v>990</v>
      </c>
      <c r="B990">
        <f t="shared" si="76"/>
        <v>-123456789</v>
      </c>
      <c r="C990">
        <f t="shared" si="77"/>
        <v>18.928000000000001</v>
      </c>
      <c r="D990">
        <f>[1]!XLSTAT_PDFGeneral(B990,14, 16, 1)</f>
        <v>0</v>
      </c>
      <c r="I990">
        <v>990</v>
      </c>
      <c r="J990">
        <f t="shared" si="78"/>
        <v>-123456789</v>
      </c>
      <c r="K990">
        <f t="shared" si="79"/>
        <v>6.0839999999999996</v>
      </c>
      <c r="L990">
        <f>[1]!XLSTAT_PDFGeneral(J990,17, 1)</f>
        <v>0</v>
      </c>
    </row>
    <row r="991" spans="1:12" x14ac:dyDescent="0.3">
      <c r="A991">
        <v>991</v>
      </c>
      <c r="B991">
        <f t="shared" si="76"/>
        <v>-123456789</v>
      </c>
      <c r="C991">
        <f t="shared" si="77"/>
        <v>18.940000000000001</v>
      </c>
      <c r="D991">
        <f>[1]!XLSTAT_PDFGeneral(B991,14, 16, 1)</f>
        <v>0</v>
      </c>
      <c r="I991">
        <v>991</v>
      </c>
      <c r="J991">
        <f t="shared" si="78"/>
        <v>-123456789</v>
      </c>
      <c r="K991">
        <f t="shared" si="79"/>
        <v>6.07</v>
      </c>
      <c r="L991">
        <f>[1]!XLSTAT_PDFGeneral(J991,17, 1)</f>
        <v>0</v>
      </c>
    </row>
    <row r="992" spans="1:12" x14ac:dyDescent="0.3">
      <c r="A992">
        <v>992</v>
      </c>
      <c r="B992">
        <f t="shared" si="76"/>
        <v>18.940000000000001</v>
      </c>
      <c r="C992">
        <f t="shared" si="77"/>
        <v>18.940000000000001</v>
      </c>
      <c r="D992">
        <f>[1]!XLSTAT_PDFGeneral(B992,14, 16, 1)</f>
        <v>5.2963438653109967E-3</v>
      </c>
      <c r="I992">
        <v>992</v>
      </c>
      <c r="J992">
        <f t="shared" si="78"/>
        <v>6.07</v>
      </c>
      <c r="K992">
        <f t="shared" si="79"/>
        <v>6.07</v>
      </c>
      <c r="L992">
        <f>[1]!XLSTAT_PDFGeneral(J992,17, 1)</f>
        <v>5.1094366829366989E-4</v>
      </c>
    </row>
    <row r="993" spans="1:12" x14ac:dyDescent="0.3">
      <c r="A993">
        <v>993</v>
      </c>
      <c r="B993">
        <f t="shared" si="76"/>
        <v>18.951999999999998</v>
      </c>
      <c r="C993">
        <f t="shared" si="77"/>
        <v>18.951999999999998</v>
      </c>
      <c r="D993">
        <f>[1]!XLSTAT_PDFGeneral(B993,14, 16, 1)</f>
        <v>5.1123784487336916E-3</v>
      </c>
      <c r="I993">
        <v>993</v>
      </c>
      <c r="J993">
        <f t="shared" si="78"/>
        <v>6.056</v>
      </c>
      <c r="K993">
        <f t="shared" si="79"/>
        <v>6.056</v>
      </c>
      <c r="L993">
        <f>[1]!XLSTAT_PDFGeneral(J993,17, 1)</f>
        <v>5.1094366829366989E-4</v>
      </c>
    </row>
    <row r="994" spans="1:12" x14ac:dyDescent="0.3">
      <c r="A994">
        <v>994</v>
      </c>
      <c r="B994">
        <f t="shared" si="76"/>
        <v>-123456789</v>
      </c>
      <c r="C994">
        <f t="shared" si="77"/>
        <v>18.951999999999998</v>
      </c>
      <c r="D994">
        <f>[1]!XLSTAT_PDFGeneral(B994,14, 16, 1)</f>
        <v>0</v>
      </c>
      <c r="I994">
        <v>994</v>
      </c>
      <c r="J994">
        <f t="shared" si="78"/>
        <v>-123456789</v>
      </c>
      <c r="K994">
        <f t="shared" si="79"/>
        <v>6.056</v>
      </c>
      <c r="L994">
        <f>[1]!XLSTAT_PDFGeneral(J994,17, 1)</f>
        <v>0</v>
      </c>
    </row>
    <row r="995" spans="1:12" x14ac:dyDescent="0.3">
      <c r="A995">
        <v>995</v>
      </c>
      <c r="B995">
        <f t="shared" si="76"/>
        <v>-123456789</v>
      </c>
      <c r="C995">
        <f t="shared" si="77"/>
        <v>18.963999999999999</v>
      </c>
      <c r="D995">
        <f>[1]!XLSTAT_PDFGeneral(B995,14, 16, 1)</f>
        <v>0</v>
      </c>
      <c r="I995">
        <v>995</v>
      </c>
      <c r="J995">
        <f t="shared" si="78"/>
        <v>-123456789</v>
      </c>
      <c r="K995">
        <f t="shared" si="79"/>
        <v>6.0419999999999998</v>
      </c>
      <c r="L995">
        <f>[1]!XLSTAT_PDFGeneral(J995,17, 1)</f>
        <v>0</v>
      </c>
    </row>
    <row r="996" spans="1:12" x14ac:dyDescent="0.3">
      <c r="A996">
        <v>996</v>
      </c>
      <c r="B996">
        <f t="shared" si="76"/>
        <v>18.963999999999999</v>
      </c>
      <c r="C996">
        <f t="shared" si="77"/>
        <v>18.963999999999999</v>
      </c>
      <c r="D996">
        <f>[1]!XLSTAT_PDFGeneral(B996,14, 16, 1)</f>
        <v>4.9340924031905228E-3</v>
      </c>
      <c r="I996">
        <v>996</v>
      </c>
      <c r="J996">
        <f t="shared" si="78"/>
        <v>6.0419999999999998</v>
      </c>
      <c r="K996">
        <f t="shared" si="79"/>
        <v>6.0419999999999998</v>
      </c>
      <c r="L996">
        <f>[1]!XLSTAT_PDFGeneral(J996,17, 1)</f>
        <v>5.1094366829366989E-4</v>
      </c>
    </row>
    <row r="997" spans="1:12" x14ac:dyDescent="0.3">
      <c r="A997">
        <v>997</v>
      </c>
      <c r="B997">
        <f t="shared" si="76"/>
        <v>18.975999999999999</v>
      </c>
      <c r="C997">
        <f t="shared" si="77"/>
        <v>18.975999999999999</v>
      </c>
      <c r="D997">
        <f>[1]!XLSTAT_PDFGeneral(B997,14, 16, 1)</f>
        <v>4.7613381171110166E-3</v>
      </c>
      <c r="I997">
        <v>997</v>
      </c>
      <c r="J997">
        <f t="shared" si="78"/>
        <v>6.0279999999999996</v>
      </c>
      <c r="K997">
        <f t="shared" si="79"/>
        <v>6.0279999999999996</v>
      </c>
      <c r="L997">
        <f>[1]!XLSTAT_PDFGeneral(J997,17, 1)</f>
        <v>5.1094366829366989E-4</v>
      </c>
    </row>
    <row r="998" spans="1:12" x14ac:dyDescent="0.3">
      <c r="A998">
        <v>998</v>
      </c>
      <c r="B998">
        <f t="shared" si="76"/>
        <v>-123456789</v>
      </c>
      <c r="C998">
        <f t="shared" si="77"/>
        <v>18.975999999999999</v>
      </c>
      <c r="D998">
        <f>[1]!XLSTAT_PDFGeneral(B998,14, 16, 1)</f>
        <v>0</v>
      </c>
      <c r="I998">
        <v>998</v>
      </c>
      <c r="J998">
        <f t="shared" si="78"/>
        <v>-123456789</v>
      </c>
      <c r="K998">
        <f t="shared" si="79"/>
        <v>6.0279999999999996</v>
      </c>
      <c r="L998">
        <f>[1]!XLSTAT_PDFGeneral(J998,17, 1)</f>
        <v>0</v>
      </c>
    </row>
    <row r="999" spans="1:12" x14ac:dyDescent="0.3">
      <c r="A999">
        <v>999</v>
      </c>
      <c r="B999">
        <f t="shared" si="76"/>
        <v>-123456789</v>
      </c>
      <c r="C999">
        <f t="shared" si="77"/>
        <v>18.988</v>
      </c>
      <c r="D999">
        <f>[1]!XLSTAT_PDFGeneral(B999,14, 16, 1)</f>
        <v>0</v>
      </c>
      <c r="I999">
        <v>999</v>
      </c>
      <c r="J999">
        <f t="shared" si="78"/>
        <v>-123456789</v>
      </c>
      <c r="K999">
        <f t="shared" si="79"/>
        <v>6.0140000000000002</v>
      </c>
      <c r="L999">
        <f>[1]!XLSTAT_PDFGeneral(J999,17, 1)</f>
        <v>0</v>
      </c>
    </row>
    <row r="1000" spans="1:12" x14ac:dyDescent="0.3">
      <c r="A1000">
        <v>1000</v>
      </c>
      <c r="B1000">
        <f t="shared" si="76"/>
        <v>18.988</v>
      </c>
      <c r="C1000">
        <f t="shared" si="77"/>
        <v>18.988</v>
      </c>
      <c r="D1000">
        <f>[1]!XLSTAT_PDFGeneral(B1000,14, 16, 1)</f>
        <v>4.5939707891923766E-3</v>
      </c>
      <c r="I1000">
        <v>1000</v>
      </c>
      <c r="J1000">
        <f t="shared" si="78"/>
        <v>6.0140000000000002</v>
      </c>
      <c r="K1000">
        <f t="shared" si="79"/>
        <v>6.0140000000000002</v>
      </c>
      <c r="L1000">
        <f>[1]!XLSTAT_PDFGeneral(J1000,17, 1)</f>
        <v>5.1094366829366989E-4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karmand</vt:lpstr>
      <vt:lpstr>Sheet4_HID1</vt:lpstr>
      <vt:lpstr>Sheet4_HID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Hamid esmaeeli</dc:creator>
  <cp:lastModifiedBy>atena masoomi</cp:lastModifiedBy>
  <dcterms:created xsi:type="dcterms:W3CDTF">2024-08-01T08:33:36Z</dcterms:created>
  <dcterms:modified xsi:type="dcterms:W3CDTF">2026-06-14T09:30:04Z</dcterms:modified>
</cp:coreProperties>
</file>